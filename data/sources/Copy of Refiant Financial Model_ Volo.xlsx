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yattzgabay/Desktop/VoLo Software - Fin Modeling/"/>
    </mc:Choice>
  </mc:AlternateContent>
  <xr:revisionPtr revIDLastSave="0" documentId="8_{06383CE1-E163-1C49-B346-37775D8F8B96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API Token Model" sheetId="1" r:id="rId1"/>
    <sheet name="3 Year Forecast" sheetId="2" r:id="rId2"/>
    <sheet name="Capex" sheetId="3" r:id="rId3"/>
    <sheet name="Ope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3" i="4" l="1"/>
  <c r="AG43" i="4"/>
  <c r="AC43" i="4"/>
  <c r="V43" i="4"/>
  <c r="S43" i="4"/>
  <c r="P43" i="4"/>
  <c r="O43" i="4"/>
  <c r="N43" i="4"/>
  <c r="L43" i="4"/>
  <c r="K43" i="4"/>
  <c r="J43" i="4"/>
  <c r="H43" i="4"/>
  <c r="G43" i="4"/>
  <c r="F43" i="4"/>
  <c r="D43" i="4"/>
  <c r="C43" i="4"/>
  <c r="B43" i="4"/>
  <c r="AU42" i="4"/>
  <c r="AT42" i="4"/>
  <c r="AS42" i="4"/>
  <c r="AQ42" i="4"/>
  <c r="AP42" i="4"/>
  <c r="AO42" i="4"/>
  <c r="AM42" i="4"/>
  <c r="AL42" i="4"/>
  <c r="AK42" i="4"/>
  <c r="AI42" i="4"/>
  <c r="AH42" i="4"/>
  <c r="AG42" i="4"/>
  <c r="AE42" i="4"/>
  <c r="AD42" i="4"/>
  <c r="AC42" i="4"/>
  <c r="AA42" i="4"/>
  <c r="Z42" i="4"/>
  <c r="Y42" i="4"/>
  <c r="W42" i="4"/>
  <c r="V42" i="4"/>
  <c r="U42" i="4"/>
  <c r="T42" i="4"/>
  <c r="S42" i="4"/>
  <c r="R42" i="4"/>
  <c r="AU41" i="4"/>
  <c r="AT41" i="4"/>
  <c r="AS41" i="4"/>
  <c r="AQ41" i="4"/>
  <c r="AP41" i="4"/>
  <c r="AO41" i="4"/>
  <c r="AM41" i="4"/>
  <c r="AL41" i="4"/>
  <c r="AK41" i="4"/>
  <c r="AI41" i="4"/>
  <c r="AH41" i="4"/>
  <c r="AG41" i="4"/>
  <c r="AE41" i="4"/>
  <c r="AD41" i="4"/>
  <c r="AC41" i="4"/>
  <c r="AA41" i="4"/>
  <c r="Z41" i="4"/>
  <c r="Y41" i="4"/>
  <c r="W41" i="4"/>
  <c r="V41" i="4"/>
  <c r="U41" i="4"/>
  <c r="T41" i="4"/>
  <c r="S41" i="4"/>
  <c r="R41" i="4"/>
  <c r="AU40" i="4"/>
  <c r="AU43" i="4" s="1"/>
  <c r="AT40" i="4"/>
  <c r="AT43" i="4" s="1"/>
  <c r="AS40" i="4"/>
  <c r="AS43" i="4" s="1"/>
  <c r="AQ40" i="4"/>
  <c r="AQ43" i="4" s="1"/>
  <c r="AP40" i="4"/>
  <c r="AP43" i="4" s="1"/>
  <c r="AO40" i="4"/>
  <c r="AO43" i="4" s="1"/>
  <c r="AM40" i="4"/>
  <c r="AL40" i="4"/>
  <c r="AL43" i="4" s="1"/>
  <c r="AK40" i="4"/>
  <c r="AK43" i="4" s="1"/>
  <c r="AI40" i="4"/>
  <c r="AI43" i="4" s="1"/>
  <c r="AH40" i="4"/>
  <c r="AH43" i="4" s="1"/>
  <c r="AG40" i="4"/>
  <c r="AE40" i="4"/>
  <c r="AE43" i="4" s="1"/>
  <c r="AD40" i="4"/>
  <c r="AD43" i="4" s="1"/>
  <c r="AC40" i="4"/>
  <c r="AA40" i="4"/>
  <c r="AA43" i="4" s="1"/>
  <c r="Z40" i="4"/>
  <c r="Z43" i="4" s="1"/>
  <c r="Y40" i="4"/>
  <c r="Y43" i="4" s="1"/>
  <c r="W40" i="4"/>
  <c r="W43" i="4" s="1"/>
  <c r="V40" i="4"/>
  <c r="U40" i="4"/>
  <c r="U43" i="4" s="1"/>
  <c r="T40" i="4"/>
  <c r="T43" i="4" s="1"/>
  <c r="S40" i="4"/>
  <c r="R40" i="4"/>
  <c r="R43" i="4" s="1"/>
  <c r="AU37" i="4"/>
  <c r="AT37" i="4"/>
  <c r="AS37" i="4"/>
  <c r="AQ37" i="4"/>
  <c r="AP37" i="4"/>
  <c r="AO37" i="4"/>
  <c r="AM37" i="4"/>
  <c r="AL37" i="4"/>
  <c r="AK37" i="4"/>
  <c r="AI37" i="4"/>
  <c r="AH37" i="4"/>
  <c r="AG37" i="4"/>
  <c r="AE37" i="4"/>
  <c r="AD37" i="4"/>
  <c r="AC37" i="4"/>
  <c r="AA37" i="4"/>
  <c r="Z37" i="4"/>
  <c r="Y37" i="4"/>
  <c r="W37" i="4"/>
  <c r="V37" i="4"/>
  <c r="U37" i="4"/>
  <c r="T37" i="4"/>
  <c r="S37" i="4"/>
  <c r="R37" i="4"/>
  <c r="P37" i="4"/>
  <c r="O37" i="4"/>
  <c r="N37" i="4"/>
  <c r="L37" i="4"/>
  <c r="K37" i="4"/>
  <c r="AN38" i="4" s="1"/>
  <c r="J37" i="4"/>
  <c r="D37" i="4"/>
  <c r="C37" i="4"/>
  <c r="B37" i="4"/>
  <c r="AU36" i="4"/>
  <c r="AT36" i="4"/>
  <c r="AS36" i="4"/>
  <c r="AQ36" i="4"/>
  <c r="AP36" i="4"/>
  <c r="AO36" i="4"/>
  <c r="AM36" i="4"/>
  <c r="AL36" i="4"/>
  <c r="AK36" i="4"/>
  <c r="AI36" i="4"/>
  <c r="AH36" i="4"/>
  <c r="AG36" i="4"/>
  <c r="AE36" i="4"/>
  <c r="AD36" i="4"/>
  <c r="AC36" i="4"/>
  <c r="AA36" i="4"/>
  <c r="Z36" i="4"/>
  <c r="Y36" i="4"/>
  <c r="W36" i="4"/>
  <c r="V36" i="4"/>
  <c r="U36" i="4"/>
  <c r="T36" i="4"/>
  <c r="S36" i="4"/>
  <c r="R36" i="4"/>
  <c r="P36" i="4"/>
  <c r="O36" i="4"/>
  <c r="N36" i="4"/>
  <c r="L36" i="4"/>
  <c r="K36" i="4"/>
  <c r="J36" i="4"/>
  <c r="Q34" i="4"/>
  <c r="M34" i="4"/>
  <c r="I34" i="4"/>
  <c r="E34" i="4"/>
  <c r="AS33" i="4"/>
  <c r="AP33" i="4"/>
  <c r="AO33" i="4"/>
  <c r="AH33" i="4"/>
  <c r="AE33" i="4"/>
  <c r="AC33" i="4"/>
  <c r="Z33" i="4"/>
  <c r="Y33" i="4"/>
  <c r="U33" i="4"/>
  <c r="T33" i="4"/>
  <c r="S33" i="4"/>
  <c r="R33" i="4"/>
  <c r="P33" i="4"/>
  <c r="O33" i="4"/>
  <c r="N33" i="4"/>
  <c r="L33" i="4"/>
  <c r="K33" i="4"/>
  <c r="J33" i="4"/>
  <c r="H33" i="4"/>
  <c r="G33" i="4"/>
  <c r="F33" i="4"/>
  <c r="D33" i="4"/>
  <c r="C33" i="4"/>
  <c r="B33" i="4"/>
  <c r="AU32" i="4"/>
  <c r="AU33" i="4" s="1"/>
  <c r="AT32" i="4"/>
  <c r="AT33" i="4" s="1"/>
  <c r="AS32" i="4"/>
  <c r="AQ32" i="4"/>
  <c r="AQ33" i="4" s="1"/>
  <c r="AP32" i="4"/>
  <c r="AO32" i="4"/>
  <c r="AM32" i="4"/>
  <c r="AM33" i="4" s="1"/>
  <c r="AL32" i="4"/>
  <c r="AL33" i="4" s="1"/>
  <c r="AK32" i="4"/>
  <c r="AK33" i="4" s="1"/>
  <c r="AI32" i="4"/>
  <c r="AI33" i="4" s="1"/>
  <c r="AH32" i="4"/>
  <c r="AG32" i="4"/>
  <c r="AG33" i="4" s="1"/>
  <c r="AE32" i="4"/>
  <c r="AD32" i="4"/>
  <c r="AD33" i="4" s="1"/>
  <c r="AA32" i="4"/>
  <c r="AA33" i="4" s="1"/>
  <c r="Z32" i="4"/>
  <c r="W32" i="4"/>
  <c r="W33" i="4" s="1"/>
  <c r="V32" i="4"/>
  <c r="T32" i="4"/>
  <c r="S32" i="4"/>
  <c r="AT29" i="4"/>
  <c r="AS29" i="4"/>
  <c r="AL29" i="4"/>
  <c r="AI29" i="4"/>
  <c r="AH29" i="4"/>
  <c r="AA29" i="4"/>
  <c r="R29" i="4"/>
  <c r="P29" i="4"/>
  <c r="O29" i="4"/>
  <c r="N29" i="4"/>
  <c r="L29" i="4"/>
  <c r="K29" i="4"/>
  <c r="J29" i="4"/>
  <c r="H29" i="4"/>
  <c r="G29" i="4"/>
  <c r="F29" i="4"/>
  <c r="D29" i="4"/>
  <c r="I30" i="4" s="1"/>
  <c r="C29" i="4"/>
  <c r="B29" i="4"/>
  <c r="AU28" i="4"/>
  <c r="AT28" i="4"/>
  <c r="AS28" i="4"/>
  <c r="AQ28" i="4"/>
  <c r="AP28" i="4"/>
  <c r="AO28" i="4"/>
  <c r="AM28" i="4"/>
  <c r="AL28" i="4"/>
  <c r="AK28" i="4"/>
  <c r="AI28" i="4"/>
  <c r="AH28" i="4"/>
  <c r="AG28" i="4"/>
  <c r="AE28" i="4"/>
  <c r="AD28" i="4"/>
  <c r="AC28" i="4"/>
  <c r="AA28" i="4"/>
  <c r="Z28" i="4"/>
  <c r="Y28" i="4"/>
  <c r="W28" i="4"/>
  <c r="V28" i="4"/>
  <c r="U28" i="4"/>
  <c r="T28" i="4"/>
  <c r="S28" i="4"/>
  <c r="R28" i="4"/>
  <c r="AU27" i="4"/>
  <c r="AU29" i="4" s="1"/>
  <c r="AT27" i="4"/>
  <c r="AS27" i="4"/>
  <c r="AQ27" i="4"/>
  <c r="AQ29" i="4" s="1"/>
  <c r="AP27" i="4"/>
  <c r="AP29" i="4" s="1"/>
  <c r="AO27" i="4"/>
  <c r="AO29" i="4" s="1"/>
  <c r="AM27" i="4"/>
  <c r="AM29" i="4" s="1"/>
  <c r="AL27" i="4"/>
  <c r="AK27" i="4"/>
  <c r="AK29" i="4" s="1"/>
  <c r="AI27" i="4"/>
  <c r="AH27" i="4"/>
  <c r="AG27" i="4"/>
  <c r="AG29" i="4" s="1"/>
  <c r="AE27" i="4"/>
  <c r="AE29" i="4" s="1"/>
  <c r="AD27" i="4"/>
  <c r="AD29" i="4" s="1"/>
  <c r="AC27" i="4"/>
  <c r="AC29" i="4" s="1"/>
  <c r="AA27" i="4"/>
  <c r="Z27" i="4"/>
  <c r="Z29" i="4" s="1"/>
  <c r="Y27" i="4"/>
  <c r="Y29" i="4" s="1"/>
  <c r="W27" i="4"/>
  <c r="W29" i="4" s="1"/>
  <c r="V27" i="4"/>
  <c r="V29" i="4" s="1"/>
  <c r="U27" i="4"/>
  <c r="U29" i="4" s="1"/>
  <c r="T27" i="4"/>
  <c r="T29" i="4" s="1"/>
  <c r="S27" i="4"/>
  <c r="S29" i="4" s="1"/>
  <c r="R27" i="4"/>
  <c r="I25" i="4"/>
  <c r="E25" i="4"/>
  <c r="AS24" i="4"/>
  <c r="AG24" i="4"/>
  <c r="AC24" i="4"/>
  <c r="W24" i="4"/>
  <c r="V24" i="4"/>
  <c r="U24" i="4"/>
  <c r="T24" i="4"/>
  <c r="S24" i="4"/>
  <c r="R24" i="4"/>
  <c r="P24" i="4"/>
  <c r="O24" i="4"/>
  <c r="N24" i="4"/>
  <c r="L24" i="4"/>
  <c r="K24" i="4"/>
  <c r="J24" i="4"/>
  <c r="AU23" i="4"/>
  <c r="AT23" i="4"/>
  <c r="AS23" i="4"/>
  <c r="AQ23" i="4"/>
  <c r="AP23" i="4"/>
  <c r="AO23" i="4"/>
  <c r="AM23" i="4"/>
  <c r="AL23" i="4"/>
  <c r="AK23" i="4"/>
  <c r="AI23" i="4"/>
  <c r="AH23" i="4"/>
  <c r="AG23" i="4"/>
  <c r="AE23" i="4"/>
  <c r="AD23" i="4"/>
  <c r="AC23" i="4"/>
  <c r="AA23" i="4"/>
  <c r="Z23" i="4"/>
  <c r="Y23" i="4"/>
  <c r="AU22" i="4"/>
  <c r="AU24" i="4" s="1"/>
  <c r="AT22" i="4"/>
  <c r="AS22" i="4"/>
  <c r="AQ22" i="4"/>
  <c r="AQ24" i="4" s="1"/>
  <c r="AP22" i="4"/>
  <c r="AO22" i="4"/>
  <c r="AO24" i="4" s="1"/>
  <c r="AM22" i="4"/>
  <c r="AM24" i="4" s="1"/>
  <c r="AL22" i="4"/>
  <c r="AL24" i="4" s="1"/>
  <c r="AK22" i="4"/>
  <c r="AK24" i="4" s="1"/>
  <c r="AI22" i="4"/>
  <c r="AH22" i="4"/>
  <c r="AH24" i="4" s="1"/>
  <c r="AG22" i="4"/>
  <c r="AE22" i="4"/>
  <c r="AD22" i="4"/>
  <c r="AD24" i="4" s="1"/>
  <c r="AC22" i="4"/>
  <c r="AA22" i="4"/>
  <c r="AA24" i="4" s="1"/>
  <c r="Z22" i="4"/>
  <c r="Z24" i="4" s="1"/>
  <c r="Y22" i="4"/>
  <c r="AT19" i="4"/>
  <c r="AS19" i="4"/>
  <c r="AI19" i="4"/>
  <c r="AC19" i="4"/>
  <c r="Y19" i="4"/>
  <c r="W19" i="4"/>
  <c r="O19" i="4"/>
  <c r="N19" i="4"/>
  <c r="J19" i="4"/>
  <c r="J45" i="4" s="1"/>
  <c r="H19" i="4"/>
  <c r="D19" i="4"/>
  <c r="D45" i="4" s="1"/>
  <c r="E12" i="2" s="1"/>
  <c r="C19" i="4"/>
  <c r="C45" i="4" s="1"/>
  <c r="D12" i="2" s="1"/>
  <c r="AU18" i="4"/>
  <c r="AT18" i="4"/>
  <c r="AS18" i="4"/>
  <c r="AQ18" i="4"/>
  <c r="AP18" i="4"/>
  <c r="AO18" i="4"/>
  <c r="AM18" i="4"/>
  <c r="AL18" i="4"/>
  <c r="AK18" i="4"/>
  <c r="AI18" i="4"/>
  <c r="AH18" i="4"/>
  <c r="AG18" i="4"/>
  <c r="AE18" i="4"/>
  <c r="AD18" i="4"/>
  <c r="AC18" i="4"/>
  <c r="AA18" i="4"/>
  <c r="Z18" i="4"/>
  <c r="Y18" i="4"/>
  <c r="W18" i="4"/>
  <c r="V18" i="4"/>
  <c r="U18" i="4"/>
  <c r="T18" i="4"/>
  <c r="S18" i="4"/>
  <c r="R18" i="4"/>
  <c r="AU17" i="4"/>
  <c r="AT17" i="4"/>
  <c r="AS17" i="4"/>
  <c r="AQ17" i="4"/>
  <c r="AP17" i="4"/>
  <c r="AO17" i="4"/>
  <c r="AM17" i="4"/>
  <c r="AL17" i="4"/>
  <c r="AK17" i="4"/>
  <c r="AI17" i="4"/>
  <c r="AH17" i="4"/>
  <c r="AG17" i="4"/>
  <c r="AE17" i="4"/>
  <c r="AD17" i="4"/>
  <c r="AC17" i="4"/>
  <c r="AA17" i="4"/>
  <c r="Z17" i="4"/>
  <c r="Y17" i="4"/>
  <c r="W17" i="4"/>
  <c r="V17" i="4"/>
  <c r="U17" i="4"/>
  <c r="T17" i="4"/>
  <c r="S17" i="4"/>
  <c r="R17" i="4"/>
  <c r="AU16" i="4"/>
  <c r="AT16" i="4"/>
  <c r="AS16" i="4"/>
  <c r="AQ16" i="4"/>
  <c r="AP16" i="4"/>
  <c r="AO16" i="4"/>
  <c r="AO19" i="4" s="1"/>
  <c r="AO45" i="4" s="1"/>
  <c r="AM16" i="4"/>
  <c r="AL16" i="4"/>
  <c r="AK16" i="4"/>
  <c r="AI16" i="4"/>
  <c r="AH16" i="4"/>
  <c r="AH19" i="4" s="1"/>
  <c r="AH45" i="4" s="1"/>
  <c r="AB12" i="2" s="1"/>
  <c r="AG16" i="4"/>
  <c r="AE16" i="4"/>
  <c r="AD16" i="4"/>
  <c r="AD19" i="4" s="1"/>
  <c r="AD45" i="4" s="1"/>
  <c r="Y12" i="2" s="1"/>
  <c r="AC16" i="4"/>
  <c r="AA16" i="4"/>
  <c r="Z16" i="4"/>
  <c r="Y16" i="4"/>
  <c r="W16" i="4"/>
  <c r="V16" i="4"/>
  <c r="U16" i="4"/>
  <c r="T16" i="4"/>
  <c r="T19" i="4" s="1"/>
  <c r="T45" i="4" s="1"/>
  <c r="S16" i="4"/>
  <c r="AU15" i="4"/>
  <c r="AT15" i="4"/>
  <c r="AS15" i="4"/>
  <c r="AQ15" i="4"/>
  <c r="AP15" i="4"/>
  <c r="AO15" i="4"/>
  <c r="AM15" i="4"/>
  <c r="AL15" i="4"/>
  <c r="AK15" i="4"/>
  <c r="AI15" i="4"/>
  <c r="AH15" i="4"/>
  <c r="AG15" i="4"/>
  <c r="AE15" i="4"/>
  <c r="AD15" i="4"/>
  <c r="AC15" i="4"/>
  <c r="AA15" i="4"/>
  <c r="Z15" i="4"/>
  <c r="Y15" i="4"/>
  <c r="W15" i="4"/>
  <c r="V15" i="4"/>
  <c r="U15" i="4"/>
  <c r="T15" i="4"/>
  <c r="S15" i="4"/>
  <c r="AU14" i="4"/>
  <c r="AT14" i="4"/>
  <c r="AS14" i="4"/>
  <c r="AQ14" i="4"/>
  <c r="AP14" i="4"/>
  <c r="AO14" i="4"/>
  <c r="AM14" i="4"/>
  <c r="AL14" i="4"/>
  <c r="AK14" i="4"/>
  <c r="AI14" i="4"/>
  <c r="AH14" i="4"/>
  <c r="AG14" i="4"/>
  <c r="AE14" i="4"/>
  <c r="AD14" i="4"/>
  <c r="AC14" i="4"/>
  <c r="AA14" i="4"/>
  <c r="Z14" i="4"/>
  <c r="Y14" i="4"/>
  <c r="W14" i="4"/>
  <c r="V14" i="4"/>
  <c r="U14" i="4"/>
  <c r="T14" i="4"/>
  <c r="S14" i="4"/>
  <c r="R14" i="4"/>
  <c r="AU13" i="4"/>
  <c r="AT13" i="4"/>
  <c r="AS13" i="4"/>
  <c r="AQ13" i="4"/>
  <c r="AP13" i="4"/>
  <c r="AO13" i="4"/>
  <c r="AM13" i="4"/>
  <c r="AL13" i="4"/>
  <c r="AK13" i="4"/>
  <c r="AI13" i="4"/>
  <c r="AH13" i="4"/>
  <c r="AG13" i="4"/>
  <c r="AE13" i="4"/>
  <c r="AD13" i="4"/>
  <c r="AC13" i="4"/>
  <c r="AA13" i="4"/>
  <c r="Z13" i="4"/>
  <c r="Y13" i="4"/>
  <c r="W13" i="4"/>
  <c r="V13" i="4"/>
  <c r="U13" i="4"/>
  <c r="T13" i="4"/>
  <c r="S13" i="4"/>
  <c r="R13" i="4"/>
  <c r="AU12" i="4"/>
  <c r="AT12" i="4"/>
  <c r="AS12" i="4"/>
  <c r="AQ12" i="4"/>
  <c r="AP12" i="4"/>
  <c r="AO12" i="4"/>
  <c r="AM12" i="4"/>
  <c r="AL12" i="4"/>
  <c r="AK12" i="4"/>
  <c r="AI12" i="4"/>
  <c r="AH12" i="4"/>
  <c r="AG12" i="4"/>
  <c r="AE12" i="4"/>
  <c r="AD12" i="4"/>
  <c r="AC12" i="4"/>
  <c r="AA12" i="4"/>
  <c r="Z12" i="4"/>
  <c r="Y12" i="4"/>
  <c r="W12" i="4"/>
  <c r="V12" i="4"/>
  <c r="U12" i="4"/>
  <c r="T12" i="4"/>
  <c r="S12" i="4"/>
  <c r="R12" i="4"/>
  <c r="AU11" i="4"/>
  <c r="AT11" i="4"/>
  <c r="AS11" i="4"/>
  <c r="AQ11" i="4"/>
  <c r="AP11" i="4"/>
  <c r="AO11" i="4"/>
  <c r="AM11" i="4"/>
  <c r="AL11" i="4"/>
  <c r="AK11" i="4"/>
  <c r="AI11" i="4"/>
  <c r="AH11" i="4"/>
  <c r="AG11" i="4"/>
  <c r="AE11" i="4"/>
  <c r="AD11" i="4"/>
  <c r="AC11" i="4"/>
  <c r="AA11" i="4"/>
  <c r="Z11" i="4"/>
  <c r="Y11" i="4"/>
  <c r="W11" i="4"/>
  <c r="V11" i="4"/>
  <c r="U11" i="4"/>
  <c r="T11" i="4"/>
  <c r="S11" i="4"/>
  <c r="R11" i="4"/>
  <c r="AU10" i="4"/>
  <c r="AT10" i="4"/>
  <c r="AS10" i="4"/>
  <c r="AQ10" i="4"/>
  <c r="AP10" i="4"/>
  <c r="AO10" i="4"/>
  <c r="AM10" i="4"/>
  <c r="AL10" i="4"/>
  <c r="AK10" i="4"/>
  <c r="AI10" i="4"/>
  <c r="AH10" i="4"/>
  <c r="AG10" i="4"/>
  <c r="AE10" i="4"/>
  <c r="AD10" i="4"/>
  <c r="AC10" i="4"/>
  <c r="AA10" i="4"/>
  <c r="Z10" i="4"/>
  <c r="Y10" i="4"/>
  <c r="W10" i="4"/>
  <c r="V10" i="4"/>
  <c r="U10" i="4"/>
  <c r="T10" i="4"/>
  <c r="S10" i="4"/>
  <c r="R10" i="4"/>
  <c r="AU9" i="4"/>
  <c r="AT9" i="4"/>
  <c r="AS9" i="4"/>
  <c r="AQ9" i="4"/>
  <c r="AP9" i="4"/>
  <c r="AO9" i="4"/>
  <c r="AM9" i="4"/>
  <c r="AL9" i="4"/>
  <c r="AK9" i="4"/>
  <c r="AI9" i="4"/>
  <c r="AH9" i="4"/>
  <c r="AG9" i="4"/>
  <c r="AE9" i="4"/>
  <c r="AD9" i="4"/>
  <c r="AC9" i="4"/>
  <c r="AA9" i="4"/>
  <c r="Z9" i="4"/>
  <c r="Y9" i="4"/>
  <c r="W9" i="4"/>
  <c r="V9" i="4"/>
  <c r="U9" i="4"/>
  <c r="T9" i="4"/>
  <c r="S9" i="4"/>
  <c r="R9" i="4"/>
  <c r="AU8" i="4"/>
  <c r="AT8" i="4"/>
  <c r="AS8" i="4"/>
  <c r="AQ8" i="4"/>
  <c r="AP8" i="4"/>
  <c r="AO8" i="4"/>
  <c r="AM8" i="4"/>
  <c r="AL8" i="4"/>
  <c r="AK8" i="4"/>
  <c r="AI8" i="4"/>
  <c r="AH8" i="4"/>
  <c r="AG8" i="4"/>
  <c r="AE8" i="4"/>
  <c r="AD8" i="4"/>
  <c r="AC8" i="4"/>
  <c r="AA8" i="4"/>
  <c r="Z8" i="4"/>
  <c r="Y8" i="4"/>
  <c r="W8" i="4"/>
  <c r="V8" i="4"/>
  <c r="U8" i="4"/>
  <c r="T8" i="4"/>
  <c r="S8" i="4"/>
  <c r="R8" i="4"/>
  <c r="AU7" i="4"/>
  <c r="AT7" i="4"/>
  <c r="AS7" i="4"/>
  <c r="AQ7" i="4"/>
  <c r="AP7" i="4"/>
  <c r="AO7" i="4"/>
  <c r="AM7" i="4"/>
  <c r="AL7" i="4"/>
  <c r="AK7" i="4"/>
  <c r="AI7" i="4"/>
  <c r="AH7" i="4"/>
  <c r="AG7" i="4"/>
  <c r="AE7" i="4"/>
  <c r="AD7" i="4"/>
  <c r="AC7" i="4"/>
  <c r="AA7" i="4"/>
  <c r="Z7" i="4"/>
  <c r="Y7" i="4"/>
  <c r="W7" i="4"/>
  <c r="V7" i="4"/>
  <c r="U7" i="4"/>
  <c r="T7" i="4"/>
  <c r="S7" i="4"/>
  <c r="R7" i="4"/>
  <c r="AU6" i="4"/>
  <c r="AT6" i="4"/>
  <c r="AS6" i="4"/>
  <c r="AQ6" i="4"/>
  <c r="AP6" i="4"/>
  <c r="AO6" i="4"/>
  <c r="AM6" i="4"/>
  <c r="AL6" i="4"/>
  <c r="AK6" i="4"/>
  <c r="AI6" i="4"/>
  <c r="AH6" i="4"/>
  <c r="AG6" i="4"/>
  <c r="AE6" i="4"/>
  <c r="AD6" i="4"/>
  <c r="AC6" i="4"/>
  <c r="AA6" i="4"/>
  <c r="Z6" i="4"/>
  <c r="Y6" i="4"/>
  <c r="W6" i="4"/>
  <c r="V6" i="4"/>
  <c r="U6" i="4"/>
  <c r="T6" i="4"/>
  <c r="S6" i="4"/>
  <c r="R6" i="4"/>
  <c r="P6" i="4"/>
  <c r="O6" i="4"/>
  <c r="N6" i="4"/>
  <c r="L6" i="4"/>
  <c r="K6" i="4"/>
  <c r="J6" i="4"/>
  <c r="H6" i="4"/>
  <c r="G6" i="4"/>
  <c r="F6" i="4"/>
  <c r="D6" i="4"/>
  <c r="C6" i="4"/>
  <c r="B6" i="4"/>
  <c r="AU5" i="4"/>
  <c r="AT5" i="4"/>
  <c r="AS5" i="4"/>
  <c r="AQ5" i="4"/>
  <c r="AP5" i="4"/>
  <c r="AO5" i="4"/>
  <c r="AM5" i="4"/>
  <c r="AL5" i="4"/>
  <c r="AK5" i="4"/>
  <c r="AI5" i="4"/>
  <c r="AH5" i="4"/>
  <c r="AG5" i="4"/>
  <c r="AE5" i="4"/>
  <c r="AD5" i="4"/>
  <c r="AC5" i="4"/>
  <c r="AA5" i="4"/>
  <c r="Z5" i="4"/>
  <c r="Y5" i="4"/>
  <c r="W5" i="4"/>
  <c r="V5" i="4"/>
  <c r="U5" i="4"/>
  <c r="T5" i="4"/>
  <c r="S5" i="4"/>
  <c r="R5" i="4"/>
  <c r="P5" i="4"/>
  <c r="O5" i="4"/>
  <c r="N5" i="4"/>
  <c r="L5" i="4"/>
  <c r="K5" i="4"/>
  <c r="J5" i="4"/>
  <c r="H5" i="4"/>
  <c r="G5" i="4"/>
  <c r="F5" i="4"/>
  <c r="D5" i="4"/>
  <c r="C5" i="4"/>
  <c r="B5" i="4"/>
  <c r="AU4" i="4"/>
  <c r="AU19" i="4" s="1"/>
  <c r="AT4" i="4"/>
  <c r="AS4" i="4"/>
  <c r="AQ4" i="4"/>
  <c r="AP4" i="4"/>
  <c r="AO4" i="4"/>
  <c r="AM4" i="4"/>
  <c r="AL4" i="4"/>
  <c r="AL19" i="4" s="1"/>
  <c r="AK4" i="4"/>
  <c r="AK19" i="4" s="1"/>
  <c r="AI4" i="4"/>
  <c r="AH4" i="4"/>
  <c r="AG4" i="4"/>
  <c r="AE4" i="4"/>
  <c r="AD4" i="4"/>
  <c r="AC4" i="4"/>
  <c r="AA4" i="4"/>
  <c r="AA19" i="4" s="1"/>
  <c r="Z4" i="4"/>
  <c r="Z19" i="4" s="1"/>
  <c r="Y4" i="4"/>
  <c r="W4" i="4"/>
  <c r="V4" i="4"/>
  <c r="U4" i="4"/>
  <c r="T4" i="4"/>
  <c r="S4" i="4"/>
  <c r="R4" i="4"/>
  <c r="R19" i="4" s="1"/>
  <c r="P4" i="4"/>
  <c r="P19" i="4" s="1"/>
  <c r="P45" i="4" s="1"/>
  <c r="N12" i="2" s="1"/>
  <c r="O4" i="4"/>
  <c r="N4" i="4"/>
  <c r="L4" i="4"/>
  <c r="K4" i="4"/>
  <c r="J4" i="4"/>
  <c r="H4" i="4"/>
  <c r="G4" i="4"/>
  <c r="G19" i="4" s="1"/>
  <c r="G45" i="4" s="1"/>
  <c r="G12" i="2" s="1"/>
  <c r="F4" i="4"/>
  <c r="F19" i="4" s="1"/>
  <c r="F45" i="4" s="1"/>
  <c r="F12" i="2" s="1"/>
  <c r="D4" i="4"/>
  <c r="C4" i="4"/>
  <c r="B4" i="4"/>
  <c r="I27" i="3"/>
  <c r="N26" i="3"/>
  <c r="L26" i="3"/>
  <c r="K18" i="2" s="1"/>
  <c r="H26" i="3"/>
  <c r="H18" i="2" s="1"/>
  <c r="I23" i="3"/>
  <c r="AV22" i="3"/>
  <c r="AU22" i="3"/>
  <c r="AU26" i="3" s="1"/>
  <c r="AT22" i="3"/>
  <c r="AR22" i="3"/>
  <c r="AQ22" i="3"/>
  <c r="AQ26" i="3" s="1"/>
  <c r="AP22" i="3"/>
  <c r="AN22" i="3"/>
  <c r="AN26" i="3" s="1"/>
  <c r="AF18" i="2" s="1"/>
  <c r="AM22" i="3"/>
  <c r="AM26" i="3" s="1"/>
  <c r="AL18" i="2" s="1"/>
  <c r="AL22" i="3"/>
  <c r="AJ22" i="3"/>
  <c r="AJ26" i="3" s="1"/>
  <c r="AI22" i="3"/>
  <c r="AH22" i="3"/>
  <c r="AF22" i="3"/>
  <c r="AF26" i="3" s="1"/>
  <c r="AE22" i="3"/>
  <c r="AD22" i="3"/>
  <c r="AD26" i="3" s="1"/>
  <c r="AB22" i="3"/>
  <c r="AB26" i="3" s="1"/>
  <c r="AA22" i="3"/>
  <c r="Z22" i="3"/>
  <c r="Z26" i="3" s="1"/>
  <c r="X22" i="3"/>
  <c r="W22" i="3"/>
  <c r="W26" i="3" s="1"/>
  <c r="V22" i="3"/>
  <c r="V26" i="3" s="1"/>
  <c r="U18" i="2" s="1"/>
  <c r="T22" i="3"/>
  <c r="S22" i="3"/>
  <c r="S26" i="3" s="1"/>
  <c r="R22" i="3"/>
  <c r="P22" i="3"/>
  <c r="O22" i="3"/>
  <c r="O26" i="3" s="1"/>
  <c r="N18" i="2" s="1"/>
  <c r="N22" i="3"/>
  <c r="L22" i="3"/>
  <c r="K22" i="3"/>
  <c r="K26" i="3" s="1"/>
  <c r="J18" i="2" s="1"/>
  <c r="J22" i="3"/>
  <c r="H22" i="3"/>
  <c r="G22" i="3"/>
  <c r="G26" i="3" s="1"/>
  <c r="G18" i="2" s="1"/>
  <c r="F22" i="3"/>
  <c r="D22" i="3"/>
  <c r="D26" i="3" s="1"/>
  <c r="E18" i="2" s="1"/>
  <c r="C22" i="3"/>
  <c r="B22" i="3"/>
  <c r="E23" i="3" s="1"/>
  <c r="AS18" i="3"/>
  <c r="AO18" i="3"/>
  <c r="AK18" i="3"/>
  <c r="AG18" i="3"/>
  <c r="AC18" i="3"/>
  <c r="Y18" i="3"/>
  <c r="U18" i="3"/>
  <c r="Q18" i="3"/>
  <c r="M18" i="3"/>
  <c r="I18" i="3"/>
  <c r="E18" i="3"/>
  <c r="AW18" i="3" s="1"/>
  <c r="AW16" i="3"/>
  <c r="AS16" i="3"/>
  <c r="AO16" i="3"/>
  <c r="AK16" i="3"/>
  <c r="AG16" i="3"/>
  <c r="AC16" i="3"/>
  <c r="Y16" i="3"/>
  <c r="U16" i="3"/>
  <c r="Q16" i="3"/>
  <c r="M16" i="3"/>
  <c r="I16" i="3"/>
  <c r="E16" i="3"/>
  <c r="AW12" i="3"/>
  <c r="AS12" i="3"/>
  <c r="AO12" i="3"/>
  <c r="AK12" i="3"/>
  <c r="AG12" i="3"/>
  <c r="AC12" i="3"/>
  <c r="Y12" i="3"/>
  <c r="U12" i="3"/>
  <c r="Q12" i="3"/>
  <c r="M12" i="3"/>
  <c r="I12" i="3"/>
  <c r="E12" i="3"/>
  <c r="AV7" i="3"/>
  <c r="AV26" i="3" s="1"/>
  <c r="AU7" i="3"/>
  <c r="AT7" i="3"/>
  <c r="AR7" i="3"/>
  <c r="AR26" i="3" s="1"/>
  <c r="AQ7" i="3"/>
  <c r="AP7" i="3"/>
  <c r="AP26" i="3" s="1"/>
  <c r="AN7" i="3"/>
  <c r="AM7" i="3"/>
  <c r="AL7" i="3"/>
  <c r="AJ7" i="3"/>
  <c r="AI7" i="3"/>
  <c r="AI26" i="3" s="1"/>
  <c r="AH7" i="3"/>
  <c r="AO8" i="3" s="1"/>
  <c r="AF7" i="3"/>
  <c r="AE7" i="3"/>
  <c r="AE26" i="3" s="1"/>
  <c r="AD18" i="2" s="1"/>
  <c r="AD7" i="3"/>
  <c r="AK8" i="3" s="1"/>
  <c r="AB7" i="3"/>
  <c r="AA7" i="3"/>
  <c r="AA26" i="3" s="1"/>
  <c r="Z18" i="2" s="1"/>
  <c r="Z7" i="3"/>
  <c r="X7" i="3"/>
  <c r="W7" i="3"/>
  <c r="V7" i="3"/>
  <c r="T7" i="3"/>
  <c r="T26" i="3" s="1"/>
  <c r="S7" i="3"/>
  <c r="Y8" i="3" s="1"/>
  <c r="R7" i="3"/>
  <c r="P7" i="3"/>
  <c r="P26" i="3" s="1"/>
  <c r="O18" i="2" s="1"/>
  <c r="O7" i="3"/>
  <c r="N7" i="3"/>
  <c r="L7" i="3"/>
  <c r="K7" i="3"/>
  <c r="J7" i="3"/>
  <c r="J26" i="3" s="1"/>
  <c r="H7" i="3"/>
  <c r="G7" i="3"/>
  <c r="F7" i="3"/>
  <c r="F26" i="3" s="1"/>
  <c r="F18" i="2" s="1"/>
  <c r="D7" i="3"/>
  <c r="C7" i="3"/>
  <c r="B7" i="3"/>
  <c r="AI18" i="2"/>
  <c r="AE18" i="2"/>
  <c r="AA18" i="2"/>
  <c r="S18" i="2"/>
  <c r="AG12" i="2"/>
  <c r="Q12" i="2"/>
  <c r="I12" i="2"/>
  <c r="O3" i="2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B63" i="1"/>
  <c r="B58" i="1"/>
  <c r="B54" i="1"/>
  <c r="B59" i="1" s="1"/>
  <c r="B64" i="1" s="1"/>
  <c r="B53" i="1"/>
  <c r="K52" i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J52" i="1"/>
  <c r="H46" i="1"/>
  <c r="AI44" i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AG44" i="1"/>
  <c r="AH44" i="1" s="1"/>
  <c r="AF44" i="1"/>
  <c r="AE44" i="1"/>
  <c r="AD44" i="1"/>
  <c r="H44" i="1"/>
  <c r="I44" i="1" s="1"/>
  <c r="J44" i="1" s="1"/>
  <c r="J46" i="1" s="1"/>
  <c r="F44" i="1"/>
  <c r="G44" i="1" s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24" i="1"/>
  <c r="B23" i="1"/>
  <c r="F20" i="1"/>
  <c r="F12" i="1"/>
  <c r="I10" i="1"/>
  <c r="J10" i="1" s="1"/>
  <c r="H10" i="1"/>
  <c r="F10" i="1"/>
  <c r="G10" i="1" s="1"/>
  <c r="F9" i="1"/>
  <c r="G9" i="1" s="1"/>
  <c r="H9" i="1" s="1"/>
  <c r="I9" i="1" s="1"/>
  <c r="J9" i="1" s="1"/>
  <c r="F8" i="1"/>
  <c r="G8" i="1" s="1"/>
  <c r="H8" i="1" s="1"/>
  <c r="I8" i="1" s="1"/>
  <c r="J8" i="1" s="1"/>
  <c r="H7" i="1"/>
  <c r="G7" i="1"/>
  <c r="F7" i="1"/>
  <c r="F6" i="1"/>
  <c r="G6" i="1" s="1"/>
  <c r="H6" i="1" s="1"/>
  <c r="I6" i="1" s="1"/>
  <c r="J6" i="1" s="1"/>
  <c r="G5" i="1"/>
  <c r="H5" i="1" s="1"/>
  <c r="I5" i="1" s="1"/>
  <c r="J5" i="1" s="1"/>
  <c r="F5" i="1"/>
  <c r="P39" i="1" l="1"/>
  <c r="H39" i="1"/>
  <c r="N39" i="1"/>
  <c r="F39" i="1"/>
  <c r="F19" i="1"/>
  <c r="M39" i="1"/>
  <c r="E39" i="1"/>
  <c r="E41" i="1" s="1"/>
  <c r="I39" i="1"/>
  <c r="I46" i="1"/>
  <c r="G12" i="1"/>
  <c r="F18" i="1"/>
  <c r="K39" i="1"/>
  <c r="K44" i="1"/>
  <c r="G39" i="1"/>
  <c r="J39" i="1"/>
  <c r="G20" i="1"/>
  <c r="H12" i="1"/>
  <c r="L39" i="1"/>
  <c r="I7" i="1"/>
  <c r="O39" i="1"/>
  <c r="R18" i="2"/>
  <c r="P18" i="2"/>
  <c r="AG27" i="3"/>
  <c r="AC18" i="2"/>
  <c r="AK23" i="3"/>
  <c r="Y24" i="3"/>
  <c r="AK24" i="3"/>
  <c r="Z45" i="4"/>
  <c r="V12" i="2" s="1"/>
  <c r="X18" i="2"/>
  <c r="V18" i="2"/>
  <c r="AC45" i="4"/>
  <c r="X12" i="2" s="1"/>
  <c r="AK45" i="4"/>
  <c r="AD12" i="2" s="1"/>
  <c r="AU45" i="4"/>
  <c r="AL12" i="2" s="1"/>
  <c r="E8" i="3"/>
  <c r="I8" i="3"/>
  <c r="I24" i="3" s="1"/>
  <c r="H17" i="2" s="1"/>
  <c r="Q27" i="3"/>
  <c r="M18" i="2"/>
  <c r="L18" i="2"/>
  <c r="R45" i="4"/>
  <c r="O12" i="2" s="1"/>
  <c r="AA45" i="4"/>
  <c r="W12" i="2" s="1"/>
  <c r="AL45" i="4"/>
  <c r="AE12" i="2" s="1"/>
  <c r="S19" i="4"/>
  <c r="S45" i="4" s="1"/>
  <c r="P12" i="2" s="1"/>
  <c r="AM19" i="4"/>
  <c r="AM45" i="4" s="1"/>
  <c r="AF12" i="2" s="1"/>
  <c r="H48" i="4"/>
  <c r="H45" i="4"/>
  <c r="H12" i="2" s="1"/>
  <c r="AH18" i="2"/>
  <c r="AB18" i="2"/>
  <c r="X25" i="4"/>
  <c r="Q8" i="3"/>
  <c r="AC8" i="3"/>
  <c r="Y23" i="3"/>
  <c r="R26" i="3"/>
  <c r="U23" i="3"/>
  <c r="Y24" i="4"/>
  <c r="AF25" i="4" s="1"/>
  <c r="AI24" i="4"/>
  <c r="AI45" i="4" s="1"/>
  <c r="AC12" i="2" s="1"/>
  <c r="AT24" i="4"/>
  <c r="AN30" i="4"/>
  <c r="E30" i="4"/>
  <c r="AV30" i="4"/>
  <c r="AR30" i="4"/>
  <c r="AF30" i="4"/>
  <c r="AB30" i="4"/>
  <c r="AB34" i="4"/>
  <c r="V33" i="4"/>
  <c r="AV34" i="4"/>
  <c r="AF34" i="4"/>
  <c r="AW23" i="3"/>
  <c r="Q23" i="3"/>
  <c r="Q24" i="3" s="1"/>
  <c r="N17" i="2" s="1"/>
  <c r="AO23" i="3"/>
  <c r="AO24" i="3" s="1"/>
  <c r="AS45" i="4"/>
  <c r="AJ12" i="2" s="1"/>
  <c r="U8" i="3"/>
  <c r="U24" i="3" s="1"/>
  <c r="C26" i="3"/>
  <c r="D18" i="2" s="1"/>
  <c r="X26" i="3"/>
  <c r="Y27" i="3" s="1"/>
  <c r="AT26" i="3"/>
  <c r="AT45" i="4"/>
  <c r="AK12" i="2" s="1"/>
  <c r="M30" i="4"/>
  <c r="Y18" i="2"/>
  <c r="AC27" i="3"/>
  <c r="M23" i="3"/>
  <c r="AG23" i="3"/>
  <c r="AS23" i="3"/>
  <c r="B26" i="3"/>
  <c r="AH26" i="3"/>
  <c r="W45" i="4"/>
  <c r="T12" i="2" s="1"/>
  <c r="Q44" i="4"/>
  <c r="AV44" i="4"/>
  <c r="M44" i="4"/>
  <c r="AR44" i="4"/>
  <c r="AJ44" i="4"/>
  <c r="AF44" i="4"/>
  <c r="X44" i="4"/>
  <c r="E44" i="4"/>
  <c r="AN44" i="4"/>
  <c r="I44" i="4"/>
  <c r="X34" i="4"/>
  <c r="AJ38" i="4"/>
  <c r="AS8" i="3"/>
  <c r="AS24" i="3" s="1"/>
  <c r="N45" i="4"/>
  <c r="L12" i="2" s="1"/>
  <c r="AV38" i="4"/>
  <c r="M38" i="4"/>
  <c r="AR38" i="4"/>
  <c r="I38" i="4"/>
  <c r="AF38" i="4"/>
  <c r="AB38" i="4"/>
  <c r="X38" i="4"/>
  <c r="K19" i="4"/>
  <c r="K45" i="4" s="1"/>
  <c r="J12" i="2" s="1"/>
  <c r="U19" i="4"/>
  <c r="U45" i="4" s="1"/>
  <c r="R12" i="2" s="1"/>
  <c r="AE19" i="4"/>
  <c r="AP19" i="4"/>
  <c r="O45" i="4"/>
  <c r="M12" i="2" s="1"/>
  <c r="AE24" i="4"/>
  <c r="AP24" i="4"/>
  <c r="Q25" i="4"/>
  <c r="E38" i="4"/>
  <c r="AB44" i="4"/>
  <c r="M27" i="3"/>
  <c r="I18" i="2"/>
  <c r="AS27" i="3"/>
  <c r="B19" i="4"/>
  <c r="L19" i="4"/>
  <c r="L45" i="4" s="1"/>
  <c r="K12" i="2" s="1"/>
  <c r="V19" i="4"/>
  <c r="V45" i="4" s="1"/>
  <c r="S12" i="2" s="1"/>
  <c r="AG19" i="4"/>
  <c r="AG45" i="4" s="1"/>
  <c r="AA12" i="2" s="1"/>
  <c r="AQ19" i="4"/>
  <c r="AQ45" i="4" s="1"/>
  <c r="AI12" i="2" s="1"/>
  <c r="X30" i="4"/>
  <c r="Q38" i="4"/>
  <c r="AJ30" i="4"/>
  <c r="AG8" i="3"/>
  <c r="AG24" i="3" s="1"/>
  <c r="AL26" i="3"/>
  <c r="M8" i="3"/>
  <c r="AC23" i="3"/>
  <c r="M25" i="4"/>
  <c r="Q30" i="4"/>
  <c r="E27" i="3" l="1"/>
  <c r="C18" i="2"/>
  <c r="AW27" i="3"/>
  <c r="AJ18" i="2"/>
  <c r="AJ25" i="4"/>
  <c r="AP45" i="4"/>
  <c r="AH12" i="2" s="1"/>
  <c r="M24" i="3"/>
  <c r="K17" i="2" s="1"/>
  <c r="AE45" i="4"/>
  <c r="Z12" i="2" s="1"/>
  <c r="AW8" i="3"/>
  <c r="AW24" i="3" s="1"/>
  <c r="E24" i="3"/>
  <c r="E17" i="2" s="1"/>
  <c r="K46" i="1"/>
  <c r="L44" i="1"/>
  <c r="F41" i="1"/>
  <c r="G41" i="1" s="1"/>
  <c r="H41" i="1" s="1"/>
  <c r="J7" i="1"/>
  <c r="J12" i="1" s="1"/>
  <c r="I12" i="1"/>
  <c r="E48" i="1"/>
  <c r="E54" i="1" s="1"/>
  <c r="F48" i="1"/>
  <c r="F54" i="1" s="1"/>
  <c r="F27" i="1"/>
  <c r="F33" i="1" s="1"/>
  <c r="G48" i="1"/>
  <c r="G54" i="1" s="1"/>
  <c r="F24" i="1"/>
  <c r="F30" i="1" s="1"/>
  <c r="G19" i="1"/>
  <c r="AK18" i="2"/>
  <c r="AO27" i="3"/>
  <c r="AB25" i="4"/>
  <c r="AR25" i="4"/>
  <c r="Y45" i="4"/>
  <c r="U12" i="2" s="1"/>
  <c r="E47" i="1"/>
  <c r="E53" i="1" s="1"/>
  <c r="F47" i="1"/>
  <c r="F53" i="1" s="1"/>
  <c r="F23" i="1"/>
  <c r="F29" i="1" s="1"/>
  <c r="G47" i="1"/>
  <c r="G53" i="1" s="1"/>
  <c r="F26" i="1"/>
  <c r="F32" i="1" s="1"/>
  <c r="G18" i="1"/>
  <c r="X39" i="1"/>
  <c r="V39" i="1"/>
  <c r="U39" i="1"/>
  <c r="H20" i="1"/>
  <c r="Y39" i="1"/>
  <c r="Q39" i="1"/>
  <c r="Z39" i="1"/>
  <c r="AB39" i="1"/>
  <c r="W39" i="1"/>
  <c r="AA39" i="1"/>
  <c r="T39" i="1"/>
  <c r="S39" i="1"/>
  <c r="R39" i="1"/>
  <c r="AG18" i="2"/>
  <c r="AK27" i="3"/>
  <c r="Q18" i="2"/>
  <c r="U27" i="3"/>
  <c r="AV25" i="4"/>
  <c r="AN25" i="4"/>
  <c r="B45" i="4"/>
  <c r="C12" i="2" s="1"/>
  <c r="AM12" i="2" s="1"/>
  <c r="AN20" i="4"/>
  <c r="E20" i="4"/>
  <c r="E46" i="4" s="1"/>
  <c r="AJ20" i="4"/>
  <c r="AJ46" i="4" s="1"/>
  <c r="X20" i="4"/>
  <c r="X46" i="4" s="1"/>
  <c r="Q20" i="4"/>
  <c r="Q46" i="4" s="1"/>
  <c r="Q47" i="4" s="1"/>
  <c r="AR20" i="4"/>
  <c r="AF20" i="4"/>
  <c r="AF46" i="4" s="1"/>
  <c r="AB20" i="4"/>
  <c r="AB46" i="4" s="1"/>
  <c r="M20" i="4"/>
  <c r="M46" i="4" s="1"/>
  <c r="AV20" i="4"/>
  <c r="I20" i="4"/>
  <c r="I46" i="4" s="1"/>
  <c r="W18" i="2"/>
  <c r="T18" i="2"/>
  <c r="AC24" i="3"/>
  <c r="E40" i="1"/>
  <c r="F40" i="1" s="1"/>
  <c r="G40" i="1" s="1"/>
  <c r="H40" i="1" s="1"/>
  <c r="G56" i="1" l="1"/>
  <c r="G59" i="1"/>
  <c r="E57" i="1"/>
  <c r="E60" i="1"/>
  <c r="AN39" i="1"/>
  <c r="AF39" i="1"/>
  <c r="AL39" i="1"/>
  <c r="AD39" i="1"/>
  <c r="I20" i="1"/>
  <c r="AK39" i="1"/>
  <c r="AC39" i="1"/>
  <c r="AG39" i="1"/>
  <c r="AE39" i="1"/>
  <c r="AJ39" i="1"/>
  <c r="AI39" i="1"/>
  <c r="AH39" i="1"/>
  <c r="AM39" i="1"/>
  <c r="F56" i="1"/>
  <c r="F59" i="1" s="1"/>
  <c r="I41" i="1"/>
  <c r="H48" i="1"/>
  <c r="H54" i="1" s="1"/>
  <c r="G24" i="1"/>
  <c r="G30" i="1" s="1"/>
  <c r="H19" i="1"/>
  <c r="G27" i="1"/>
  <c r="G33" i="1" s="1"/>
  <c r="I40" i="1"/>
  <c r="H47" i="1"/>
  <c r="H53" i="1" s="1"/>
  <c r="AR46" i="4"/>
  <c r="M44" i="1"/>
  <c r="L46" i="1"/>
  <c r="AV46" i="4"/>
  <c r="G57" i="1"/>
  <c r="G60" i="1" s="1"/>
  <c r="E5" i="2" s="1"/>
  <c r="E8" i="2" s="1"/>
  <c r="E14" i="2" s="1"/>
  <c r="E56" i="1"/>
  <c r="E59" i="1" s="1"/>
  <c r="AN46" i="4"/>
  <c r="G26" i="1"/>
  <c r="G32" i="1" s="1"/>
  <c r="G23" i="1"/>
  <c r="G29" i="1" s="1"/>
  <c r="H18" i="1"/>
  <c r="F57" i="1"/>
  <c r="F60" i="1" s="1"/>
  <c r="D5" i="2" s="1"/>
  <c r="D8" i="2" s="1"/>
  <c r="D14" i="2" s="1"/>
  <c r="AW28" i="3"/>
  <c r="G62" i="1" l="1"/>
  <c r="H26" i="1"/>
  <c r="H32" i="1" s="1"/>
  <c r="H23" i="1"/>
  <c r="H29" i="1" s="1"/>
  <c r="I18" i="1"/>
  <c r="J41" i="1"/>
  <c r="I48" i="1"/>
  <c r="I54" i="1" s="1"/>
  <c r="J40" i="1"/>
  <c r="I47" i="1"/>
  <c r="I53" i="1" s="1"/>
  <c r="H57" i="1"/>
  <c r="H60" i="1"/>
  <c r="M46" i="1"/>
  <c r="N44" i="1"/>
  <c r="H56" i="1"/>
  <c r="H59" i="1"/>
  <c r="G63" i="1"/>
  <c r="C5" i="2"/>
  <c r="C8" i="2" s="1"/>
  <c r="H24" i="1"/>
  <c r="H30" i="1" s="1"/>
  <c r="I19" i="1"/>
  <c r="H27" i="1"/>
  <c r="H33" i="1" s="1"/>
  <c r="AW39" i="1"/>
  <c r="AO39" i="1"/>
  <c r="AX39" i="1"/>
  <c r="AU39" i="1"/>
  <c r="AT39" i="1"/>
  <c r="AY39" i="1"/>
  <c r="AP39" i="1"/>
  <c r="AV39" i="1"/>
  <c r="AS39" i="1"/>
  <c r="AR39" i="1"/>
  <c r="J20" i="1"/>
  <c r="AQ39" i="1"/>
  <c r="AZ39" i="1"/>
  <c r="J48" i="1" l="1"/>
  <c r="J54" i="1" s="1"/>
  <c r="K41" i="1"/>
  <c r="N46" i="1"/>
  <c r="O44" i="1"/>
  <c r="J18" i="1"/>
  <c r="I26" i="1"/>
  <c r="I32" i="1" s="1"/>
  <c r="I23" i="1"/>
  <c r="I29" i="1" s="1"/>
  <c r="I57" i="1"/>
  <c r="I60" i="1" s="1"/>
  <c r="I27" i="1"/>
  <c r="I33" i="1" s="1"/>
  <c r="J19" i="1"/>
  <c r="I24" i="1"/>
  <c r="I30" i="1" s="1"/>
  <c r="F5" i="2"/>
  <c r="F8" i="2" s="1"/>
  <c r="F14" i="2" s="1"/>
  <c r="C14" i="2"/>
  <c r="I56" i="1"/>
  <c r="I59" i="1"/>
  <c r="BE39" i="1"/>
  <c r="BG39" i="1"/>
  <c r="BD39" i="1"/>
  <c r="BL39" i="1"/>
  <c r="BC39" i="1"/>
  <c r="BH39" i="1"/>
  <c r="BK39" i="1"/>
  <c r="BJ39" i="1"/>
  <c r="BF39" i="1"/>
  <c r="BB39" i="1"/>
  <c r="BA39" i="1"/>
  <c r="BI39" i="1"/>
  <c r="K40" i="1"/>
  <c r="J47" i="1"/>
  <c r="J53" i="1" s="1"/>
  <c r="G5" i="2" l="1"/>
  <c r="G8" i="2" s="1"/>
  <c r="J56" i="1"/>
  <c r="J59" i="1" s="1"/>
  <c r="J27" i="1"/>
  <c r="J33" i="1" s="1"/>
  <c r="J24" i="1"/>
  <c r="J30" i="1" s="1"/>
  <c r="L40" i="1"/>
  <c r="K47" i="1"/>
  <c r="K53" i="1" s="1"/>
  <c r="C19" i="2"/>
  <c r="D19" i="2" s="1"/>
  <c r="E19" i="2" s="1"/>
  <c r="F19" i="2" s="1"/>
  <c r="K48" i="1"/>
  <c r="K54" i="1" s="1"/>
  <c r="L41" i="1"/>
  <c r="J26" i="1"/>
  <c r="J32" i="1" s="1"/>
  <c r="J23" i="1"/>
  <c r="J29" i="1" s="1"/>
  <c r="J57" i="1"/>
  <c r="J60" i="1" s="1"/>
  <c r="O46" i="1"/>
  <c r="P44" i="1"/>
  <c r="H5" i="2" l="1"/>
  <c r="H8" i="2" s="1"/>
  <c r="H14" i="2" s="1"/>
  <c r="J63" i="1"/>
  <c r="J62" i="1"/>
  <c r="Q44" i="1"/>
  <c r="P46" i="1"/>
  <c r="K56" i="1"/>
  <c r="K59" i="1" s="1"/>
  <c r="K57" i="1"/>
  <c r="K60" i="1" s="1"/>
  <c r="G19" i="2"/>
  <c r="H19" i="2" s="1"/>
  <c r="M41" i="1"/>
  <c r="L48" i="1"/>
  <c r="L54" i="1" s="1"/>
  <c r="M40" i="1"/>
  <c r="L47" i="1"/>
  <c r="L53" i="1" s="1"/>
  <c r="G14" i="2"/>
  <c r="I5" i="2" l="1"/>
  <c r="I8" i="2" s="1"/>
  <c r="L60" i="1"/>
  <c r="J5" i="2" s="1"/>
  <c r="J8" i="2" s="1"/>
  <c r="J14" i="2" s="1"/>
  <c r="L57" i="1"/>
  <c r="Q46" i="1"/>
  <c r="R44" i="1"/>
  <c r="N40" i="1"/>
  <c r="M47" i="1"/>
  <c r="M53" i="1" s="1"/>
  <c r="M48" i="1"/>
  <c r="M54" i="1" s="1"/>
  <c r="N41" i="1"/>
  <c r="L56" i="1"/>
  <c r="L59" i="1"/>
  <c r="M56" i="1" l="1"/>
  <c r="M59" i="1" s="1"/>
  <c r="M62" i="1" s="1"/>
  <c r="O40" i="1"/>
  <c r="N47" i="1"/>
  <c r="N53" i="1" s="1"/>
  <c r="N48" i="1"/>
  <c r="N54" i="1" s="1"/>
  <c r="O41" i="1"/>
  <c r="S44" i="1"/>
  <c r="R46" i="1"/>
  <c r="I14" i="2"/>
  <c r="M57" i="1"/>
  <c r="M60" i="1"/>
  <c r="K5" i="2" s="1"/>
  <c r="K8" i="2" s="1"/>
  <c r="K14" i="2" s="1"/>
  <c r="O48" i="1" l="1"/>
  <c r="O54" i="1" s="1"/>
  <c r="P41" i="1"/>
  <c r="N57" i="1"/>
  <c r="N60" i="1" s="1"/>
  <c r="P40" i="1"/>
  <c r="O47" i="1"/>
  <c r="O53" i="1" s="1"/>
  <c r="N56" i="1"/>
  <c r="N59" i="1" s="1"/>
  <c r="I19" i="2"/>
  <c r="J19" i="2" s="1"/>
  <c r="K19" i="2" s="1"/>
  <c r="J16" i="2"/>
  <c r="M63" i="1"/>
  <c r="T44" i="1"/>
  <c r="S46" i="1"/>
  <c r="L5" i="2" l="1"/>
  <c r="L8" i="2" s="1"/>
  <c r="O56" i="1"/>
  <c r="O59" i="1" s="1"/>
  <c r="Q40" i="1"/>
  <c r="P47" i="1"/>
  <c r="P53" i="1" s="1"/>
  <c r="U44" i="1"/>
  <c r="T46" i="1"/>
  <c r="P48" i="1"/>
  <c r="P54" i="1" s="1"/>
  <c r="Q41" i="1"/>
  <c r="O57" i="1"/>
  <c r="O60" i="1" s="1"/>
  <c r="M5" i="2" l="1"/>
  <c r="M8" i="2" s="1"/>
  <c r="M14" i="2" s="1"/>
  <c r="P56" i="1"/>
  <c r="P59" i="1"/>
  <c r="P65" i="1" s="1"/>
  <c r="R40" i="1"/>
  <c r="Q47" i="1"/>
  <c r="Q53" i="1" s="1"/>
  <c r="Q48" i="1"/>
  <c r="Q54" i="1" s="1"/>
  <c r="R41" i="1"/>
  <c r="P57" i="1"/>
  <c r="P60" i="1" s="1"/>
  <c r="L14" i="2"/>
  <c r="U46" i="1"/>
  <c r="V44" i="1"/>
  <c r="N5" i="2" l="1"/>
  <c r="N8" i="2" s="1"/>
  <c r="P66" i="1"/>
  <c r="P63" i="1"/>
  <c r="Q56" i="1"/>
  <c r="Q59" i="1" s="1"/>
  <c r="S40" i="1"/>
  <c r="R47" i="1"/>
  <c r="R53" i="1" s="1"/>
  <c r="L19" i="2"/>
  <c r="M19" i="2" s="1"/>
  <c r="W44" i="1"/>
  <c r="V46" i="1"/>
  <c r="R48" i="1"/>
  <c r="R54" i="1" s="1"/>
  <c r="S41" i="1"/>
  <c r="Q57" i="1"/>
  <c r="Q60" i="1"/>
  <c r="P62" i="1"/>
  <c r="S48" i="1" l="1"/>
  <c r="S54" i="1" s="1"/>
  <c r="T41" i="1"/>
  <c r="R56" i="1"/>
  <c r="R59" i="1" s="1"/>
  <c r="R57" i="1"/>
  <c r="R60" i="1" s="1"/>
  <c r="T40" i="1"/>
  <c r="S47" i="1"/>
  <c r="S53" i="1" s="1"/>
  <c r="W46" i="1"/>
  <c r="X44" i="1"/>
  <c r="N19" i="2"/>
  <c r="O5" i="2"/>
  <c r="O8" i="2" s="1"/>
  <c r="N14" i="2"/>
  <c r="N9" i="2"/>
  <c r="P5" i="2" l="1"/>
  <c r="P8" i="2" s="1"/>
  <c r="P14" i="2" s="1"/>
  <c r="S62" i="1"/>
  <c r="N15" i="2"/>
  <c r="X46" i="1"/>
  <c r="Y44" i="1"/>
  <c r="U41" i="1"/>
  <c r="T48" i="1"/>
  <c r="T54" i="1" s="1"/>
  <c r="S57" i="1"/>
  <c r="S60" i="1" s="1"/>
  <c r="S56" i="1"/>
  <c r="S59" i="1"/>
  <c r="O14" i="2"/>
  <c r="O19" i="2" s="1"/>
  <c r="P19" i="2" s="1"/>
  <c r="U40" i="1"/>
  <c r="T47" i="1"/>
  <c r="T53" i="1" s="1"/>
  <c r="Q5" i="2" l="1"/>
  <c r="S63" i="1"/>
  <c r="T56" i="1"/>
  <c r="T59" i="1"/>
  <c r="V40" i="1"/>
  <c r="U47" i="1"/>
  <c r="U53" i="1" s="1"/>
  <c r="U48" i="1"/>
  <c r="U54" i="1" s="1"/>
  <c r="V41" i="1"/>
  <c r="T57" i="1"/>
  <c r="T60" i="1" s="1"/>
  <c r="Y46" i="1"/>
  <c r="Z44" i="1"/>
  <c r="R5" i="2" l="1"/>
  <c r="R8" i="2" s="1"/>
  <c r="R14" i="2" s="1"/>
  <c r="Z46" i="1"/>
  <c r="AA44" i="1"/>
  <c r="V48" i="1"/>
  <c r="V54" i="1" s="1"/>
  <c r="W41" i="1"/>
  <c r="U56" i="1"/>
  <c r="U59" i="1"/>
  <c r="W40" i="1"/>
  <c r="V47" i="1"/>
  <c r="V53" i="1" s="1"/>
  <c r="U57" i="1"/>
  <c r="U60" i="1" s="1"/>
  <c r="Q8" i="2"/>
  <c r="S5" i="2" l="1"/>
  <c r="W48" i="1"/>
  <c r="W54" i="1" s="1"/>
  <c r="X41" i="1"/>
  <c r="V56" i="1"/>
  <c r="V59" i="1" s="1"/>
  <c r="V57" i="1"/>
  <c r="V60" i="1" s="1"/>
  <c r="AB44" i="1"/>
  <c r="AB46" i="1" s="1"/>
  <c r="AA46" i="1"/>
  <c r="X40" i="1"/>
  <c r="W47" i="1"/>
  <c r="W53" i="1" s="1"/>
  <c r="Q14" i="2"/>
  <c r="T5" i="2" l="1"/>
  <c r="T8" i="2" s="1"/>
  <c r="V63" i="1"/>
  <c r="V62" i="1"/>
  <c r="W56" i="1"/>
  <c r="W59" i="1" s="1"/>
  <c r="Y40" i="1"/>
  <c r="X47" i="1"/>
  <c r="X53" i="1" s="1"/>
  <c r="AC46" i="1"/>
  <c r="Q19" i="2"/>
  <c r="R19" i="2" s="1"/>
  <c r="Y41" i="1"/>
  <c r="X48" i="1"/>
  <c r="X54" i="1" s="1"/>
  <c r="W60" i="1"/>
  <c r="W57" i="1"/>
  <c r="S8" i="2"/>
  <c r="U5" i="2" l="1"/>
  <c r="X56" i="1"/>
  <c r="X59" i="1" s="1"/>
  <c r="X57" i="1"/>
  <c r="X60" i="1"/>
  <c r="V5" i="2" s="1"/>
  <c r="V8" i="2" s="1"/>
  <c r="V14" i="2" s="1"/>
  <c r="Z40" i="1"/>
  <c r="Y47" i="1"/>
  <c r="Y53" i="1" s="1"/>
  <c r="Y48" i="1"/>
  <c r="Y54" i="1" s="1"/>
  <c r="Z41" i="1"/>
  <c r="AD46" i="1"/>
  <c r="S14" i="2"/>
  <c r="T14" i="2"/>
  <c r="T9" i="2"/>
  <c r="AE46" i="1" l="1"/>
  <c r="T15" i="2"/>
  <c r="S19" i="2"/>
  <c r="T19" i="2" s="1"/>
  <c r="Z48" i="1"/>
  <c r="Z54" i="1" s="1"/>
  <c r="AA41" i="1"/>
  <c r="Y57" i="1"/>
  <c r="Y60" i="1" s="1"/>
  <c r="U8" i="2"/>
  <c r="Y56" i="1"/>
  <c r="Y59" i="1"/>
  <c r="Y62" i="1" s="1"/>
  <c r="AA40" i="1"/>
  <c r="Z47" i="1"/>
  <c r="Z53" i="1" s="1"/>
  <c r="W5" i="2" l="1"/>
  <c r="Y63" i="1"/>
  <c r="AB40" i="1"/>
  <c r="AA47" i="1"/>
  <c r="AA53" i="1" s="1"/>
  <c r="Z57" i="1"/>
  <c r="Z60" i="1" s="1"/>
  <c r="U14" i="2"/>
  <c r="U19" i="2" s="1"/>
  <c r="V19" i="2" s="1"/>
  <c r="AF46" i="1"/>
  <c r="Z56" i="1"/>
  <c r="Z59" i="1" s="1"/>
  <c r="AA48" i="1"/>
  <c r="AA54" i="1" s="1"/>
  <c r="AB41" i="1"/>
  <c r="X5" i="2" l="1"/>
  <c r="X8" i="2" s="1"/>
  <c r="X14" i="2" s="1"/>
  <c r="AC41" i="1"/>
  <c r="AB48" i="1"/>
  <c r="AB54" i="1" s="1"/>
  <c r="AA57" i="1"/>
  <c r="AA60" i="1" s="1"/>
  <c r="AA56" i="1"/>
  <c r="AA59" i="1"/>
  <c r="AC40" i="1"/>
  <c r="AB47" i="1"/>
  <c r="AB53" i="1" s="1"/>
  <c r="AG46" i="1"/>
  <c r="W8" i="2"/>
  <c r="Y5" i="2" l="1"/>
  <c r="W14" i="2"/>
  <c r="W19" i="2" s="1"/>
  <c r="X19" i="2" s="1"/>
  <c r="AB60" i="1"/>
  <c r="AB57" i="1"/>
  <c r="AH46" i="1"/>
  <c r="AC48" i="1"/>
  <c r="AC54" i="1" s="1"/>
  <c r="AD41" i="1"/>
  <c r="AB56" i="1"/>
  <c r="AB59" i="1"/>
  <c r="AB65" i="1" s="1"/>
  <c r="AD40" i="1"/>
  <c r="AC47" i="1"/>
  <c r="AC53" i="1" s="1"/>
  <c r="AC56" i="1" l="1"/>
  <c r="AC59" i="1" s="1"/>
  <c r="Z5" i="2"/>
  <c r="Z8" i="2" s="1"/>
  <c r="AB66" i="1"/>
  <c r="AE41" i="1"/>
  <c r="AD48" i="1"/>
  <c r="AD54" i="1" s="1"/>
  <c r="AC57" i="1"/>
  <c r="AC60" i="1" s="1"/>
  <c r="AE40" i="1"/>
  <c r="AD47" i="1"/>
  <c r="AD53" i="1" s="1"/>
  <c r="AB63" i="1"/>
  <c r="Y8" i="2"/>
  <c r="Y14" i="2" s="1"/>
  <c r="Y19" i="2" s="1"/>
  <c r="AI46" i="1"/>
  <c r="AB62" i="1"/>
  <c r="AA5" i="2" l="1"/>
  <c r="AA8" i="2" s="1"/>
  <c r="AD57" i="1"/>
  <c r="AD60" i="1"/>
  <c r="AB5" i="2" s="1"/>
  <c r="AB8" i="2" s="1"/>
  <c r="AB14" i="2" s="1"/>
  <c r="AE48" i="1"/>
  <c r="AE54" i="1" s="1"/>
  <c r="AF41" i="1"/>
  <c r="AJ46" i="1"/>
  <c r="Z14" i="2"/>
  <c r="Z9" i="2"/>
  <c r="AD56" i="1"/>
  <c r="AD59" i="1"/>
  <c r="AF40" i="1"/>
  <c r="AE47" i="1"/>
  <c r="AE53" i="1" s="1"/>
  <c r="Z16" i="2" l="1"/>
  <c r="Z15" i="2"/>
  <c r="Z19" i="2"/>
  <c r="AA19" i="2" s="1"/>
  <c r="AB19" i="2" s="1"/>
  <c r="AK46" i="1"/>
  <c r="AE56" i="1"/>
  <c r="AE59" i="1" s="1"/>
  <c r="AA14" i="2"/>
  <c r="AG41" i="1"/>
  <c r="AF48" i="1"/>
  <c r="AF54" i="1" s="1"/>
  <c r="AG40" i="1"/>
  <c r="AF47" i="1"/>
  <c r="AF53" i="1" s="1"/>
  <c r="AE57" i="1"/>
  <c r="AE60" i="1" s="1"/>
  <c r="AE62" i="1" l="1"/>
  <c r="AC5" i="2"/>
  <c r="AC8" i="2" s="1"/>
  <c r="AE63" i="1"/>
  <c r="AF56" i="1"/>
  <c r="AF59" i="1" s="1"/>
  <c r="AH40" i="1"/>
  <c r="AG47" i="1"/>
  <c r="AG53" i="1" s="1"/>
  <c r="AH41" i="1"/>
  <c r="AG48" i="1"/>
  <c r="AG54" i="1" s="1"/>
  <c r="AL46" i="1"/>
  <c r="AF57" i="1"/>
  <c r="AF60" i="1"/>
  <c r="AM46" i="1" l="1"/>
  <c r="AI40" i="1"/>
  <c r="AH47" i="1"/>
  <c r="AH53" i="1" s="1"/>
  <c r="AG60" i="1"/>
  <c r="AE5" i="2" s="1"/>
  <c r="AE8" i="2" s="1"/>
  <c r="AE14" i="2" s="1"/>
  <c r="AG57" i="1"/>
  <c r="AH48" i="1"/>
  <c r="AH54" i="1" s="1"/>
  <c r="AI41" i="1"/>
  <c r="AD5" i="2"/>
  <c r="AD8" i="2" s="1"/>
  <c r="AD14" i="2" s="1"/>
  <c r="AC14" i="2"/>
  <c r="AG59" i="1"/>
  <c r="AG56" i="1"/>
  <c r="AI48" i="1" l="1"/>
  <c r="AI54" i="1" s="1"/>
  <c r="AJ41" i="1"/>
  <c r="AH56" i="1"/>
  <c r="AH59" i="1" s="1"/>
  <c r="AC19" i="2"/>
  <c r="AD19" i="2" s="1"/>
  <c r="AE19" i="2" s="1"/>
  <c r="AJ40" i="1"/>
  <c r="AI47" i="1"/>
  <c r="AI53" i="1" s="1"/>
  <c r="AN46" i="1"/>
  <c r="AH57" i="1"/>
  <c r="AH60" i="1" s="1"/>
  <c r="AF5" i="2" l="1"/>
  <c r="AF8" i="2" s="1"/>
  <c r="AH63" i="1"/>
  <c r="AH62" i="1"/>
  <c r="AO46" i="1"/>
  <c r="AJ48" i="1"/>
  <c r="AJ54" i="1" s="1"/>
  <c r="AK41" i="1"/>
  <c r="AI57" i="1"/>
  <c r="AI60" i="1" s="1"/>
  <c r="AI56" i="1"/>
  <c r="AI59" i="1"/>
  <c r="AK40" i="1"/>
  <c r="AJ47" i="1"/>
  <c r="AJ53" i="1" s="1"/>
  <c r="AG5" i="2" l="1"/>
  <c r="AG8" i="2" s="1"/>
  <c r="AG14" i="2" s="1"/>
  <c r="AJ57" i="1"/>
  <c r="AJ60" i="1"/>
  <c r="AH5" i="2" s="1"/>
  <c r="AH8" i="2" s="1"/>
  <c r="AH14" i="2" s="1"/>
  <c r="AK48" i="1"/>
  <c r="AK54" i="1" s="1"/>
  <c r="AL41" i="1"/>
  <c r="AJ56" i="1"/>
  <c r="AJ59" i="1"/>
  <c r="AL40" i="1"/>
  <c r="AK47" i="1"/>
  <c r="AK53" i="1" s="1"/>
  <c r="AP46" i="1"/>
  <c r="AF14" i="2"/>
  <c r="AF19" i="2" l="1"/>
  <c r="AG19" i="2" s="1"/>
  <c r="AH19" i="2" s="1"/>
  <c r="AL48" i="1"/>
  <c r="AL54" i="1" s="1"/>
  <c r="AM41" i="1"/>
  <c r="AK57" i="1"/>
  <c r="AK60" i="1"/>
  <c r="AI5" i="2" s="1"/>
  <c r="AI8" i="2" s="1"/>
  <c r="AQ46" i="1"/>
  <c r="AK56" i="1"/>
  <c r="AK59" i="1"/>
  <c r="AK62" i="1" s="1"/>
  <c r="AM40" i="1"/>
  <c r="AL47" i="1"/>
  <c r="AL53" i="1" s="1"/>
  <c r="AL56" i="1" l="1"/>
  <c r="AL59" i="1" s="1"/>
  <c r="AI14" i="2"/>
  <c r="AN40" i="1"/>
  <c r="AM47" i="1"/>
  <c r="AM53" i="1" s="1"/>
  <c r="AM48" i="1"/>
  <c r="AM54" i="1" s="1"/>
  <c r="AN41" i="1"/>
  <c r="AK63" i="1"/>
  <c r="AL57" i="1"/>
  <c r="AL60" i="1"/>
  <c r="AR46" i="1"/>
  <c r="AS46" i="1" l="1"/>
  <c r="AM56" i="1"/>
  <c r="AM59" i="1" s="1"/>
  <c r="AJ5" i="2"/>
  <c r="AJ8" i="2" s="1"/>
  <c r="AJ14" i="2" s="1"/>
  <c r="AM57" i="1"/>
  <c r="AM60" i="1" s="1"/>
  <c r="AO40" i="1"/>
  <c r="AN47" i="1"/>
  <c r="AN53" i="1" s="1"/>
  <c r="AI19" i="2"/>
  <c r="AO41" i="1"/>
  <c r="AN48" i="1"/>
  <c r="AN54" i="1" s="1"/>
  <c r="AK5" i="2" l="1"/>
  <c r="AK8" i="2" s="1"/>
  <c r="AK14" i="2" s="1"/>
  <c r="AN57" i="1"/>
  <c r="AN60" i="1"/>
  <c r="AO48" i="1"/>
  <c r="AO54" i="1" s="1"/>
  <c r="AP41" i="1"/>
  <c r="AJ19" i="2"/>
  <c r="AK19" i="2" s="1"/>
  <c r="AN56" i="1"/>
  <c r="AN59" i="1" s="1"/>
  <c r="AP40" i="1"/>
  <c r="AO47" i="1"/>
  <c r="AO53" i="1" s="1"/>
  <c r="AT46" i="1"/>
  <c r="AN65" i="1" l="1"/>
  <c r="AN62" i="1"/>
  <c r="AU46" i="1"/>
  <c r="AO57" i="1"/>
  <c r="AO60" i="1"/>
  <c r="AL5" i="2"/>
  <c r="AN66" i="1"/>
  <c r="AN63" i="1"/>
  <c r="AQ41" i="1"/>
  <c r="AP48" i="1"/>
  <c r="AP54" i="1" s="1"/>
  <c r="AO56" i="1"/>
  <c r="AO59" i="1" s="1"/>
  <c r="AQ40" i="1"/>
  <c r="AP47" i="1"/>
  <c r="AP53" i="1" s="1"/>
  <c r="AP56" i="1" l="1"/>
  <c r="AP59" i="1" s="1"/>
  <c r="AR40" i="1"/>
  <c r="AQ47" i="1"/>
  <c r="AQ53" i="1" s="1"/>
  <c r="AP57" i="1"/>
  <c r="AP60" i="1" s="1"/>
  <c r="AV46" i="1"/>
  <c r="AL8" i="2"/>
  <c r="AM5" i="2"/>
  <c r="AQ48" i="1"/>
  <c r="AQ54" i="1" s="1"/>
  <c r="AR41" i="1"/>
  <c r="AR48" i="1" l="1"/>
  <c r="AR54" i="1" s="1"/>
  <c r="AS41" i="1"/>
  <c r="AQ57" i="1"/>
  <c r="AQ60" i="1" s="1"/>
  <c r="AL14" i="2"/>
  <c r="AM8" i="2"/>
  <c r="AL9" i="2"/>
  <c r="AQ56" i="1"/>
  <c r="AQ59" i="1" s="1"/>
  <c r="AS40" i="1"/>
  <c r="AR47" i="1"/>
  <c r="AR53" i="1" s="1"/>
  <c r="AW46" i="1"/>
  <c r="AQ62" i="1" l="1"/>
  <c r="AQ63" i="1"/>
  <c r="AR56" i="1"/>
  <c r="AR59" i="1"/>
  <c r="AT40" i="1"/>
  <c r="AS47" i="1"/>
  <c r="AS53" i="1" s="1"/>
  <c r="AS48" i="1"/>
  <c r="AS54" i="1" s="1"/>
  <c r="AT41" i="1"/>
  <c r="AX46" i="1"/>
  <c r="AR57" i="1"/>
  <c r="AR60" i="1" s="1"/>
  <c r="AM14" i="2"/>
  <c r="AN14" i="2" s="1"/>
  <c r="AL15" i="2"/>
  <c r="AL19" i="2"/>
  <c r="AU40" i="1" l="1"/>
  <c r="AT47" i="1"/>
  <c r="AT53" i="1" s="1"/>
  <c r="AS56" i="1"/>
  <c r="AS59" i="1"/>
  <c r="AY46" i="1"/>
  <c r="AT48" i="1"/>
  <c r="AT54" i="1" s="1"/>
  <c r="AU41" i="1"/>
  <c r="AS57" i="1"/>
  <c r="AS60" i="1"/>
  <c r="AZ46" i="1" l="1"/>
  <c r="AU48" i="1"/>
  <c r="AU54" i="1" s="1"/>
  <c r="AV41" i="1"/>
  <c r="AT56" i="1"/>
  <c r="AT59" i="1"/>
  <c r="AT62" i="1" s="1"/>
  <c r="AT57" i="1"/>
  <c r="AT60" i="1"/>
  <c r="AT63" i="1" s="1"/>
  <c r="AV40" i="1"/>
  <c r="AU47" i="1"/>
  <c r="AU53" i="1" s="1"/>
  <c r="AU56" i="1" l="1"/>
  <c r="AU59" i="1"/>
  <c r="AW40" i="1"/>
  <c r="AV47" i="1"/>
  <c r="AV53" i="1" s="1"/>
  <c r="AV48" i="1"/>
  <c r="AV54" i="1" s="1"/>
  <c r="AW41" i="1"/>
  <c r="AU57" i="1"/>
  <c r="AU60" i="1"/>
  <c r="BA46" i="1"/>
  <c r="AV57" i="1" l="1"/>
  <c r="AV60" i="1"/>
  <c r="AX41" i="1"/>
  <c r="AW48" i="1"/>
  <c r="AW54" i="1" s="1"/>
  <c r="AV56" i="1"/>
  <c r="AV59" i="1"/>
  <c r="AX40" i="1"/>
  <c r="AW47" i="1"/>
  <c r="AW53" i="1" s="1"/>
  <c r="BB46" i="1"/>
  <c r="BC46" i="1" l="1"/>
  <c r="AY40" i="1"/>
  <c r="AX47" i="1"/>
  <c r="AX53" i="1" s="1"/>
  <c r="AW57" i="1"/>
  <c r="AW60" i="1"/>
  <c r="AW63" i="1" s="1"/>
  <c r="AX48" i="1"/>
  <c r="AX54" i="1" s="1"/>
  <c r="AY41" i="1"/>
  <c r="AW56" i="1"/>
  <c r="AW59" i="1" s="1"/>
  <c r="AW62" i="1" s="1"/>
  <c r="AZ40" i="1" l="1"/>
  <c r="AY47" i="1"/>
  <c r="AY53" i="1" s="1"/>
  <c r="AX56" i="1"/>
  <c r="AX59" i="1" s="1"/>
  <c r="BD46" i="1"/>
  <c r="AY48" i="1"/>
  <c r="AY54" i="1" s="1"/>
  <c r="AZ41" i="1"/>
  <c r="AX57" i="1"/>
  <c r="AX60" i="1" s="1"/>
  <c r="AY57" i="1" l="1"/>
  <c r="AY60" i="1" s="1"/>
  <c r="AZ48" i="1"/>
  <c r="AZ54" i="1" s="1"/>
  <c r="BA41" i="1"/>
  <c r="BE46" i="1"/>
  <c r="AY56" i="1"/>
  <c r="AY59" i="1" s="1"/>
  <c r="BA40" i="1"/>
  <c r="AZ47" i="1"/>
  <c r="AZ53" i="1" s="1"/>
  <c r="BF46" i="1" l="1"/>
  <c r="AZ57" i="1"/>
  <c r="AZ60" i="1" s="1"/>
  <c r="BA48" i="1"/>
  <c r="BA54" i="1" s="1"/>
  <c r="BB41" i="1"/>
  <c r="AZ56" i="1"/>
  <c r="AZ59" i="1"/>
  <c r="AZ65" i="1" s="1"/>
  <c r="BB40" i="1"/>
  <c r="BA47" i="1"/>
  <c r="BA53" i="1" s="1"/>
  <c r="AZ66" i="1" l="1"/>
  <c r="AZ63" i="1"/>
  <c r="BA57" i="1"/>
  <c r="BA60" i="1" s="1"/>
  <c r="BG46" i="1"/>
  <c r="BC41" i="1"/>
  <c r="BB48" i="1"/>
  <c r="BB54" i="1" s="1"/>
  <c r="BA56" i="1"/>
  <c r="BA59" i="1"/>
  <c r="BC40" i="1"/>
  <c r="BB47" i="1"/>
  <c r="BB53" i="1" s="1"/>
  <c r="AZ62" i="1"/>
  <c r="BB57" i="1" l="1"/>
  <c r="BB60" i="1" s="1"/>
  <c r="BD41" i="1"/>
  <c r="BC48" i="1"/>
  <c r="BC54" i="1" s="1"/>
  <c r="BH46" i="1"/>
  <c r="BB56" i="1"/>
  <c r="BB59" i="1"/>
  <c r="BD40" i="1"/>
  <c r="BC47" i="1"/>
  <c r="BC53" i="1" s="1"/>
  <c r="BI46" i="1" l="1"/>
  <c r="BC57" i="1"/>
  <c r="BC60" i="1"/>
  <c r="BC63" i="1" s="1"/>
  <c r="BE41" i="1"/>
  <c r="BD48" i="1"/>
  <c r="BD54" i="1" s="1"/>
  <c r="BC56" i="1"/>
  <c r="BC59" i="1"/>
  <c r="BE40" i="1"/>
  <c r="BD47" i="1"/>
  <c r="BD53" i="1" s="1"/>
  <c r="BD57" i="1" l="1"/>
  <c r="BD60" i="1"/>
  <c r="BE48" i="1"/>
  <c r="BE54" i="1" s="1"/>
  <c r="BF41" i="1"/>
  <c r="BD56" i="1"/>
  <c r="BD59" i="1" s="1"/>
  <c r="BF40" i="1"/>
  <c r="BE47" i="1"/>
  <c r="BE53" i="1" s="1"/>
  <c r="BJ46" i="1"/>
  <c r="BC62" i="1"/>
  <c r="BG40" i="1" l="1"/>
  <c r="BF47" i="1"/>
  <c r="BF53" i="1" s="1"/>
  <c r="BE56" i="1"/>
  <c r="BE59" i="1" s="1"/>
  <c r="BF48" i="1"/>
  <c r="BF54" i="1" s="1"/>
  <c r="BG41" i="1"/>
  <c r="BE57" i="1"/>
  <c r="BE60" i="1"/>
  <c r="BK46" i="1"/>
  <c r="BG48" i="1" l="1"/>
  <c r="BG54" i="1" s="1"/>
  <c r="BH41" i="1"/>
  <c r="BF56" i="1"/>
  <c r="BF59" i="1" s="1"/>
  <c r="BF57" i="1"/>
  <c r="BF60" i="1" s="1"/>
  <c r="BF63" i="1" s="1"/>
  <c r="BL46" i="1"/>
  <c r="BH40" i="1"/>
  <c r="BG47" i="1"/>
  <c r="BG53" i="1" s="1"/>
  <c r="BF62" i="1" l="1"/>
  <c r="BG56" i="1"/>
  <c r="BG59" i="1" s="1"/>
  <c r="BI40" i="1"/>
  <c r="BH47" i="1"/>
  <c r="BH53" i="1" s="1"/>
  <c r="BH48" i="1"/>
  <c r="BH54" i="1" s="1"/>
  <c r="BI41" i="1"/>
  <c r="BG57" i="1"/>
  <c r="BG60" i="1"/>
  <c r="BH57" i="1" l="1"/>
  <c r="BH60" i="1" s="1"/>
  <c r="BJ40" i="1"/>
  <c r="BI47" i="1"/>
  <c r="BI53" i="1" s="1"/>
  <c r="BI48" i="1"/>
  <c r="BI54" i="1" s="1"/>
  <c r="BJ41" i="1"/>
  <c r="BH56" i="1"/>
  <c r="BH59" i="1" s="1"/>
  <c r="BJ48" i="1" l="1"/>
  <c r="BJ54" i="1" s="1"/>
  <c r="BK41" i="1"/>
  <c r="BI57" i="1"/>
  <c r="BI60" i="1" s="1"/>
  <c r="BI63" i="1" s="1"/>
  <c r="BI56" i="1"/>
  <c r="BI59" i="1" s="1"/>
  <c r="BI62" i="1" s="1"/>
  <c r="BK40" i="1"/>
  <c r="BJ47" i="1"/>
  <c r="BJ53" i="1" s="1"/>
  <c r="BL41" i="1" l="1"/>
  <c r="BL48" i="1" s="1"/>
  <c r="BL54" i="1" s="1"/>
  <c r="BK48" i="1"/>
  <c r="BK54" i="1" s="1"/>
  <c r="BJ57" i="1"/>
  <c r="BJ60" i="1" s="1"/>
  <c r="BJ56" i="1"/>
  <c r="BJ59" i="1" s="1"/>
  <c r="BL40" i="1"/>
  <c r="BL47" i="1" s="1"/>
  <c r="BL53" i="1" s="1"/>
  <c r="BK47" i="1"/>
  <c r="BK53" i="1" s="1"/>
  <c r="BK56" i="1" l="1"/>
  <c r="BK59" i="1"/>
  <c r="BL62" i="1" s="1"/>
  <c r="BL56" i="1"/>
  <c r="BL59" i="1"/>
  <c r="BL65" i="1" s="1"/>
  <c r="BK57" i="1"/>
  <c r="BK60" i="1" s="1"/>
  <c r="BL63" i="1" s="1"/>
  <c r="BL57" i="1"/>
  <c r="BL60" i="1"/>
  <c r="BL66" i="1" l="1"/>
</calcChain>
</file>

<file path=xl/sharedStrings.xml><?xml version="1.0" encoding="utf-8"?>
<sst xmlns="http://schemas.openxmlformats.org/spreadsheetml/2006/main" count="191" uniqueCount="145">
  <si>
    <t>API LLM Token Pricing</t>
  </si>
  <si>
    <t xml:space="preserve">Marketplace </t>
  </si>
  <si>
    <t>Baseline Price</t>
  </si>
  <si>
    <t>Pricing*</t>
  </si>
  <si>
    <t>Input Tokens*</t>
  </si>
  <si>
    <t>Input Tokens</t>
  </si>
  <si>
    <t>Output Tokens*</t>
  </si>
  <si>
    <t>Output Tokens</t>
  </si>
  <si>
    <t>Annual Price Inflation</t>
  </si>
  <si>
    <t>Average I/O Price</t>
  </si>
  <si>
    <t>Privacy Service</t>
  </si>
  <si>
    <t>Privacy Services**</t>
  </si>
  <si>
    <t>Long Context</t>
  </si>
  <si>
    <t>Privacy + Long Context</t>
  </si>
  <si>
    <t>Long Context**</t>
  </si>
  <si>
    <t>Platform Average</t>
  </si>
  <si>
    <t>Input/Output Ratio (1:9)</t>
  </si>
  <si>
    <t xml:space="preserve">Privacy </t>
  </si>
  <si>
    <t>Token Demand</t>
  </si>
  <si>
    <t>Cost Factor (COGS)</t>
  </si>
  <si>
    <t>*Price Per Million Tokens</t>
  </si>
  <si>
    <t>Low Usage</t>
  </si>
  <si>
    <t>**Price Premiums</t>
  </si>
  <si>
    <t>High Usage</t>
  </si>
  <si>
    <t>CAGR</t>
  </si>
  <si>
    <t>Monthly Token Output***</t>
  </si>
  <si>
    <t>Baseline</t>
  </si>
  <si>
    <t>Market Capture</t>
  </si>
  <si>
    <t>Low (Trillions Tokens)</t>
  </si>
  <si>
    <t>High (Trillions Tokens)</t>
  </si>
  <si>
    <t>CAGR Growth</t>
  </si>
  <si>
    <t>***Trillions of Tokens</t>
  </si>
  <si>
    <t>Annual Revenue  @ 1%</t>
  </si>
  <si>
    <t>Annual Revenue @ 1%</t>
  </si>
  <si>
    <t>Low</t>
  </si>
  <si>
    <t>Annual Revenue @ 5%</t>
  </si>
  <si>
    <t>High</t>
  </si>
  <si>
    <t>Global Token Demand Growth Monthly (Based on CAGR &amp; CAGR Growth)</t>
  </si>
  <si>
    <t>Monthly Growth</t>
  </si>
  <si>
    <t>Refiant Market Capture</t>
  </si>
  <si>
    <t>24 Months S-Curve</t>
  </si>
  <si>
    <t>Market Share (End)</t>
  </si>
  <si>
    <t>Endpoint</t>
  </si>
  <si>
    <t>Market Share (%)</t>
  </si>
  <si>
    <t>Midpoint</t>
  </si>
  <si>
    <t>Startpoint</t>
  </si>
  <si>
    <t>k-Factor</t>
  </si>
  <si>
    <t>25-36 Months Annualized Growth</t>
  </si>
  <si>
    <t>API Model Revenue Forecast</t>
  </si>
  <si>
    <t>24 Month S-Curve Ramp</t>
  </si>
  <si>
    <t>50% Annualized Growth Curve</t>
  </si>
  <si>
    <t>33% Annualized Growth Curve</t>
  </si>
  <si>
    <t>25% Annualized Growth Curve</t>
  </si>
  <si>
    <t>Annualized Growth</t>
  </si>
  <si>
    <t>Revenue Low (Trillions Tokens)</t>
  </si>
  <si>
    <t>Revenue High (Trillions Tokens)</t>
  </si>
  <si>
    <t>37-48 Months Annualized Growth</t>
  </si>
  <si>
    <t>COGS Low (20%)</t>
  </si>
  <si>
    <t>COGS High (20%)</t>
  </si>
  <si>
    <t>Gross Profit (Net MRR) Low</t>
  </si>
  <si>
    <t>Gross Profit (Net MRR) High</t>
  </si>
  <si>
    <t>49-60 Months</t>
  </si>
  <si>
    <t>Gross Profit Quarterly (Low)</t>
  </si>
  <si>
    <t>Gross Profit Quarterly (High)</t>
  </si>
  <si>
    <t xml:space="preserve">Gross Profit Annual (Low) </t>
  </si>
  <si>
    <t>Gross Profit Annual (High)</t>
  </si>
  <si>
    <t>Details in this file are Under NDA</t>
  </si>
  <si>
    <t>Variables</t>
  </si>
  <si>
    <t>Month</t>
  </si>
  <si>
    <t>3 Year Totals</t>
  </si>
  <si>
    <t>API Token Net Revenue</t>
  </si>
  <si>
    <t>Total Monthly Revenue</t>
  </si>
  <si>
    <t>Total Annual Revenue</t>
  </si>
  <si>
    <t>Year 1</t>
  </si>
  <si>
    <t>18 Months</t>
  </si>
  <si>
    <t>Year 2</t>
  </si>
  <si>
    <t>Year 3</t>
  </si>
  <si>
    <t>Cost Structure</t>
  </si>
  <si>
    <t>Opex Cost (Opex Montly)</t>
  </si>
  <si>
    <t>Net Profit/Loss</t>
  </si>
  <si>
    <t>Total Annual Net Profit/Loss</t>
  </si>
  <si>
    <t>Capex</t>
  </si>
  <si>
    <t>Cost Category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</si>
  <si>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</si>
  <si>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</si>
  <si>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</si>
  <si>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</si>
  <si>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</si>
  <si>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</si>
  <si>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</si>
  <si>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</si>
  <si>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</si>
  <si>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</si>
  <si>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</si>
  <si>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</si>
  <si>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Legal</t>
  </si>
  <si>
    <t>Legal &amp; IP</t>
  </si>
  <si>
    <t>Patent Costs</t>
  </si>
  <si>
    <t>Legal Services</t>
  </si>
  <si>
    <t>Legal and IP Subtotal</t>
  </si>
  <si>
    <t xml:space="preserve">IP Subtotal </t>
  </si>
  <si>
    <t>Cloud</t>
  </si>
  <si>
    <t>Training/Experiment Budget</t>
  </si>
  <si>
    <t>Cloud Subtotal</t>
  </si>
  <si>
    <t>Employee Equipment</t>
  </si>
  <si>
    <t>Employee Equipment (x10)</t>
  </si>
  <si>
    <t xml:space="preserve">Investor Closing </t>
  </si>
  <si>
    <t>Other</t>
  </si>
  <si>
    <t>H1-B Visa</t>
  </si>
  <si>
    <t>other subtotal</t>
  </si>
  <si>
    <t>Total:</t>
  </si>
  <si>
    <t>Personal and Services</t>
  </si>
  <si>
    <t>CEO</t>
  </si>
  <si>
    <t>CTO</t>
  </si>
  <si>
    <t>CPO/COO</t>
  </si>
  <si>
    <t>CFO (fractional first 6 months)</t>
  </si>
  <si>
    <t>AI Research Engineer #1</t>
  </si>
  <si>
    <t>AI Research Engineer #2</t>
  </si>
  <si>
    <t>Product Engineer #1</t>
  </si>
  <si>
    <t>Product Engineer #2</t>
  </si>
  <si>
    <t>UX/UI Frontend Developer</t>
  </si>
  <si>
    <t>DevOPs Team</t>
  </si>
  <si>
    <t>HR Services</t>
  </si>
  <si>
    <t>GC Services</t>
  </si>
  <si>
    <t>Accounting Services</t>
  </si>
  <si>
    <t>Customer Success (Sales) #1</t>
  </si>
  <si>
    <t>Customer Success (Sales) #2</t>
  </si>
  <si>
    <t>Personal and Services Subtotal</t>
  </si>
  <si>
    <t>Sales and Marketing</t>
  </si>
  <si>
    <t>Agency Fees</t>
  </si>
  <si>
    <t>Advertising</t>
  </si>
  <si>
    <t>Sales and Marketing Subtotal</t>
  </si>
  <si>
    <t>Travel Expenses</t>
  </si>
  <si>
    <t>Travel &amp; Accommodation</t>
  </si>
  <si>
    <t>Travel and Expenses Subtotal</t>
  </si>
  <si>
    <t>Infrastructure</t>
  </si>
  <si>
    <t>Hosting and Storage</t>
  </si>
  <si>
    <t>Infrastructure Subtotal</t>
  </si>
  <si>
    <t>Rent</t>
  </si>
  <si>
    <t>Insurance</t>
  </si>
  <si>
    <t>Utilities</t>
  </si>
  <si>
    <t>Other Subtotal</t>
  </si>
  <si>
    <t>Monthly Cost</t>
  </si>
  <si>
    <t>Total Cost</t>
  </si>
  <si>
    <t>Opex and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</si>
</sst>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#,##0.0"/>
    <numFmt numFmtId="167" formatCode="0.000%"/>
    <numFmt numFmtId="168" formatCode="0.0"/>
    <numFmt numFmtId="169" formatCode="0.000000%"/>
    <numFmt numFmtId="170" formatCode="#,##0.0000"/>
  </numFmts>
  <fonts count="10" x14ac:knownFonts="1">
    <font>
      <sz val="10"/>
      <color rgb="FF000000"/>
      <name val="Arial"/>
      <scheme val="minor"/>
    </font>
    <font>
      <b/>
      <sz val="9"/>
      <color theme="1"/>
      <name val="Nunito"/>
    </font>
    <font>
      <i/>
      <sz val="9"/>
      <color theme="1"/>
      <name val="Nunito"/>
    </font>
    <font>
      <sz val="9"/>
      <color theme="1"/>
      <name val="Nunito"/>
    </font>
    <font>
      <b/>
      <i/>
      <sz val="9"/>
      <color theme="1"/>
      <name val="Nunito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9"/>
      <color rgb="FF4285F4"/>
      <name val="Nunito"/>
    </font>
    <font>
      <b/>
      <sz val="9"/>
      <color rgb="FF4285F4"/>
      <name val="Nunito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4" fillId="3" borderId="0" xfId="0" applyFont="1" applyFill="1"/>
    <xf numFmtId="0" fontId="4" fillId="2" borderId="7" xfId="0" applyFont="1" applyFill="1" applyBorder="1"/>
    <xf numFmtId="0" fontId="4" fillId="2" borderId="8" xfId="0" applyFont="1" applyFill="1" applyBorder="1"/>
    <xf numFmtId="164" fontId="3" fillId="0" borderId="4" xfId="0" applyNumberFormat="1" applyFont="1" applyBorder="1"/>
    <xf numFmtId="0" fontId="3" fillId="3" borderId="0" xfId="0" applyFont="1" applyFill="1"/>
    <xf numFmtId="0" fontId="3" fillId="0" borderId="9" xfId="0" applyFont="1" applyBorder="1"/>
    <xf numFmtId="164" fontId="3" fillId="0" borderId="0" xfId="0" applyNumberFormat="1" applyFont="1"/>
    <xf numFmtId="10" fontId="3" fillId="0" borderId="4" xfId="0" applyNumberFormat="1" applyFont="1" applyBorder="1"/>
    <xf numFmtId="9" fontId="3" fillId="0" borderId="4" xfId="0" applyNumberFormat="1" applyFont="1" applyBorder="1"/>
    <xf numFmtId="165" fontId="3" fillId="0" borderId="0" xfId="0" applyNumberFormat="1" applyFont="1"/>
    <xf numFmtId="165" fontId="3" fillId="3" borderId="0" xfId="0" applyNumberFormat="1" applyFont="1" applyFill="1"/>
    <xf numFmtId="165" fontId="3" fillId="0" borderId="9" xfId="0" applyNumberFormat="1" applyFont="1" applyBorder="1"/>
    <xf numFmtId="165" fontId="3" fillId="0" borderId="4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6" xfId="0" applyNumberFormat="1" applyFont="1" applyBorder="1"/>
    <xf numFmtId="166" fontId="3" fillId="0" borderId="4" xfId="0" applyNumberFormat="1" applyFont="1" applyBorder="1"/>
    <xf numFmtId="4" fontId="3" fillId="0" borderId="4" xfId="0" applyNumberFormat="1" applyFont="1" applyBorder="1"/>
    <xf numFmtId="0" fontId="3" fillId="0" borderId="3" xfId="0" applyFont="1" applyBorder="1" applyAlignment="1">
      <alignment wrapText="1"/>
    </xf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4" fontId="3" fillId="0" borderId="0" xfId="0" applyNumberFormat="1" applyFont="1"/>
    <xf numFmtId="4" fontId="3" fillId="0" borderId="0" xfId="0" applyNumberFormat="1" applyFont="1" applyAlignment="1">
      <alignment horizontal="right"/>
    </xf>
    <xf numFmtId="4" fontId="3" fillId="0" borderId="4" xfId="0" applyNumberFormat="1" applyFont="1" applyBorder="1" applyAlignment="1">
      <alignment horizontal="right"/>
    </xf>
    <xf numFmtId="9" fontId="3" fillId="0" borderId="0" xfId="0" applyNumberFormat="1" applyFont="1"/>
    <xf numFmtId="0" fontId="2" fillId="0" borderId="0" xfId="0" applyFont="1" applyAlignment="1">
      <alignment horizontal="right"/>
    </xf>
    <xf numFmtId="9" fontId="3" fillId="0" borderId="9" xfId="0" applyNumberFormat="1" applyFont="1" applyBorder="1"/>
    <xf numFmtId="2" fontId="3" fillId="0" borderId="0" xfId="0" applyNumberFormat="1" applyFont="1"/>
    <xf numFmtId="2" fontId="3" fillId="0" borderId="4" xfId="0" applyNumberFormat="1" applyFont="1" applyBorder="1"/>
    <xf numFmtId="165" fontId="3" fillId="0" borderId="11" xfId="0" applyNumberFormat="1" applyFont="1" applyBorder="1"/>
    <xf numFmtId="165" fontId="3" fillId="0" borderId="2" xfId="0" applyNumberFormat="1" applyFont="1" applyBorder="1"/>
    <xf numFmtId="0" fontId="3" fillId="0" borderId="12" xfId="0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6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3" fillId="0" borderId="15" xfId="0" applyFont="1" applyBorder="1"/>
    <xf numFmtId="165" fontId="3" fillId="0" borderId="15" xfId="0" applyNumberFormat="1" applyFont="1" applyBorder="1"/>
    <xf numFmtId="0" fontId="1" fillId="3" borderId="0" xfId="0" applyFont="1" applyFill="1"/>
    <xf numFmtId="167" fontId="3" fillId="3" borderId="0" xfId="0" applyNumberFormat="1" applyFont="1" applyFill="1"/>
    <xf numFmtId="167" fontId="3" fillId="0" borderId="3" xfId="0" applyNumberFormat="1" applyFont="1" applyBorder="1"/>
    <xf numFmtId="167" fontId="3" fillId="0" borderId="0" xfId="0" applyNumberFormat="1" applyFont="1"/>
    <xf numFmtId="167" fontId="3" fillId="0" borderId="4" xfId="0" applyNumberFormat="1" applyFont="1" applyBorder="1"/>
    <xf numFmtId="2" fontId="3" fillId="3" borderId="0" xfId="0" applyNumberFormat="1" applyFont="1" applyFill="1"/>
    <xf numFmtId="2" fontId="3" fillId="0" borderId="3" xfId="0" applyNumberFormat="1" applyFont="1" applyBorder="1"/>
    <xf numFmtId="168" fontId="1" fillId="3" borderId="3" xfId="0" applyNumberFormat="1" applyFont="1" applyFill="1" applyBorder="1" applyAlignment="1">
      <alignment horizontal="center"/>
    </xf>
    <xf numFmtId="168" fontId="1" fillId="3" borderId="4" xfId="0" applyNumberFormat="1" applyFont="1" applyFill="1" applyBorder="1" applyAlignment="1">
      <alignment horizontal="center"/>
    </xf>
    <xf numFmtId="168" fontId="3" fillId="3" borderId="0" xfId="0" applyNumberFormat="1" applyFont="1" applyFill="1"/>
    <xf numFmtId="168" fontId="3" fillId="0" borderId="15" xfId="0" applyNumberFormat="1" applyFont="1" applyBorder="1"/>
    <xf numFmtId="168" fontId="3" fillId="0" borderId="13" xfId="0" applyNumberFormat="1" applyFont="1" applyBorder="1"/>
    <xf numFmtId="168" fontId="3" fillId="0" borderId="14" xfId="0" applyNumberFormat="1" applyFont="1" applyBorder="1"/>
    <xf numFmtId="168" fontId="3" fillId="0" borderId="0" xfId="0" applyNumberFormat="1" applyFo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1" xfId="0" applyFont="1" applyFill="1" applyBorder="1"/>
    <xf numFmtId="0" fontId="4" fillId="4" borderId="2" xfId="0" applyFont="1" applyFill="1" applyBorder="1"/>
    <xf numFmtId="0" fontId="4" fillId="5" borderId="5" xfId="0" applyFont="1" applyFill="1" applyBorder="1"/>
    <xf numFmtId="0" fontId="4" fillId="5" borderId="8" xfId="0" applyFont="1" applyFill="1" applyBorder="1"/>
    <xf numFmtId="0" fontId="4" fillId="5" borderId="6" xfId="0" applyFont="1" applyFill="1" applyBorder="1"/>
    <xf numFmtId="0" fontId="4" fillId="6" borderId="5" xfId="0" applyFont="1" applyFill="1" applyBorder="1"/>
    <xf numFmtId="0" fontId="4" fillId="6" borderId="8" xfId="0" applyFont="1" applyFill="1" applyBorder="1"/>
    <xf numFmtId="0" fontId="4" fillId="6" borderId="6" xfId="0" applyFont="1" applyFill="1" applyBorder="1"/>
    <xf numFmtId="3" fontId="3" fillId="3" borderId="0" xfId="0" applyNumberFormat="1" applyFont="1" applyFill="1"/>
    <xf numFmtId="3" fontId="3" fillId="0" borderId="3" xfId="0" applyNumberFormat="1" applyFont="1" applyBorder="1"/>
    <xf numFmtId="3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170" fontId="3" fillId="0" borderId="3" xfId="0" applyNumberFormat="1" applyFont="1" applyBorder="1"/>
    <xf numFmtId="170" fontId="3" fillId="0" borderId="4" xfId="0" applyNumberFormat="1" applyFont="1" applyBorder="1"/>
    <xf numFmtId="3" fontId="3" fillId="0" borderId="15" xfId="0" applyNumberFormat="1" applyFont="1" applyBorder="1"/>
    <xf numFmtId="3" fontId="3" fillId="0" borderId="13" xfId="0" applyNumberFormat="1" applyFont="1" applyBorder="1"/>
    <xf numFmtId="170" fontId="3" fillId="0" borderId="13" xfId="0" applyNumberFormat="1" applyFont="1" applyBorder="1"/>
    <xf numFmtId="170" fontId="3" fillId="0" borderId="15" xfId="0" applyNumberFormat="1" applyFont="1" applyBorder="1"/>
    <xf numFmtId="170" fontId="3" fillId="0" borderId="14" xfId="0" applyNumberFormat="1" applyFont="1" applyBorder="1"/>
    <xf numFmtId="1" fontId="4" fillId="3" borderId="0" xfId="0" applyNumberFormat="1" applyFont="1" applyFill="1"/>
    <xf numFmtId="1" fontId="4" fillId="2" borderId="5" xfId="0" applyNumberFormat="1" applyFont="1" applyFill="1" applyBorder="1"/>
    <xf numFmtId="1" fontId="4" fillId="2" borderId="8" xfId="0" applyNumberFormat="1" applyFont="1" applyFill="1" applyBorder="1"/>
    <xf numFmtId="1" fontId="4" fillId="4" borderId="5" xfId="0" applyNumberFormat="1" applyFont="1" applyFill="1" applyBorder="1"/>
    <xf numFmtId="1" fontId="4" fillId="4" borderId="8" xfId="0" applyNumberFormat="1" applyFont="1" applyFill="1" applyBorder="1"/>
    <xf numFmtId="1" fontId="4" fillId="4" borderId="6" xfId="0" applyNumberFormat="1" applyFont="1" applyFill="1" applyBorder="1"/>
    <xf numFmtId="1" fontId="4" fillId="5" borderId="1" xfId="0" applyNumberFormat="1" applyFont="1" applyFill="1" applyBorder="1"/>
    <xf numFmtId="1" fontId="4" fillId="5" borderId="11" xfId="0" applyNumberFormat="1" applyFont="1" applyFill="1" applyBorder="1"/>
    <xf numFmtId="1" fontId="4" fillId="5" borderId="2" xfId="0" applyNumberFormat="1" applyFont="1" applyFill="1" applyBorder="1"/>
    <xf numFmtId="1" fontId="4" fillId="6" borderId="1" xfId="0" applyNumberFormat="1" applyFont="1" applyFill="1" applyBorder="1"/>
    <xf numFmtId="1" fontId="4" fillId="6" borderId="11" xfId="0" applyNumberFormat="1" applyFont="1" applyFill="1" applyBorder="1"/>
    <xf numFmtId="1" fontId="4" fillId="6" borderId="2" xfId="0" applyNumberFormat="1" applyFont="1" applyFill="1" applyBorder="1"/>
    <xf numFmtId="164" fontId="3" fillId="3" borderId="0" xfId="0" applyNumberFormat="1" applyFont="1" applyFill="1"/>
    <xf numFmtId="164" fontId="3" fillId="0" borderId="1" xfId="0" applyNumberFormat="1" applyFont="1" applyBorder="1"/>
    <xf numFmtId="164" fontId="3" fillId="0" borderId="11" xfId="0" applyNumberFormat="1" applyFont="1" applyBorder="1"/>
    <xf numFmtId="164" fontId="3" fillId="0" borderId="2" xfId="0" applyNumberFormat="1" applyFont="1" applyBorder="1"/>
    <xf numFmtId="164" fontId="3" fillId="0" borderId="15" xfId="0" applyNumberFormat="1" applyFont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0" xfId="0" applyFont="1"/>
    <xf numFmtId="0" fontId="4" fillId="2" borderId="0" xfId="0" applyFont="1" applyFill="1"/>
    <xf numFmtId="0" fontId="1" fillId="2" borderId="0" xfId="0" applyFont="1" applyFill="1"/>
    <xf numFmtId="0" fontId="4" fillId="2" borderId="0" xfId="0" applyFont="1" applyFill="1" applyAlignment="1">
      <alignment horizontal="right"/>
    </xf>
    <xf numFmtId="0" fontId="4" fillId="2" borderId="4" xfId="0" applyFont="1" applyFill="1" applyBorder="1" applyAlignment="1">
      <alignment horizontal="right"/>
    </xf>
    <xf numFmtId="0" fontId="1" fillId="0" borderId="7" xfId="0" applyFont="1" applyBorder="1"/>
    <xf numFmtId="4" fontId="1" fillId="0" borderId="0" xfId="0" applyNumberFormat="1" applyFont="1"/>
    <xf numFmtId="164" fontId="3" fillId="0" borderId="5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44" fontId="1" fillId="0" borderId="5" xfId="0" applyNumberFormat="1" applyFont="1" applyBorder="1" applyAlignment="1">
      <alignment horizontal="right"/>
    </xf>
    <xf numFmtId="44" fontId="1" fillId="0" borderId="7" xfId="0" applyNumberFormat="1" applyFont="1" applyBorder="1" applyAlignment="1">
      <alignment horizontal="right"/>
    </xf>
    <xf numFmtId="10" fontId="1" fillId="0" borderId="0" xfId="0" applyNumberFormat="1" applyFont="1" applyAlignment="1">
      <alignment horizontal="right"/>
    </xf>
    <xf numFmtId="44" fontId="3" fillId="0" borderId="0" xfId="0" applyNumberFormat="1" applyFont="1"/>
    <xf numFmtId="165" fontId="6" fillId="0" borderId="0" xfId="0" applyNumberFormat="1" applyFont="1"/>
    <xf numFmtId="164" fontId="4" fillId="7" borderId="0" xfId="0" applyNumberFormat="1" applyFont="1" applyFill="1"/>
    <xf numFmtId="164" fontId="7" fillId="7" borderId="0" xfId="0" applyNumberFormat="1" applyFont="1" applyFill="1"/>
    <xf numFmtId="164" fontId="6" fillId="0" borderId="0" xfId="0" applyNumberFormat="1" applyFont="1"/>
    <xf numFmtId="0" fontId="1" fillId="2" borderId="7" xfId="0" applyFont="1" applyFill="1" applyBorder="1"/>
    <xf numFmtId="3" fontId="1" fillId="2" borderId="7" xfId="0" applyNumberFormat="1" applyFont="1" applyFill="1" applyBorder="1"/>
    <xf numFmtId="3" fontId="3" fillId="0" borderId="7" xfId="0" applyNumberFormat="1" applyFont="1" applyBorder="1"/>
    <xf numFmtId="0" fontId="4" fillId="2" borderId="13" xfId="0" applyFont="1" applyFill="1" applyBorder="1" applyAlignment="1">
      <alignment horizontal="right"/>
    </xf>
    <xf numFmtId="3" fontId="4" fillId="2" borderId="13" xfId="0" applyNumberFormat="1" applyFont="1" applyFill="1" applyBorder="1" applyAlignment="1">
      <alignment horizontal="right"/>
    </xf>
    <xf numFmtId="165" fontId="3" fillId="2" borderId="12" xfId="0" applyNumberFormat="1" applyFont="1" applyFill="1" applyBorder="1"/>
    <xf numFmtId="0" fontId="3" fillId="2" borderId="12" xfId="0" applyFont="1" applyFill="1" applyBorder="1"/>
    <xf numFmtId="0" fontId="4" fillId="2" borderId="14" xfId="0" applyFont="1" applyFill="1" applyBorder="1" applyAlignment="1">
      <alignment horizontal="right"/>
    </xf>
    <xf numFmtId="164" fontId="3" fillId="0" borderId="9" xfId="0" applyNumberFormat="1" applyFont="1" applyBorder="1"/>
    <xf numFmtId="165" fontId="3" fillId="0" borderId="0" xfId="0" applyNumberFormat="1" applyFont="1" applyAlignment="1">
      <alignment horizontal="right"/>
    </xf>
    <xf numFmtId="165" fontId="3" fillId="0" borderId="9" xfId="0" applyNumberFormat="1" applyFont="1" applyBorder="1" applyAlignment="1">
      <alignment horizontal="right"/>
    </xf>
    <xf numFmtId="0" fontId="1" fillId="0" borderId="8" xfId="0" applyFont="1" applyBorder="1"/>
    <xf numFmtId="164" fontId="4" fillId="0" borderId="0" xfId="0" applyNumberFormat="1" applyFont="1"/>
    <xf numFmtId="0" fontId="1" fillId="2" borderId="10" xfId="0" applyFont="1" applyFill="1" applyBorder="1"/>
    <xf numFmtId="0" fontId="3" fillId="0" borderId="7" xfId="0" applyFont="1" applyBorder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11" xfId="0" applyFont="1" applyBorder="1" applyAlignment="1">
      <alignment horizontal="right"/>
    </xf>
    <xf numFmtId="0" fontId="1" fillId="0" borderId="9" xfId="0" applyFont="1" applyBorder="1"/>
    <xf numFmtId="164" fontId="3" fillId="0" borderId="0" xfId="0" applyNumberFormat="1" applyFont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5" fontId="9" fillId="0" borderId="9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6" fillId="0" borderId="9" xfId="0" applyFont="1" applyBorder="1"/>
    <xf numFmtId="164" fontId="1" fillId="0" borderId="9" xfId="0" applyNumberFormat="1" applyFont="1" applyBorder="1"/>
    <xf numFmtId="165" fontId="1" fillId="0" borderId="8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11" xfId="0" applyFont="1" applyBorder="1"/>
    <xf numFmtId="165" fontId="1" fillId="0" borderId="11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1" fillId="2" borderId="8" xfId="0" applyFont="1" applyFill="1" applyBorder="1" applyAlignment="1">
      <alignment horizontal="left"/>
    </xf>
    <xf numFmtId="0" fontId="5" fillId="0" borderId="8" xfId="0" applyFont="1" applyBorder="1"/>
    <xf numFmtId="0" fontId="5" fillId="0" borderId="6" xfId="0" applyFont="1" applyBorder="1"/>
    <xf numFmtId="0" fontId="1" fillId="4" borderId="5" xfId="0" applyFont="1" applyFill="1" applyBorder="1"/>
    <xf numFmtId="0" fontId="4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1" fillId="5" borderId="5" xfId="0" applyFont="1" applyFill="1" applyBorder="1"/>
    <xf numFmtId="0" fontId="1" fillId="6" borderId="5" xfId="0" applyFont="1" applyFill="1" applyBorder="1"/>
    <xf numFmtId="0" fontId="3" fillId="2" borderId="8" xfId="0" applyFont="1" applyFill="1" applyBorder="1"/>
    <xf numFmtId="2" fontId="3" fillId="0" borderId="0" xfId="0" applyNumberFormat="1" applyFont="1"/>
    <xf numFmtId="0" fontId="5" fillId="0" borderId="4" xfId="0" applyFont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3" fontId="1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1006"/>
  <sheetViews>
    <sheetView tabSelected="1"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 x14ac:dyDescent="0.15"/>
  <cols>
    <col min="1" max="1" width="20.6640625" customWidth="1"/>
    <col min="2" max="2" width="16.1640625" customWidth="1"/>
    <col min="3" max="3" width="22.1640625" customWidth="1"/>
    <col min="4" max="5" width="18.6640625" customWidth="1"/>
    <col min="6" max="6" width="15.5" customWidth="1"/>
  </cols>
  <sheetData>
    <row r="1" spans="1:67" x14ac:dyDescent="0.2">
      <c r="A1" s="1"/>
      <c r="B1" s="2"/>
      <c r="C1" s="2"/>
      <c r="D1" s="2"/>
      <c r="E1" s="2"/>
      <c r="F1" s="163"/>
      <c r="G1" s="164"/>
      <c r="H1" s="164"/>
      <c r="I1" s="1"/>
      <c r="J1" s="163"/>
      <c r="K1" s="164"/>
      <c r="L1" s="164"/>
      <c r="M1" s="1"/>
      <c r="N1" s="163"/>
      <c r="O1" s="164"/>
      <c r="P1" s="164"/>
      <c r="Q1" s="1"/>
      <c r="R1" s="163"/>
      <c r="S1" s="164"/>
      <c r="T1" s="164"/>
      <c r="U1" s="1"/>
      <c r="V1" s="163"/>
      <c r="W1" s="164"/>
      <c r="X1" s="164"/>
      <c r="Y1" s="1"/>
      <c r="Z1" s="163"/>
      <c r="AA1" s="164"/>
      <c r="AB1" s="164"/>
      <c r="AC1" s="1"/>
      <c r="AD1" s="163"/>
      <c r="AE1" s="164"/>
      <c r="AF1" s="164"/>
      <c r="AG1" s="1"/>
      <c r="AH1" s="163"/>
      <c r="AI1" s="164"/>
      <c r="AJ1" s="164"/>
      <c r="AK1" s="1"/>
      <c r="AL1" s="163"/>
      <c r="AM1" s="164"/>
      <c r="AN1" s="164"/>
      <c r="AO1" s="1"/>
      <c r="AP1" s="163"/>
      <c r="AQ1" s="164"/>
      <c r="AR1" s="164"/>
      <c r="AS1" s="1"/>
      <c r="AT1" s="163"/>
      <c r="AU1" s="164"/>
      <c r="AV1" s="164"/>
      <c r="AW1" s="1"/>
      <c r="AX1" s="163"/>
      <c r="AY1" s="164"/>
      <c r="AZ1" s="164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">
      <c r="A2" s="3" t="s">
        <v>0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x14ac:dyDescent="0.2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x14ac:dyDescent="0.2">
      <c r="A4" s="9" t="s">
        <v>1</v>
      </c>
      <c r="B4" s="10" t="s">
        <v>2</v>
      </c>
      <c r="C4" s="11"/>
      <c r="D4" s="11"/>
      <c r="E4" s="12" t="s">
        <v>3</v>
      </c>
      <c r="F4" s="13">
        <v>2026</v>
      </c>
      <c r="G4" s="13">
        <v>2027</v>
      </c>
      <c r="H4" s="13">
        <v>2028</v>
      </c>
      <c r="I4" s="13">
        <v>2029</v>
      </c>
      <c r="J4" s="10">
        <v>2030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x14ac:dyDescent="0.2">
      <c r="A5" s="6" t="s">
        <v>4</v>
      </c>
      <c r="B5" s="14">
        <v>0.1</v>
      </c>
      <c r="C5" s="8"/>
      <c r="D5" s="15"/>
      <c r="E5" s="16" t="s">
        <v>5</v>
      </c>
      <c r="F5" s="17">
        <f t="shared" ref="F5:F6" si="0">B5</f>
        <v>0.1</v>
      </c>
      <c r="G5" s="17">
        <f t="shared" ref="G5:J5" si="1">F5*(1+$B$7)</f>
        <v>0.10500000000000001</v>
      </c>
      <c r="H5" s="17">
        <f t="shared" si="1"/>
        <v>0.11025000000000001</v>
      </c>
      <c r="I5" s="17">
        <f t="shared" si="1"/>
        <v>0.11576250000000002</v>
      </c>
      <c r="J5" s="14">
        <f t="shared" si="1"/>
        <v>0.12155062500000002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x14ac:dyDescent="0.2">
      <c r="A6" s="6" t="s">
        <v>6</v>
      </c>
      <c r="B6" s="14">
        <v>0.4</v>
      </c>
      <c r="C6" s="8"/>
      <c r="D6" s="15"/>
      <c r="E6" s="16" t="s">
        <v>7</v>
      </c>
      <c r="F6" s="17">
        <f t="shared" si="0"/>
        <v>0.4</v>
      </c>
      <c r="G6" s="17">
        <f t="shared" ref="G6:J6" si="2">F6*(1+$B7)</f>
        <v>0.42000000000000004</v>
      </c>
      <c r="H6" s="17">
        <f t="shared" si="2"/>
        <v>0.44100000000000006</v>
      </c>
      <c r="I6" s="17">
        <f t="shared" si="2"/>
        <v>0.46305000000000007</v>
      </c>
      <c r="J6" s="14">
        <f t="shared" si="2"/>
        <v>0.48620250000000009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spans="1:67" x14ac:dyDescent="0.2">
      <c r="A7" s="6" t="s">
        <v>8</v>
      </c>
      <c r="B7" s="18">
        <v>0.05</v>
      </c>
      <c r="C7" s="8"/>
      <c r="D7" s="15"/>
      <c r="E7" s="16" t="s">
        <v>9</v>
      </c>
      <c r="F7" s="17">
        <f>B5*0.1+B6*0.9</f>
        <v>0.37000000000000005</v>
      </c>
      <c r="G7" s="17">
        <f t="shared" ref="G7:J7" si="3">F7*(1+$B$7)</f>
        <v>0.38850000000000007</v>
      </c>
      <c r="H7" s="17">
        <f t="shared" si="3"/>
        <v>0.40792500000000009</v>
      </c>
      <c r="I7" s="17">
        <f t="shared" si="3"/>
        <v>0.4283212500000001</v>
      </c>
      <c r="J7" s="14">
        <f t="shared" si="3"/>
        <v>0.4497373125000001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spans="1:67" x14ac:dyDescent="0.2">
      <c r="A8" s="6"/>
      <c r="B8" s="7"/>
      <c r="C8" s="8"/>
      <c r="D8" s="15"/>
      <c r="E8" s="16" t="s">
        <v>10</v>
      </c>
      <c r="F8" s="17">
        <f>F7*(1+B9)</f>
        <v>0.46250000000000008</v>
      </c>
      <c r="G8" s="17">
        <f t="shared" ref="G8:J8" si="4">F8*(1+$B$7)</f>
        <v>0.48562500000000008</v>
      </c>
      <c r="H8" s="17">
        <f t="shared" si="4"/>
        <v>0.50990625000000012</v>
      </c>
      <c r="I8" s="17">
        <f t="shared" si="4"/>
        <v>0.53540156250000015</v>
      </c>
      <c r="J8" s="14">
        <f t="shared" si="4"/>
        <v>0.56217164062500014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spans="1:67" x14ac:dyDescent="0.2">
      <c r="A9" s="6" t="s">
        <v>11</v>
      </c>
      <c r="B9" s="19">
        <v>0.25</v>
      </c>
      <c r="C9" s="8"/>
      <c r="D9" s="15"/>
      <c r="E9" s="16" t="s">
        <v>12</v>
      </c>
      <c r="F9" s="17">
        <f>F7*(1+B11)</f>
        <v>0.46250000000000008</v>
      </c>
      <c r="G9" s="17">
        <f t="shared" ref="G9:J9" si="5">F9*(1+$B7)</f>
        <v>0.48562500000000008</v>
      </c>
      <c r="H9" s="17">
        <f t="shared" si="5"/>
        <v>0.50990625000000012</v>
      </c>
      <c r="I9" s="17">
        <f t="shared" si="5"/>
        <v>0.53540156250000015</v>
      </c>
      <c r="J9" s="14">
        <f t="shared" si="5"/>
        <v>0.56217164062500014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spans="1:67" x14ac:dyDescent="0.2">
      <c r="A10" s="6"/>
      <c r="B10" s="19"/>
      <c r="C10" s="20"/>
      <c r="D10" s="21"/>
      <c r="E10" s="22" t="s">
        <v>13</v>
      </c>
      <c r="F10" s="17">
        <f>F7*(1+B9+B11)</f>
        <v>0.55500000000000005</v>
      </c>
      <c r="G10" s="17">
        <f t="shared" ref="G10:J10" si="6">F10*(1+$B7)</f>
        <v>0.5827500000000001</v>
      </c>
      <c r="H10" s="17">
        <f t="shared" si="6"/>
        <v>0.61188750000000014</v>
      </c>
      <c r="I10" s="17">
        <f t="shared" si="6"/>
        <v>0.6424818750000002</v>
      </c>
      <c r="J10" s="14">
        <f t="shared" si="6"/>
        <v>0.67460596875000023</v>
      </c>
      <c r="K10" s="20"/>
      <c r="L10" s="20"/>
      <c r="M10" s="20"/>
      <c r="N10" s="20"/>
      <c r="O10" s="20"/>
      <c r="P10" s="20"/>
      <c r="Q10" s="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8"/>
      <c r="AD10" s="20"/>
      <c r="AE10" s="20"/>
      <c r="AF10" s="20"/>
      <c r="AG10" s="8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spans="1:67" x14ac:dyDescent="0.2">
      <c r="A11" s="6" t="s">
        <v>14</v>
      </c>
      <c r="B11" s="19">
        <v>0.25</v>
      </c>
      <c r="C11" s="20"/>
      <c r="D11" s="21"/>
      <c r="E11" s="22"/>
      <c r="F11" s="20"/>
      <c r="G11" s="20"/>
      <c r="H11" s="20"/>
      <c r="I11" s="20"/>
      <c r="J11" s="23"/>
      <c r="K11" s="20"/>
      <c r="L11" s="20"/>
      <c r="M11" s="20"/>
      <c r="N11" s="20"/>
      <c r="O11" s="20"/>
      <c r="P11" s="20"/>
      <c r="Q11" s="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8"/>
      <c r="AD11" s="20"/>
      <c r="AE11" s="20"/>
      <c r="AF11" s="20"/>
      <c r="AG11" s="8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x14ac:dyDescent="0.2">
      <c r="A12" s="6"/>
      <c r="B12" s="23"/>
      <c r="C12" s="20"/>
      <c r="D12" s="21"/>
      <c r="E12" s="24" t="s">
        <v>15</v>
      </c>
      <c r="F12" s="25">
        <f t="shared" ref="F12:J12" si="7">F7*0.75+F8*0.1+F9*0.1+F10*0.05</f>
        <v>0.39775000000000005</v>
      </c>
      <c r="G12" s="25">
        <f t="shared" si="7"/>
        <v>0.41763750000000005</v>
      </c>
      <c r="H12" s="25">
        <f t="shared" si="7"/>
        <v>0.4385193750000001</v>
      </c>
      <c r="I12" s="25">
        <f t="shared" si="7"/>
        <v>0.46044534375000012</v>
      </c>
      <c r="J12" s="26">
        <f t="shared" si="7"/>
        <v>0.48346761093750007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8"/>
      <c r="AD12" s="20"/>
      <c r="AE12" s="20"/>
      <c r="AF12" s="20"/>
      <c r="AG12" s="8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spans="1:67" x14ac:dyDescent="0.2">
      <c r="A13" s="6" t="s">
        <v>16</v>
      </c>
      <c r="B13" s="7">
        <v>0.1</v>
      </c>
      <c r="C13" s="8"/>
      <c r="D13" s="1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 spans="1:67" x14ac:dyDescent="0.2">
      <c r="A14" s="6" t="s">
        <v>17</v>
      </c>
      <c r="B14" s="27">
        <v>0.1</v>
      </c>
      <c r="C14" s="20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8"/>
      <c r="AD14" s="20"/>
      <c r="AE14" s="20"/>
      <c r="AF14" s="20"/>
      <c r="AG14" s="8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x14ac:dyDescent="0.2">
      <c r="A15" s="6" t="s">
        <v>12</v>
      </c>
      <c r="B15" s="27">
        <v>0.1</v>
      </c>
      <c r="C15" s="20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8"/>
      <c r="AD15" s="20"/>
      <c r="AE15" s="20"/>
      <c r="AF15" s="20"/>
      <c r="AG15" s="8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spans="1:67" x14ac:dyDescent="0.2">
      <c r="A16" s="6" t="s">
        <v>13</v>
      </c>
      <c r="B16" s="28">
        <v>0.05</v>
      </c>
      <c r="C16" s="20"/>
      <c r="D16" s="11"/>
      <c r="E16" s="9" t="s">
        <v>18</v>
      </c>
      <c r="F16" s="13">
        <v>2026</v>
      </c>
      <c r="G16" s="13">
        <v>2027</v>
      </c>
      <c r="H16" s="13">
        <v>2028</v>
      </c>
      <c r="I16" s="13">
        <v>2029</v>
      </c>
      <c r="J16" s="10">
        <v>2030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8"/>
      <c r="AD16" s="20"/>
      <c r="AE16" s="20"/>
      <c r="AF16" s="20"/>
      <c r="AG16" s="8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</row>
    <row r="17" spans="1:67" x14ac:dyDescent="0.2">
      <c r="A17" s="29" t="s">
        <v>19</v>
      </c>
      <c r="B17" s="19">
        <v>0.2</v>
      </c>
      <c r="C17" s="20"/>
      <c r="D17" s="8"/>
      <c r="E17" s="30"/>
      <c r="F17" s="31"/>
      <c r="G17" s="31"/>
      <c r="H17" s="31"/>
      <c r="I17" s="31"/>
      <c r="J17" s="3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8"/>
      <c r="AD17" s="20"/>
      <c r="AE17" s="20"/>
      <c r="AF17" s="20"/>
      <c r="AG17" s="8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</row>
    <row r="18" spans="1:67" x14ac:dyDescent="0.2">
      <c r="A18" s="6" t="s">
        <v>20</v>
      </c>
      <c r="B18" s="7"/>
      <c r="C18" s="8"/>
      <c r="D18" s="8"/>
      <c r="E18" s="16" t="s">
        <v>21</v>
      </c>
      <c r="F18" s="33">
        <f>$B$23*(1+F20)*12</f>
        <v>19440</v>
      </c>
      <c r="G18" s="33">
        <f t="shared" ref="G18:J18" si="8">F18*(1+G20)</f>
        <v>24300</v>
      </c>
      <c r="H18" s="33">
        <f t="shared" si="8"/>
        <v>31590</v>
      </c>
      <c r="I18" s="33">
        <f t="shared" si="8"/>
        <v>42646.5</v>
      </c>
      <c r="J18" s="28">
        <f t="shared" si="8"/>
        <v>59705.1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</row>
    <row r="19" spans="1:67" x14ac:dyDescent="0.2">
      <c r="A19" s="6" t="s">
        <v>22</v>
      </c>
      <c r="B19" s="7"/>
      <c r="C19" s="8"/>
      <c r="D19" s="8"/>
      <c r="E19" s="16" t="s">
        <v>23</v>
      </c>
      <c r="F19" s="34">
        <f>$B24*(1+F20)*12</f>
        <v>28800</v>
      </c>
      <c r="G19" s="34">
        <f t="shared" ref="G19:J19" si="9">F19*(1+G20)</f>
        <v>36000</v>
      </c>
      <c r="H19" s="34">
        <f t="shared" si="9"/>
        <v>46800</v>
      </c>
      <c r="I19" s="34">
        <f t="shared" si="9"/>
        <v>63180.000000000007</v>
      </c>
      <c r="J19" s="35">
        <f t="shared" si="9"/>
        <v>88452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</row>
    <row r="20" spans="1:67" x14ac:dyDescent="0.2">
      <c r="A20" s="6"/>
      <c r="B20" s="7"/>
      <c r="C20" s="8"/>
      <c r="D20" s="8"/>
      <c r="E20" s="16" t="s">
        <v>24</v>
      </c>
      <c r="F20" s="36">
        <f>$B$25</f>
        <v>0.2</v>
      </c>
      <c r="G20" s="36">
        <f t="shared" ref="G20:J20" si="10">F20+$B$26</f>
        <v>0.25</v>
      </c>
      <c r="H20" s="36">
        <f t="shared" si="10"/>
        <v>0.3</v>
      </c>
      <c r="I20" s="36">
        <f t="shared" si="10"/>
        <v>0.35</v>
      </c>
      <c r="J20" s="19">
        <f t="shared" si="10"/>
        <v>0.39999999999999997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x14ac:dyDescent="0.2">
      <c r="A21" s="9" t="s">
        <v>25</v>
      </c>
      <c r="B21" s="10" t="s">
        <v>26</v>
      </c>
      <c r="C21" s="11"/>
      <c r="D21" s="8"/>
      <c r="E21" s="16"/>
      <c r="F21" s="8"/>
      <c r="G21" s="8"/>
      <c r="H21" s="8"/>
      <c r="I21" s="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</row>
    <row r="22" spans="1:67" x14ac:dyDescent="0.2">
      <c r="A22" s="6"/>
      <c r="B22" s="7"/>
      <c r="C22" s="15"/>
      <c r="D22" s="11"/>
      <c r="E22" s="12" t="s">
        <v>27</v>
      </c>
      <c r="F22" s="173"/>
      <c r="G22" s="166"/>
      <c r="H22" s="166"/>
      <c r="I22" s="166"/>
      <c r="J22" s="16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</row>
    <row r="23" spans="1:67" x14ac:dyDescent="0.2">
      <c r="A23" s="6" t="s">
        <v>21</v>
      </c>
      <c r="B23" s="28">
        <f>1.35*10^15/10^12</f>
        <v>1350</v>
      </c>
      <c r="C23" s="37" t="s">
        <v>28</v>
      </c>
      <c r="D23" s="36"/>
      <c r="E23" s="38">
        <v>0.01</v>
      </c>
      <c r="F23" s="39">
        <f t="shared" ref="F23:J23" si="11">F18*$E$23</f>
        <v>194.4</v>
      </c>
      <c r="G23" s="39">
        <f t="shared" si="11"/>
        <v>243</v>
      </c>
      <c r="H23" s="39">
        <f t="shared" si="11"/>
        <v>315.90000000000003</v>
      </c>
      <c r="I23" s="39">
        <f t="shared" si="11"/>
        <v>426.46500000000003</v>
      </c>
      <c r="J23" s="40">
        <f t="shared" si="11"/>
        <v>597.05100000000004</v>
      </c>
      <c r="K23" s="33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</row>
    <row r="24" spans="1:67" x14ac:dyDescent="0.2">
      <c r="A24" s="6" t="s">
        <v>23</v>
      </c>
      <c r="B24" s="35">
        <f>2*10^15/10^12</f>
        <v>2000</v>
      </c>
      <c r="C24" s="37" t="s">
        <v>29</v>
      </c>
      <c r="D24" s="36"/>
      <c r="E24" s="38">
        <v>0.01</v>
      </c>
      <c r="F24" s="39">
        <f t="shared" ref="F24:J24" si="12">F19*$E$23</f>
        <v>288</v>
      </c>
      <c r="G24" s="39">
        <f t="shared" si="12"/>
        <v>360</v>
      </c>
      <c r="H24" s="39">
        <f t="shared" si="12"/>
        <v>468</v>
      </c>
      <c r="I24" s="39">
        <f t="shared" si="12"/>
        <v>631.80000000000007</v>
      </c>
      <c r="J24" s="40">
        <f t="shared" si="12"/>
        <v>884.52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</row>
    <row r="25" spans="1:67" x14ac:dyDescent="0.2">
      <c r="A25" s="6" t="s">
        <v>24</v>
      </c>
      <c r="B25" s="19">
        <v>0.2</v>
      </c>
      <c r="C25" s="15"/>
      <c r="D25" s="8"/>
      <c r="E25" s="16"/>
      <c r="F25" s="39"/>
      <c r="G25" s="39"/>
      <c r="H25" s="39"/>
      <c r="I25" s="39"/>
      <c r="J25" s="4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</row>
    <row r="26" spans="1:67" x14ac:dyDescent="0.2">
      <c r="A26" s="6" t="s">
        <v>30</v>
      </c>
      <c r="B26" s="19">
        <v>0.05</v>
      </c>
      <c r="C26" s="37" t="s">
        <v>28</v>
      </c>
      <c r="D26" s="36"/>
      <c r="E26" s="38">
        <v>0.05</v>
      </c>
      <c r="F26" s="39">
        <f t="shared" ref="F26:J26" si="13">F18*$E$26</f>
        <v>972</v>
      </c>
      <c r="G26" s="39">
        <f t="shared" si="13"/>
        <v>1215</v>
      </c>
      <c r="H26" s="39">
        <f t="shared" si="13"/>
        <v>1579.5</v>
      </c>
      <c r="I26" s="39">
        <f t="shared" si="13"/>
        <v>2132.3250000000003</v>
      </c>
      <c r="J26" s="40">
        <f t="shared" si="13"/>
        <v>2985.2550000000001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</row>
    <row r="27" spans="1:67" x14ac:dyDescent="0.2">
      <c r="A27" s="6" t="s">
        <v>31</v>
      </c>
      <c r="B27" s="7"/>
      <c r="C27" s="37" t="s">
        <v>29</v>
      </c>
      <c r="D27" s="36"/>
      <c r="E27" s="38">
        <v>0.05</v>
      </c>
      <c r="F27" s="39">
        <f t="shared" ref="F27:J27" si="14">F19*$E$27</f>
        <v>1440</v>
      </c>
      <c r="G27" s="39">
        <f t="shared" si="14"/>
        <v>1800</v>
      </c>
      <c r="H27" s="39">
        <f t="shared" si="14"/>
        <v>2340</v>
      </c>
      <c r="I27" s="39">
        <f t="shared" si="14"/>
        <v>3159.0000000000005</v>
      </c>
      <c r="J27" s="40">
        <f t="shared" si="14"/>
        <v>4422.6000000000004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</row>
    <row r="28" spans="1:67" x14ac:dyDescent="0.2">
      <c r="A28" s="6"/>
      <c r="B28" s="7"/>
      <c r="C28" s="8"/>
      <c r="D28" s="8"/>
      <c r="E28" s="16"/>
      <c r="F28" s="174"/>
      <c r="G28" s="164"/>
      <c r="H28" s="164"/>
      <c r="I28" s="164"/>
      <c r="J28" s="17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 spans="1:67" x14ac:dyDescent="0.2">
      <c r="A29" s="6"/>
      <c r="B29" s="7"/>
      <c r="C29" s="8"/>
      <c r="D29" s="8"/>
      <c r="E29" s="30" t="s">
        <v>32</v>
      </c>
      <c r="F29" s="41">
        <f t="shared" ref="F29:J29" si="15">F12*F23*10^6</f>
        <v>77322600.000000015</v>
      </c>
      <c r="G29" s="41">
        <f t="shared" si="15"/>
        <v>101485912.50000001</v>
      </c>
      <c r="H29" s="41">
        <f t="shared" si="15"/>
        <v>138528270.56250003</v>
      </c>
      <c r="I29" s="41">
        <f t="shared" si="15"/>
        <v>196363823.52234381</v>
      </c>
      <c r="J29" s="42">
        <f t="shared" si="15"/>
        <v>288654820.57784539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</row>
    <row r="30" spans="1:67" x14ac:dyDescent="0.2">
      <c r="A30" s="6"/>
      <c r="B30" s="7"/>
      <c r="C30" s="8"/>
      <c r="D30" s="8"/>
      <c r="E30" s="43" t="s">
        <v>33</v>
      </c>
      <c r="F30" s="44">
        <f t="shared" ref="F30:J30" si="16">F12*F24*10^6</f>
        <v>114552000.00000001</v>
      </c>
      <c r="G30" s="44">
        <f t="shared" si="16"/>
        <v>150349500</v>
      </c>
      <c r="H30" s="44">
        <f t="shared" si="16"/>
        <v>205227067.50000006</v>
      </c>
      <c r="I30" s="44">
        <f t="shared" si="16"/>
        <v>290909368.1812501</v>
      </c>
      <c r="J30" s="45">
        <f t="shared" si="16"/>
        <v>427636771.22643751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</row>
    <row r="31" spans="1:67" x14ac:dyDescent="0.2">
      <c r="A31" s="6"/>
      <c r="B31" s="7"/>
      <c r="C31" s="8"/>
      <c r="D31" s="8"/>
      <c r="E31" s="46"/>
      <c r="F31" s="47"/>
      <c r="G31" s="47"/>
      <c r="H31" s="47"/>
      <c r="I31" s="47"/>
      <c r="J31" s="4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</row>
    <row r="32" spans="1:67" x14ac:dyDescent="0.2">
      <c r="A32" s="6"/>
      <c r="B32" s="7"/>
      <c r="C32" s="37" t="s">
        <v>34</v>
      </c>
      <c r="D32" s="8"/>
      <c r="E32" s="49" t="s">
        <v>35</v>
      </c>
      <c r="F32" s="50">
        <f t="shared" ref="F32:J32" si="17">F26*F12*10^6</f>
        <v>386613000.00000006</v>
      </c>
      <c r="G32" s="41">
        <f t="shared" si="17"/>
        <v>507429562.50000006</v>
      </c>
      <c r="H32" s="41">
        <f t="shared" si="17"/>
        <v>692641352.81250012</v>
      </c>
      <c r="I32" s="41">
        <f t="shared" si="17"/>
        <v>981819117.61171913</v>
      </c>
      <c r="J32" s="42">
        <f t="shared" si="17"/>
        <v>1443274102.8892269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</row>
    <row r="33" spans="1:67" x14ac:dyDescent="0.2">
      <c r="A33" s="6"/>
      <c r="B33" s="7"/>
      <c r="C33" s="37" t="s">
        <v>36</v>
      </c>
      <c r="D33" s="8"/>
      <c r="E33" s="51" t="s">
        <v>35</v>
      </c>
      <c r="F33" s="52">
        <f t="shared" ref="F33:J33" si="18">F27*F12*10^6</f>
        <v>572760000.00000012</v>
      </c>
      <c r="G33" s="44">
        <f t="shared" si="18"/>
        <v>751747500</v>
      </c>
      <c r="H33" s="44">
        <f t="shared" si="18"/>
        <v>1026135337.5000004</v>
      </c>
      <c r="I33" s="44">
        <f t="shared" si="18"/>
        <v>1454546840.9062505</v>
      </c>
      <c r="J33" s="45">
        <f t="shared" si="18"/>
        <v>2138183856.1321878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</row>
    <row r="34" spans="1:67" x14ac:dyDescent="0.2">
      <c r="A34" s="6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</row>
    <row r="35" spans="1:67" x14ac:dyDescent="0.2">
      <c r="A35" s="6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</row>
    <row r="36" spans="1:67" x14ac:dyDescent="0.2">
      <c r="A36" s="6"/>
      <c r="B36" s="7"/>
      <c r="C36" s="8"/>
      <c r="D36" s="53"/>
      <c r="E36" s="176" t="s">
        <v>37</v>
      </c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7"/>
      <c r="BM36" s="8"/>
      <c r="BN36" s="8"/>
      <c r="BO36" s="8"/>
    </row>
    <row r="37" spans="1:67" x14ac:dyDescent="0.2">
      <c r="A37" s="6"/>
      <c r="B37" s="7"/>
      <c r="C37" s="5"/>
      <c r="D37" s="11"/>
      <c r="E37" s="9">
        <v>1</v>
      </c>
      <c r="F37" s="13">
        <f t="shared" ref="F37:BL37" si="19">E37+1</f>
        <v>2</v>
      </c>
      <c r="G37" s="13">
        <f t="shared" si="19"/>
        <v>3</v>
      </c>
      <c r="H37" s="13">
        <f t="shared" si="19"/>
        <v>4</v>
      </c>
      <c r="I37" s="13">
        <f t="shared" si="19"/>
        <v>5</v>
      </c>
      <c r="J37" s="13">
        <f t="shared" si="19"/>
        <v>6</v>
      </c>
      <c r="K37" s="13">
        <f t="shared" si="19"/>
        <v>7</v>
      </c>
      <c r="L37" s="13">
        <f t="shared" si="19"/>
        <v>8</v>
      </c>
      <c r="M37" s="13">
        <f t="shared" si="19"/>
        <v>9</v>
      </c>
      <c r="N37" s="13">
        <f t="shared" si="19"/>
        <v>10</v>
      </c>
      <c r="O37" s="13">
        <f t="shared" si="19"/>
        <v>11</v>
      </c>
      <c r="P37" s="13">
        <f t="shared" si="19"/>
        <v>12</v>
      </c>
      <c r="Q37" s="13">
        <f t="shared" si="19"/>
        <v>13</v>
      </c>
      <c r="R37" s="13">
        <f t="shared" si="19"/>
        <v>14</v>
      </c>
      <c r="S37" s="13">
        <f t="shared" si="19"/>
        <v>15</v>
      </c>
      <c r="T37" s="13">
        <f t="shared" si="19"/>
        <v>16</v>
      </c>
      <c r="U37" s="13">
        <f t="shared" si="19"/>
        <v>17</v>
      </c>
      <c r="V37" s="13">
        <f t="shared" si="19"/>
        <v>18</v>
      </c>
      <c r="W37" s="13">
        <f t="shared" si="19"/>
        <v>19</v>
      </c>
      <c r="X37" s="13">
        <f t="shared" si="19"/>
        <v>20</v>
      </c>
      <c r="Y37" s="13">
        <f t="shared" si="19"/>
        <v>21</v>
      </c>
      <c r="Z37" s="13">
        <f t="shared" si="19"/>
        <v>22</v>
      </c>
      <c r="AA37" s="13">
        <f t="shared" si="19"/>
        <v>23</v>
      </c>
      <c r="AB37" s="13">
        <f t="shared" si="19"/>
        <v>24</v>
      </c>
      <c r="AC37" s="9">
        <f t="shared" si="19"/>
        <v>25</v>
      </c>
      <c r="AD37" s="13">
        <f t="shared" si="19"/>
        <v>26</v>
      </c>
      <c r="AE37" s="13">
        <f t="shared" si="19"/>
        <v>27</v>
      </c>
      <c r="AF37" s="13">
        <f t="shared" si="19"/>
        <v>28</v>
      </c>
      <c r="AG37" s="13">
        <f t="shared" si="19"/>
        <v>29</v>
      </c>
      <c r="AH37" s="13">
        <f t="shared" si="19"/>
        <v>30</v>
      </c>
      <c r="AI37" s="13">
        <f t="shared" si="19"/>
        <v>31</v>
      </c>
      <c r="AJ37" s="13">
        <f t="shared" si="19"/>
        <v>32</v>
      </c>
      <c r="AK37" s="13">
        <f t="shared" si="19"/>
        <v>33</v>
      </c>
      <c r="AL37" s="13">
        <f t="shared" si="19"/>
        <v>34</v>
      </c>
      <c r="AM37" s="13">
        <f t="shared" si="19"/>
        <v>35</v>
      </c>
      <c r="AN37" s="10">
        <f t="shared" si="19"/>
        <v>36</v>
      </c>
      <c r="AO37" s="9">
        <f t="shared" si="19"/>
        <v>37</v>
      </c>
      <c r="AP37" s="13">
        <f t="shared" si="19"/>
        <v>38</v>
      </c>
      <c r="AQ37" s="13">
        <f t="shared" si="19"/>
        <v>39</v>
      </c>
      <c r="AR37" s="13">
        <f t="shared" si="19"/>
        <v>40</v>
      </c>
      <c r="AS37" s="13">
        <f t="shared" si="19"/>
        <v>41</v>
      </c>
      <c r="AT37" s="13">
        <f t="shared" si="19"/>
        <v>42</v>
      </c>
      <c r="AU37" s="13">
        <f t="shared" si="19"/>
        <v>43</v>
      </c>
      <c r="AV37" s="13">
        <f t="shared" si="19"/>
        <v>44</v>
      </c>
      <c r="AW37" s="13">
        <f t="shared" si="19"/>
        <v>45</v>
      </c>
      <c r="AX37" s="13">
        <f t="shared" si="19"/>
        <v>46</v>
      </c>
      <c r="AY37" s="13">
        <f t="shared" si="19"/>
        <v>47</v>
      </c>
      <c r="AZ37" s="10">
        <f t="shared" si="19"/>
        <v>48</v>
      </c>
      <c r="BA37" s="13">
        <f t="shared" si="19"/>
        <v>49</v>
      </c>
      <c r="BB37" s="13">
        <f t="shared" si="19"/>
        <v>50</v>
      </c>
      <c r="BC37" s="13">
        <f t="shared" si="19"/>
        <v>51</v>
      </c>
      <c r="BD37" s="13">
        <f t="shared" si="19"/>
        <v>52</v>
      </c>
      <c r="BE37" s="13">
        <f t="shared" si="19"/>
        <v>53</v>
      </c>
      <c r="BF37" s="13">
        <f t="shared" si="19"/>
        <v>54</v>
      </c>
      <c r="BG37" s="13">
        <f t="shared" si="19"/>
        <v>55</v>
      </c>
      <c r="BH37" s="13">
        <f t="shared" si="19"/>
        <v>56</v>
      </c>
      <c r="BI37" s="13">
        <f t="shared" si="19"/>
        <v>57</v>
      </c>
      <c r="BJ37" s="13">
        <f t="shared" si="19"/>
        <v>58</v>
      </c>
      <c r="BK37" s="13">
        <f t="shared" si="19"/>
        <v>59</v>
      </c>
      <c r="BL37" s="10">
        <f t="shared" si="19"/>
        <v>60</v>
      </c>
      <c r="BM37" s="8"/>
      <c r="BN37" s="8"/>
      <c r="BO37" s="8"/>
    </row>
    <row r="38" spans="1:67" x14ac:dyDescent="0.2">
      <c r="A38" s="6"/>
      <c r="B38" s="7"/>
      <c r="C38" s="8"/>
      <c r="D38" s="15"/>
      <c r="E38" s="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6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7"/>
      <c r="AO38" s="6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7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7"/>
      <c r="BM38" s="8"/>
      <c r="BN38" s="8"/>
      <c r="BO38" s="8"/>
    </row>
    <row r="39" spans="1:67" x14ac:dyDescent="0.2">
      <c r="A39" s="6"/>
      <c r="B39" s="7"/>
      <c r="C39" s="37" t="s">
        <v>38</v>
      </c>
      <c r="D39" s="54"/>
      <c r="E39" s="55">
        <f t="shared" ref="E39:P39" si="20">(1+$F$20)^(1/12)-1</f>
        <v>1.5309470499731193E-2</v>
      </c>
      <c r="F39" s="56">
        <f t="shared" si="20"/>
        <v>1.5309470499731193E-2</v>
      </c>
      <c r="G39" s="56">
        <f t="shared" si="20"/>
        <v>1.5309470499731193E-2</v>
      </c>
      <c r="H39" s="56">
        <f t="shared" si="20"/>
        <v>1.5309470499731193E-2</v>
      </c>
      <c r="I39" s="56">
        <f t="shared" si="20"/>
        <v>1.5309470499731193E-2</v>
      </c>
      <c r="J39" s="56">
        <f t="shared" si="20"/>
        <v>1.5309470499731193E-2</v>
      </c>
      <c r="K39" s="56">
        <f t="shared" si="20"/>
        <v>1.5309470499731193E-2</v>
      </c>
      <c r="L39" s="56">
        <f t="shared" si="20"/>
        <v>1.5309470499731193E-2</v>
      </c>
      <c r="M39" s="56">
        <f t="shared" si="20"/>
        <v>1.5309470499731193E-2</v>
      </c>
      <c r="N39" s="56">
        <f t="shared" si="20"/>
        <v>1.5309470499731193E-2</v>
      </c>
      <c r="O39" s="56">
        <f t="shared" si="20"/>
        <v>1.5309470499731193E-2</v>
      </c>
      <c r="P39" s="56">
        <f t="shared" si="20"/>
        <v>1.5309470499731193E-2</v>
      </c>
      <c r="Q39" s="56">
        <f t="shared" ref="Q39:AB39" si="21">(1+$G$20)^(1/12)-1</f>
        <v>1.8769265121506118E-2</v>
      </c>
      <c r="R39" s="56">
        <f t="shared" si="21"/>
        <v>1.8769265121506118E-2</v>
      </c>
      <c r="S39" s="56">
        <f t="shared" si="21"/>
        <v>1.8769265121506118E-2</v>
      </c>
      <c r="T39" s="56">
        <f t="shared" si="21"/>
        <v>1.8769265121506118E-2</v>
      </c>
      <c r="U39" s="56">
        <f t="shared" si="21"/>
        <v>1.8769265121506118E-2</v>
      </c>
      <c r="V39" s="56">
        <f t="shared" si="21"/>
        <v>1.8769265121506118E-2</v>
      </c>
      <c r="W39" s="56">
        <f t="shared" si="21"/>
        <v>1.8769265121506118E-2</v>
      </c>
      <c r="X39" s="56">
        <f t="shared" si="21"/>
        <v>1.8769265121506118E-2</v>
      </c>
      <c r="Y39" s="56">
        <f t="shared" si="21"/>
        <v>1.8769265121506118E-2</v>
      </c>
      <c r="Z39" s="56">
        <f t="shared" si="21"/>
        <v>1.8769265121506118E-2</v>
      </c>
      <c r="AA39" s="56">
        <f t="shared" si="21"/>
        <v>1.8769265121506118E-2</v>
      </c>
      <c r="AB39" s="56">
        <f t="shared" si="21"/>
        <v>1.8769265121506118E-2</v>
      </c>
      <c r="AC39" s="55">
        <f t="shared" ref="AC39:AN39" si="22">(1+$H$20)^(1/12)-1</f>
        <v>2.2104450593615876E-2</v>
      </c>
      <c r="AD39" s="56">
        <f t="shared" si="22"/>
        <v>2.2104450593615876E-2</v>
      </c>
      <c r="AE39" s="56">
        <f t="shared" si="22"/>
        <v>2.2104450593615876E-2</v>
      </c>
      <c r="AF39" s="56">
        <f t="shared" si="22"/>
        <v>2.2104450593615876E-2</v>
      </c>
      <c r="AG39" s="56">
        <f t="shared" si="22"/>
        <v>2.2104450593615876E-2</v>
      </c>
      <c r="AH39" s="56">
        <f t="shared" si="22"/>
        <v>2.2104450593615876E-2</v>
      </c>
      <c r="AI39" s="56">
        <f t="shared" si="22"/>
        <v>2.2104450593615876E-2</v>
      </c>
      <c r="AJ39" s="56">
        <f t="shared" si="22"/>
        <v>2.2104450593615876E-2</v>
      </c>
      <c r="AK39" s="56">
        <f t="shared" si="22"/>
        <v>2.2104450593615876E-2</v>
      </c>
      <c r="AL39" s="56">
        <f t="shared" si="22"/>
        <v>2.2104450593615876E-2</v>
      </c>
      <c r="AM39" s="56">
        <f t="shared" si="22"/>
        <v>2.2104450593615876E-2</v>
      </c>
      <c r="AN39" s="57">
        <f t="shared" si="22"/>
        <v>2.2104450593615876E-2</v>
      </c>
      <c r="AO39" s="55">
        <f t="shared" ref="AO39:AZ39" si="23">(1+$I$20)^(1/12)-1</f>
        <v>2.5324057248443888E-2</v>
      </c>
      <c r="AP39" s="56">
        <f t="shared" si="23"/>
        <v>2.5324057248443888E-2</v>
      </c>
      <c r="AQ39" s="56">
        <f t="shared" si="23"/>
        <v>2.5324057248443888E-2</v>
      </c>
      <c r="AR39" s="56">
        <f t="shared" si="23"/>
        <v>2.5324057248443888E-2</v>
      </c>
      <c r="AS39" s="56">
        <f t="shared" si="23"/>
        <v>2.5324057248443888E-2</v>
      </c>
      <c r="AT39" s="56">
        <f t="shared" si="23"/>
        <v>2.5324057248443888E-2</v>
      </c>
      <c r="AU39" s="56">
        <f t="shared" si="23"/>
        <v>2.5324057248443888E-2</v>
      </c>
      <c r="AV39" s="56">
        <f t="shared" si="23"/>
        <v>2.5324057248443888E-2</v>
      </c>
      <c r="AW39" s="56">
        <f t="shared" si="23"/>
        <v>2.5324057248443888E-2</v>
      </c>
      <c r="AX39" s="56">
        <f t="shared" si="23"/>
        <v>2.5324057248443888E-2</v>
      </c>
      <c r="AY39" s="56">
        <f t="shared" si="23"/>
        <v>2.5324057248443888E-2</v>
      </c>
      <c r="AZ39" s="57">
        <f t="shared" si="23"/>
        <v>2.5324057248443888E-2</v>
      </c>
      <c r="BA39" s="56">
        <f t="shared" ref="BA39:BL39" si="24">(1+$J$20)^(1/12)-1</f>
        <v>2.8436155726361267E-2</v>
      </c>
      <c r="BB39" s="56">
        <f t="shared" si="24"/>
        <v>2.8436155726361267E-2</v>
      </c>
      <c r="BC39" s="56">
        <f t="shared" si="24"/>
        <v>2.8436155726361267E-2</v>
      </c>
      <c r="BD39" s="56">
        <f t="shared" si="24"/>
        <v>2.8436155726361267E-2</v>
      </c>
      <c r="BE39" s="56">
        <f t="shared" si="24"/>
        <v>2.8436155726361267E-2</v>
      </c>
      <c r="BF39" s="56">
        <f t="shared" si="24"/>
        <v>2.8436155726361267E-2</v>
      </c>
      <c r="BG39" s="56">
        <f t="shared" si="24"/>
        <v>2.8436155726361267E-2</v>
      </c>
      <c r="BH39" s="56">
        <f t="shared" si="24"/>
        <v>2.8436155726361267E-2</v>
      </c>
      <c r="BI39" s="56">
        <f t="shared" si="24"/>
        <v>2.8436155726361267E-2</v>
      </c>
      <c r="BJ39" s="56">
        <f t="shared" si="24"/>
        <v>2.8436155726361267E-2</v>
      </c>
      <c r="BK39" s="56">
        <f t="shared" si="24"/>
        <v>2.8436155726361267E-2</v>
      </c>
      <c r="BL39" s="57">
        <f t="shared" si="24"/>
        <v>2.8436155726361267E-2</v>
      </c>
      <c r="BM39" s="8"/>
      <c r="BN39" s="8"/>
      <c r="BO39" s="8"/>
    </row>
    <row r="40" spans="1:67" x14ac:dyDescent="0.2">
      <c r="A40" s="6"/>
      <c r="B40" s="7"/>
      <c r="C40" s="37" t="s">
        <v>28</v>
      </c>
      <c r="D40" s="58"/>
      <c r="E40" s="59">
        <f>$B$23*(1+E39)</f>
        <v>1370.6677851746372</v>
      </c>
      <c r="F40" s="39">
        <f t="shared" ref="F40:BL40" si="25">E40*(1+F39)</f>
        <v>1391.6519831967003</v>
      </c>
      <c r="G40" s="39">
        <f t="shared" si="25"/>
        <v>1412.9574381793425</v>
      </c>
      <c r="H40" s="39">
        <f t="shared" si="25"/>
        <v>1434.5890683965249</v>
      </c>
      <c r="I40" s="39">
        <f t="shared" si="25"/>
        <v>1456.5518674183784</v>
      </c>
      <c r="J40" s="39">
        <f t="shared" si="25"/>
        <v>1478.8509052639483</v>
      </c>
      <c r="K40" s="39">
        <f t="shared" si="25"/>
        <v>1501.4913295715876</v>
      </c>
      <c r="L40" s="39">
        <f t="shared" si="25"/>
        <v>1524.4783667872659</v>
      </c>
      <c r="M40" s="39">
        <f t="shared" si="25"/>
        <v>1547.8173233710741</v>
      </c>
      <c r="N40" s="39">
        <f t="shared" si="25"/>
        <v>1571.5135870221964</v>
      </c>
      <c r="O40" s="39">
        <f t="shared" si="25"/>
        <v>1595.5726279226394</v>
      </c>
      <c r="P40" s="39">
        <f t="shared" si="25"/>
        <v>1619.9999999999995</v>
      </c>
      <c r="Q40" s="39">
        <f t="shared" si="25"/>
        <v>1650.4062094968394</v>
      </c>
      <c r="R40" s="39">
        <f t="shared" si="25"/>
        <v>1681.3831212010655</v>
      </c>
      <c r="S40" s="39">
        <f t="shared" si="25"/>
        <v>1712.9414467737138</v>
      </c>
      <c r="T40" s="39">
        <f t="shared" si="25"/>
        <v>1745.0920989258259</v>
      </c>
      <c r="U40" s="39">
        <f t="shared" si="25"/>
        <v>1777.8461951920103</v>
      </c>
      <c r="V40" s="39">
        <f t="shared" si="25"/>
        <v>1811.21506177483</v>
      </c>
      <c r="W40" s="39">
        <f t="shared" si="25"/>
        <v>1845.2102374613469</v>
      </c>
      <c r="X40" s="39">
        <f t="shared" si="25"/>
        <v>1879.8434776131762</v>
      </c>
      <c r="Y40" s="39">
        <f t="shared" si="25"/>
        <v>1915.1267582314319</v>
      </c>
      <c r="Z40" s="39">
        <f t="shared" si="25"/>
        <v>1951.0722800979681</v>
      </c>
      <c r="AA40" s="39">
        <f t="shared" si="25"/>
        <v>1987.6924729943482</v>
      </c>
      <c r="AB40" s="39">
        <f t="shared" si="25"/>
        <v>2025.0000000000014</v>
      </c>
      <c r="AC40" s="59">
        <f t="shared" si="25"/>
        <v>2069.7615124520735</v>
      </c>
      <c r="AD40" s="39">
        <f t="shared" si="25"/>
        <v>2115.512453544638</v>
      </c>
      <c r="AE40" s="39">
        <f t="shared" si="25"/>
        <v>2162.2746940541947</v>
      </c>
      <c r="AF40" s="39">
        <f t="shared" si="25"/>
        <v>2210.0705881987415</v>
      </c>
      <c r="AG40" s="39">
        <f t="shared" si="25"/>
        <v>2258.9229843239841</v>
      </c>
      <c r="AH40" s="39">
        <f t="shared" si="25"/>
        <v>2308.8552358257571</v>
      </c>
      <c r="AI40" s="39">
        <f t="shared" si="25"/>
        <v>2359.8912123138789</v>
      </c>
      <c r="AJ40" s="39">
        <f t="shared" si="25"/>
        <v>2412.0553110227793</v>
      </c>
      <c r="AK40" s="39">
        <f t="shared" si="25"/>
        <v>2465.3724684743511</v>
      </c>
      <c r="AL40" s="39">
        <f t="shared" si="25"/>
        <v>2519.8681723986033</v>
      </c>
      <c r="AM40" s="39">
        <f t="shared" si="25"/>
        <v>2575.5684739178132</v>
      </c>
      <c r="AN40" s="40">
        <f t="shared" si="25"/>
        <v>2632.5000000000041</v>
      </c>
      <c r="AO40" s="59">
        <f t="shared" si="25"/>
        <v>2699.1655807065326</v>
      </c>
      <c r="AP40" s="39">
        <f t="shared" si="25"/>
        <v>2767.5194043953743</v>
      </c>
      <c r="AQ40" s="39">
        <f t="shared" si="25"/>
        <v>2837.604224228462</v>
      </c>
      <c r="AR40" s="39">
        <f t="shared" si="25"/>
        <v>2909.4638760512498</v>
      </c>
      <c r="AS40" s="39">
        <f t="shared" si="25"/>
        <v>2983.1433058106513</v>
      </c>
      <c r="AT40" s="39">
        <f t="shared" si="25"/>
        <v>3058.6885976673125</v>
      </c>
      <c r="AU40" s="39">
        <f t="shared" si="25"/>
        <v>3136.1470028198019</v>
      </c>
      <c r="AV40" s="39">
        <f t="shared" si="25"/>
        <v>3215.5669690587461</v>
      </c>
      <c r="AW40" s="39">
        <f t="shared" si="25"/>
        <v>3296.9981710693951</v>
      </c>
      <c r="AX40" s="39">
        <f t="shared" si="25"/>
        <v>3380.4915415015712</v>
      </c>
      <c r="AY40" s="39">
        <f t="shared" si="25"/>
        <v>3466.0993028264375</v>
      </c>
      <c r="AZ40" s="40">
        <f t="shared" si="25"/>
        <v>3553.8750000000055</v>
      </c>
      <c r="BA40" s="39">
        <f t="shared" si="25"/>
        <v>3654.9335429320276</v>
      </c>
      <c r="BB40" s="39">
        <f t="shared" si="25"/>
        <v>3758.8658023283442</v>
      </c>
      <c r="BC40" s="39">
        <f t="shared" si="25"/>
        <v>3865.7534956378468</v>
      </c>
      <c r="BD40" s="39">
        <f t="shared" si="25"/>
        <v>3975.6806640395298</v>
      </c>
      <c r="BE40" s="39">
        <f t="shared" si="25"/>
        <v>4088.7337385204414</v>
      </c>
      <c r="BF40" s="39">
        <f t="shared" si="25"/>
        <v>4205.0016078326362</v>
      </c>
      <c r="BG40" s="39">
        <f t="shared" si="25"/>
        <v>4324.5756883825643</v>
      </c>
      <c r="BH40" s="39">
        <f t="shared" si="25"/>
        <v>4447.5499961078467</v>
      </c>
      <c r="BI40" s="39">
        <f t="shared" si="25"/>
        <v>4574.0212203979472</v>
      </c>
      <c r="BJ40" s="39">
        <f t="shared" si="25"/>
        <v>4704.0888001168641</v>
      </c>
      <c r="BK40" s="39">
        <f t="shared" si="25"/>
        <v>4837.8550017876196</v>
      </c>
      <c r="BL40" s="40">
        <f t="shared" si="25"/>
        <v>4975.4250000000084</v>
      </c>
      <c r="BM40" s="8"/>
      <c r="BN40" s="8"/>
      <c r="BO40" s="8"/>
    </row>
    <row r="41" spans="1:67" x14ac:dyDescent="0.2">
      <c r="A41" s="60"/>
      <c r="B41" s="61"/>
      <c r="C41" s="37" t="s">
        <v>29</v>
      </c>
      <c r="D41" s="62"/>
      <c r="E41" s="63">
        <f>B24*(1+E39)</f>
        <v>2030.6189409994624</v>
      </c>
      <c r="F41" s="64">
        <f t="shared" ref="F41:BL41" si="26">E41*(1+F39)</f>
        <v>2061.7066417728893</v>
      </c>
      <c r="G41" s="64">
        <f t="shared" si="26"/>
        <v>2093.2702787842113</v>
      </c>
      <c r="H41" s="64">
        <f t="shared" si="26"/>
        <v>2125.3171383652225</v>
      </c>
      <c r="I41" s="64">
        <f t="shared" si="26"/>
        <v>2157.8546183975982</v>
      </c>
      <c r="J41" s="64">
        <f t="shared" si="26"/>
        <v>2190.8902300206651</v>
      </c>
      <c r="K41" s="64">
        <f t="shared" si="26"/>
        <v>2224.4315993653158</v>
      </c>
      <c r="L41" s="64">
        <f t="shared" si="26"/>
        <v>2258.4864693144691</v>
      </c>
      <c r="M41" s="64">
        <f t="shared" si="26"/>
        <v>2293.0627012904811</v>
      </c>
      <c r="N41" s="64">
        <f t="shared" si="26"/>
        <v>2328.1682770699217</v>
      </c>
      <c r="O41" s="64">
        <f t="shared" si="26"/>
        <v>2363.8113006261337</v>
      </c>
      <c r="P41" s="64">
        <f t="shared" si="26"/>
        <v>2400.0000000000009</v>
      </c>
      <c r="Q41" s="64">
        <f t="shared" si="26"/>
        <v>2445.0462362916155</v>
      </c>
      <c r="R41" s="64">
        <f t="shared" si="26"/>
        <v>2490.9379573349133</v>
      </c>
      <c r="S41" s="64">
        <f t="shared" si="26"/>
        <v>2537.6910322573553</v>
      </c>
      <c r="T41" s="64">
        <f t="shared" si="26"/>
        <v>2585.3216280382621</v>
      </c>
      <c r="U41" s="64">
        <f t="shared" si="26"/>
        <v>2633.8462150992759</v>
      </c>
      <c r="V41" s="64">
        <f t="shared" si="26"/>
        <v>2683.2815729997496</v>
      </c>
      <c r="W41" s="64">
        <f t="shared" si="26"/>
        <v>2733.6447962390339</v>
      </c>
      <c r="X41" s="64">
        <f t="shared" si="26"/>
        <v>2784.95330016767</v>
      </c>
      <c r="Y41" s="64">
        <f t="shared" si="26"/>
        <v>2837.2248270095306</v>
      </c>
      <c r="Z41" s="64">
        <f t="shared" si="26"/>
        <v>2890.4774519969919</v>
      </c>
      <c r="AA41" s="64">
        <f t="shared" si="26"/>
        <v>2944.729589621259</v>
      </c>
      <c r="AB41" s="64">
        <f t="shared" si="26"/>
        <v>3000.0000000000045</v>
      </c>
      <c r="AC41" s="63">
        <f t="shared" si="26"/>
        <v>3066.3133517808524</v>
      </c>
      <c r="AD41" s="64">
        <f t="shared" si="26"/>
        <v>3134.092523769837</v>
      </c>
      <c r="AE41" s="64">
        <f t="shared" si="26"/>
        <v>3203.3699171173284</v>
      </c>
      <c r="AF41" s="64">
        <f t="shared" si="26"/>
        <v>3274.1786491833236</v>
      </c>
      <c r="AG41" s="64">
        <f t="shared" si="26"/>
        <v>3346.5525693688683</v>
      </c>
      <c r="AH41" s="64">
        <f t="shared" si="26"/>
        <v>3420.5262752974209</v>
      </c>
      <c r="AI41" s="64">
        <f t="shared" si="26"/>
        <v>3496.1351293538978</v>
      </c>
      <c r="AJ41" s="64">
        <f t="shared" si="26"/>
        <v>3573.415275589306</v>
      </c>
      <c r="AK41" s="64">
        <f t="shared" si="26"/>
        <v>3652.4036569990421</v>
      </c>
      <c r="AL41" s="64">
        <f t="shared" si="26"/>
        <v>3733.1380331831192</v>
      </c>
      <c r="AM41" s="64">
        <f t="shared" si="26"/>
        <v>3815.6569983967638</v>
      </c>
      <c r="AN41" s="65">
        <f t="shared" si="26"/>
        <v>3900.0000000000095</v>
      </c>
      <c r="AO41" s="63">
        <f t="shared" si="26"/>
        <v>3998.763823268941</v>
      </c>
      <c r="AP41" s="64">
        <f t="shared" si="26"/>
        <v>4100.0287472524096</v>
      </c>
      <c r="AQ41" s="64">
        <f t="shared" si="26"/>
        <v>4203.8581099680951</v>
      </c>
      <c r="AR41" s="64">
        <f t="shared" si="26"/>
        <v>4310.316853409262</v>
      </c>
      <c r="AS41" s="64">
        <f t="shared" si="26"/>
        <v>4419.4715641639305</v>
      </c>
      <c r="AT41" s="64">
        <f t="shared" si="26"/>
        <v>4531.3905150626879</v>
      </c>
      <c r="AU41" s="64">
        <f t="shared" si="26"/>
        <v>4646.1437078811914</v>
      </c>
      <c r="AV41" s="64">
        <f t="shared" si="26"/>
        <v>4763.8029171240723</v>
      </c>
      <c r="AW41" s="64">
        <f t="shared" si="26"/>
        <v>4884.4417349176265</v>
      </c>
      <c r="AX41" s="64">
        <f t="shared" si="26"/>
        <v>5008.1356170393692</v>
      </c>
      <c r="AY41" s="64">
        <f t="shared" si="26"/>
        <v>5134.9619301132452</v>
      </c>
      <c r="AZ41" s="65">
        <f t="shared" si="26"/>
        <v>5265.0000000000127</v>
      </c>
      <c r="BA41" s="64">
        <f t="shared" si="26"/>
        <v>5414.7163598993047</v>
      </c>
      <c r="BB41" s="64">
        <f t="shared" si="26"/>
        <v>5568.6900775234772</v>
      </c>
      <c r="BC41" s="64">
        <f t="shared" si="26"/>
        <v>5727.0422157597777</v>
      </c>
      <c r="BD41" s="64">
        <f t="shared" si="26"/>
        <v>5889.897280058568</v>
      </c>
      <c r="BE41" s="64">
        <f t="shared" si="26"/>
        <v>6057.3833163265854</v>
      </c>
      <c r="BF41" s="64">
        <f t="shared" si="26"/>
        <v>6229.6320116039105</v>
      </c>
      <c r="BG41" s="64">
        <f t="shared" si="26"/>
        <v>6406.7787976038044</v>
      </c>
      <c r="BH41" s="64">
        <f t="shared" si="26"/>
        <v>6588.9629571968162</v>
      </c>
      <c r="BI41" s="64">
        <f t="shared" si="26"/>
        <v>6776.3277339228907</v>
      </c>
      <c r="BJ41" s="64">
        <f t="shared" si="26"/>
        <v>6969.0204446175831</v>
      </c>
      <c r="BK41" s="64">
        <f t="shared" si="26"/>
        <v>7167.1925952409238</v>
      </c>
      <c r="BL41" s="65">
        <f t="shared" si="26"/>
        <v>7371.0000000000182</v>
      </c>
      <c r="BM41" s="66"/>
      <c r="BN41" s="66"/>
      <c r="BO41" s="66"/>
    </row>
    <row r="42" spans="1:67" x14ac:dyDescent="0.2">
      <c r="A42" s="67"/>
      <c r="B42" s="68"/>
      <c r="C42" s="8"/>
      <c r="D42" s="15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 spans="1:67" x14ac:dyDescent="0.2">
      <c r="A43" s="177" t="s">
        <v>39</v>
      </c>
      <c r="B43" s="167"/>
      <c r="C43" s="8"/>
      <c r="D43" s="15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</row>
    <row r="44" spans="1:67" x14ac:dyDescent="0.2">
      <c r="A44" s="178" t="s">
        <v>40</v>
      </c>
      <c r="B44" s="167"/>
      <c r="C44" s="8"/>
      <c r="D44" s="11"/>
      <c r="E44" s="9">
        <v>1</v>
      </c>
      <c r="F44" s="13">
        <f t="shared" ref="F44:AB44" si="27">E44+1</f>
        <v>2</v>
      </c>
      <c r="G44" s="13">
        <f t="shared" si="27"/>
        <v>3</v>
      </c>
      <c r="H44" s="13">
        <f t="shared" si="27"/>
        <v>4</v>
      </c>
      <c r="I44" s="13">
        <f t="shared" si="27"/>
        <v>5</v>
      </c>
      <c r="J44" s="13">
        <f t="shared" si="27"/>
        <v>6</v>
      </c>
      <c r="K44" s="13">
        <f t="shared" si="27"/>
        <v>7</v>
      </c>
      <c r="L44" s="13">
        <f t="shared" si="27"/>
        <v>8</v>
      </c>
      <c r="M44" s="13">
        <f t="shared" si="27"/>
        <v>9</v>
      </c>
      <c r="N44" s="13">
        <f t="shared" si="27"/>
        <v>10</v>
      </c>
      <c r="O44" s="13">
        <f t="shared" si="27"/>
        <v>11</v>
      </c>
      <c r="P44" s="13">
        <f t="shared" si="27"/>
        <v>12</v>
      </c>
      <c r="Q44" s="13">
        <f t="shared" si="27"/>
        <v>13</v>
      </c>
      <c r="R44" s="13">
        <f t="shared" si="27"/>
        <v>14</v>
      </c>
      <c r="S44" s="13">
        <f t="shared" si="27"/>
        <v>15</v>
      </c>
      <c r="T44" s="13">
        <f t="shared" si="27"/>
        <v>16</v>
      </c>
      <c r="U44" s="13">
        <f t="shared" si="27"/>
        <v>17</v>
      </c>
      <c r="V44" s="13">
        <f t="shared" si="27"/>
        <v>18</v>
      </c>
      <c r="W44" s="13">
        <f t="shared" si="27"/>
        <v>19</v>
      </c>
      <c r="X44" s="13">
        <f t="shared" si="27"/>
        <v>20</v>
      </c>
      <c r="Y44" s="13">
        <f t="shared" si="27"/>
        <v>21</v>
      </c>
      <c r="Z44" s="13">
        <f t="shared" si="27"/>
        <v>22</v>
      </c>
      <c r="AA44" s="13">
        <f t="shared" si="27"/>
        <v>23</v>
      </c>
      <c r="AB44" s="10">
        <f t="shared" si="27"/>
        <v>24</v>
      </c>
      <c r="AC44" s="69">
        <v>25</v>
      </c>
      <c r="AD44" s="70">
        <f t="shared" ref="AD44:BL44" si="28">AC44+1</f>
        <v>26</v>
      </c>
      <c r="AE44" s="70">
        <f t="shared" si="28"/>
        <v>27</v>
      </c>
      <c r="AF44" s="70">
        <f t="shared" si="28"/>
        <v>28</v>
      </c>
      <c r="AG44" s="70">
        <f t="shared" si="28"/>
        <v>29</v>
      </c>
      <c r="AH44" s="70">
        <f t="shared" si="28"/>
        <v>30</v>
      </c>
      <c r="AI44" s="70">
        <f t="shared" si="28"/>
        <v>31</v>
      </c>
      <c r="AJ44" s="70">
        <f t="shared" si="28"/>
        <v>32</v>
      </c>
      <c r="AK44" s="70">
        <f t="shared" si="28"/>
        <v>33</v>
      </c>
      <c r="AL44" s="70">
        <f t="shared" si="28"/>
        <v>34</v>
      </c>
      <c r="AM44" s="70">
        <f t="shared" si="28"/>
        <v>35</v>
      </c>
      <c r="AN44" s="71">
        <f t="shared" si="28"/>
        <v>36</v>
      </c>
      <c r="AO44" s="72">
        <f t="shared" si="28"/>
        <v>37</v>
      </c>
      <c r="AP44" s="73">
        <f t="shared" si="28"/>
        <v>38</v>
      </c>
      <c r="AQ44" s="73">
        <f t="shared" si="28"/>
        <v>39</v>
      </c>
      <c r="AR44" s="73">
        <f t="shared" si="28"/>
        <v>40</v>
      </c>
      <c r="AS44" s="73">
        <f t="shared" si="28"/>
        <v>41</v>
      </c>
      <c r="AT44" s="73">
        <f t="shared" si="28"/>
        <v>42</v>
      </c>
      <c r="AU44" s="73">
        <f t="shared" si="28"/>
        <v>43</v>
      </c>
      <c r="AV44" s="73">
        <f t="shared" si="28"/>
        <v>44</v>
      </c>
      <c r="AW44" s="73">
        <f t="shared" si="28"/>
        <v>45</v>
      </c>
      <c r="AX44" s="73">
        <f t="shared" si="28"/>
        <v>46</v>
      </c>
      <c r="AY44" s="73">
        <f t="shared" si="28"/>
        <v>47</v>
      </c>
      <c r="AZ44" s="74">
        <f t="shared" si="28"/>
        <v>48</v>
      </c>
      <c r="BA44" s="75">
        <f t="shared" si="28"/>
        <v>49</v>
      </c>
      <c r="BB44" s="76">
        <f t="shared" si="28"/>
        <v>50</v>
      </c>
      <c r="BC44" s="76">
        <f t="shared" si="28"/>
        <v>51</v>
      </c>
      <c r="BD44" s="76">
        <f t="shared" si="28"/>
        <v>52</v>
      </c>
      <c r="BE44" s="76">
        <f t="shared" si="28"/>
        <v>53</v>
      </c>
      <c r="BF44" s="76">
        <f t="shared" si="28"/>
        <v>54</v>
      </c>
      <c r="BG44" s="76">
        <f t="shared" si="28"/>
        <v>55</v>
      </c>
      <c r="BH44" s="76">
        <f t="shared" si="28"/>
        <v>56</v>
      </c>
      <c r="BI44" s="76">
        <f t="shared" si="28"/>
        <v>57</v>
      </c>
      <c r="BJ44" s="76">
        <f t="shared" si="28"/>
        <v>58</v>
      </c>
      <c r="BK44" s="76">
        <f t="shared" si="28"/>
        <v>59</v>
      </c>
      <c r="BL44" s="77">
        <f t="shared" si="28"/>
        <v>60</v>
      </c>
      <c r="BM44" s="8"/>
      <c r="BN44" s="8"/>
      <c r="BO44" s="8"/>
    </row>
    <row r="45" spans="1:67" x14ac:dyDescent="0.2">
      <c r="A45" s="6" t="s">
        <v>41</v>
      </c>
      <c r="B45" s="18">
        <v>0.01</v>
      </c>
      <c r="C45" s="8"/>
      <c r="D45" s="15"/>
      <c r="E45" s="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49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2"/>
      <c r="AO45" s="49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2"/>
      <c r="BA45" s="49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2"/>
      <c r="BM45" s="8"/>
      <c r="BN45" s="8"/>
      <c r="BO45" s="8"/>
    </row>
    <row r="46" spans="1:67" x14ac:dyDescent="0.2">
      <c r="A46" s="6" t="s">
        <v>42</v>
      </c>
      <c r="B46" s="7">
        <v>24</v>
      </c>
      <c r="C46" s="37" t="s">
        <v>43</v>
      </c>
      <c r="D46" s="78"/>
      <c r="E46" s="79">
        <v>0</v>
      </c>
      <c r="F46" s="80">
        <v>0</v>
      </c>
      <c r="G46" s="80">
        <v>0</v>
      </c>
      <c r="H46" s="81">
        <f t="shared" ref="H46:AB46" si="29">$B$45/(1+EXP(-$B$49*(H44-$B$47-$B$48)))</f>
        <v>4.0701377158961277E-5</v>
      </c>
      <c r="I46" s="81">
        <f t="shared" si="29"/>
        <v>6.6928509242848553E-5</v>
      </c>
      <c r="J46" s="81">
        <f t="shared" si="29"/>
        <v>1.098694263059318E-4</v>
      </c>
      <c r="K46" s="81">
        <f t="shared" si="29"/>
        <v>1.7986209962091558E-4</v>
      </c>
      <c r="L46" s="81">
        <f t="shared" si="29"/>
        <v>2.9312230751356321E-4</v>
      </c>
      <c r="M46" s="81">
        <f t="shared" si="29"/>
        <v>4.7425873177566781E-4</v>
      </c>
      <c r="N46" s="81">
        <f t="shared" si="29"/>
        <v>7.5858180021243552E-4</v>
      </c>
      <c r="O46" s="81">
        <f t="shared" si="29"/>
        <v>1.1920292202211755E-3</v>
      </c>
      <c r="P46" s="81">
        <f t="shared" si="29"/>
        <v>1.8242552380635635E-3</v>
      </c>
      <c r="Q46" s="81">
        <f t="shared" si="29"/>
        <v>2.6894142136999512E-3</v>
      </c>
      <c r="R46" s="81">
        <f t="shared" si="29"/>
        <v>3.7754066879814542E-3</v>
      </c>
      <c r="S46" s="81">
        <f t="shared" si="29"/>
        <v>5.0000000000000001E-3</v>
      </c>
      <c r="T46" s="81">
        <f t="shared" si="29"/>
        <v>6.224593312018546E-3</v>
      </c>
      <c r="U46" s="81">
        <f t="shared" si="29"/>
        <v>7.310585786300049E-3</v>
      </c>
      <c r="V46" s="81">
        <f t="shared" si="29"/>
        <v>8.1757447619364362E-3</v>
      </c>
      <c r="W46" s="81">
        <f t="shared" si="29"/>
        <v>8.8079707797788231E-3</v>
      </c>
      <c r="X46" s="81">
        <f t="shared" si="29"/>
        <v>9.2414181997875645E-3</v>
      </c>
      <c r="Y46" s="81">
        <f t="shared" si="29"/>
        <v>9.5257412682243341E-3</v>
      </c>
      <c r="Z46" s="81">
        <f t="shared" si="29"/>
        <v>9.7068776924864354E-3</v>
      </c>
      <c r="AA46" s="81">
        <f t="shared" si="29"/>
        <v>9.8201379003790834E-3</v>
      </c>
      <c r="AB46" s="81">
        <f t="shared" si="29"/>
        <v>9.8901305736940684E-3</v>
      </c>
      <c r="AC46" s="55">
        <f t="shared" ref="AC46:AN46" si="30">AB46*(1+$B$53)</f>
        <v>1.0129885531490485E-2</v>
      </c>
      <c r="AD46" s="56">
        <f t="shared" si="30"/>
        <v>1.0375452590488159E-2</v>
      </c>
      <c r="AE46" s="56">
        <f t="shared" si="30"/>
        <v>1.0626972646711448E-2</v>
      </c>
      <c r="AF46" s="56">
        <f t="shared" si="30"/>
        <v>1.0884590011763517E-2</v>
      </c>
      <c r="AG46" s="56">
        <f t="shared" si="30"/>
        <v>1.1148452495626248E-2</v>
      </c>
      <c r="AH46" s="56">
        <f t="shared" si="30"/>
        <v>1.1418711491467379E-2</v>
      </c>
      <c r="AI46" s="56">
        <f t="shared" si="30"/>
        <v>1.1695522062503516E-2</v>
      </c>
      <c r="AJ46" s="56">
        <f t="shared" si="30"/>
        <v>1.1979043030968873E-2</v>
      </c>
      <c r="AK46" s="56">
        <f t="shared" si="30"/>
        <v>1.2269437069240772E-2</v>
      </c>
      <c r="AL46" s="56">
        <f t="shared" si="30"/>
        <v>1.2566870793174192E-2</v>
      </c>
      <c r="AM46" s="56">
        <f t="shared" si="30"/>
        <v>1.2871514857698925E-2</v>
      </c>
      <c r="AN46" s="56">
        <f t="shared" si="30"/>
        <v>1.3183544054734176E-2</v>
      </c>
      <c r="AO46" s="55">
        <f t="shared" ref="AO46:AZ46" si="31">AN46*(1+$B$58)</f>
        <v>1.3503137413476798E-2</v>
      </c>
      <c r="AP46" s="56">
        <f t="shared" si="31"/>
        <v>1.3830478303120697E-2</v>
      </c>
      <c r="AQ46" s="56">
        <f t="shared" si="31"/>
        <v>1.4165754538066341E-2</v>
      </c>
      <c r="AR46" s="56">
        <f t="shared" si="31"/>
        <v>1.4509158485680749E-2</v>
      </c>
      <c r="AS46" s="56">
        <f t="shared" si="31"/>
        <v>1.4860887176669769E-2</v>
      </c>
      <c r="AT46" s="56">
        <f t="shared" si="31"/>
        <v>1.5221142418125996E-2</v>
      </c>
      <c r="AU46" s="56">
        <f t="shared" si="31"/>
        <v>1.5590130909317166E-2</v>
      </c>
      <c r="AV46" s="56">
        <f t="shared" si="31"/>
        <v>1.5968064360281486E-2</v>
      </c>
      <c r="AW46" s="56">
        <f t="shared" si="31"/>
        <v>1.6355159613297927E-2</v>
      </c>
      <c r="AX46" s="56">
        <f t="shared" si="31"/>
        <v>1.6751638767301177E-2</v>
      </c>
      <c r="AY46" s="56">
        <f t="shared" si="31"/>
        <v>1.7157729305312647E-2</v>
      </c>
      <c r="AZ46" s="56">
        <f t="shared" si="31"/>
        <v>1.7573664224960636E-2</v>
      </c>
      <c r="BA46" s="55">
        <f t="shared" ref="BA46:BL46" si="32">AZ46*(1+$B$63)</f>
        <v>1.7903508987955251E-2</v>
      </c>
      <c r="BB46" s="56">
        <f t="shared" si="32"/>
        <v>1.8239544694755451E-2</v>
      </c>
      <c r="BC46" s="56">
        <f t="shared" si="32"/>
        <v>1.8581887544826876E-2</v>
      </c>
      <c r="BD46" s="56">
        <f t="shared" si="32"/>
        <v>1.8930655918613745E-2</v>
      </c>
      <c r="BE46" s="56">
        <f t="shared" si="32"/>
        <v>1.9285970418474217E-2</v>
      </c>
      <c r="BF46" s="56">
        <f t="shared" si="32"/>
        <v>1.9647953910384083E-2</v>
      </c>
      <c r="BG46" s="56">
        <f t="shared" si="32"/>
        <v>2.0016731566423217E-2</v>
      </c>
      <c r="BH46" s="56">
        <f t="shared" si="32"/>
        <v>2.0392430908059436E-2</v>
      </c>
      <c r="BI46" s="56">
        <f t="shared" si="32"/>
        <v>2.0775181850244798E-2</v>
      </c>
      <c r="BJ46" s="56">
        <f t="shared" si="32"/>
        <v>2.1165116746339543E-2</v>
      </c>
      <c r="BK46" s="56">
        <f t="shared" si="32"/>
        <v>2.1562370433879218E-2</v>
      </c>
      <c r="BL46" s="57">
        <f t="shared" si="32"/>
        <v>2.1967080281200823E-2</v>
      </c>
      <c r="BM46" s="8"/>
      <c r="BN46" s="8"/>
      <c r="BO46" s="8"/>
    </row>
    <row r="47" spans="1:67" x14ac:dyDescent="0.2">
      <c r="A47" s="6" t="s">
        <v>44</v>
      </c>
      <c r="B47" s="7">
        <v>12</v>
      </c>
      <c r="C47" s="37" t="s">
        <v>28</v>
      </c>
      <c r="D47" s="78"/>
      <c r="E47" s="79">
        <f t="shared" ref="E47:G47" si="33">$F$18*E46</f>
        <v>0</v>
      </c>
      <c r="F47" s="80">
        <f t="shared" si="33"/>
        <v>0</v>
      </c>
      <c r="G47" s="80">
        <f t="shared" si="33"/>
        <v>0</v>
      </c>
      <c r="H47" s="82">
        <f t="shared" ref="H47:BL47" si="34">H46*H40</f>
        <v>5.8389750740929856E-2</v>
      </c>
      <c r="I47" s="82">
        <f t="shared" si="34"/>
        <v>9.7484845121199259E-2</v>
      </c>
      <c r="J47" s="82">
        <f t="shared" si="34"/>
        <v>0.16248050055335791</v>
      </c>
      <c r="K47" s="82">
        <f t="shared" si="34"/>
        <v>0.27006138309934585</v>
      </c>
      <c r="L47" s="82">
        <f t="shared" si="34"/>
        <v>0.44685861662719156</v>
      </c>
      <c r="M47" s="82">
        <f t="shared" si="34"/>
        <v>0.73406588080237434</v>
      </c>
      <c r="N47" s="82">
        <f t="shared" si="34"/>
        <v>1.1921216059015998</v>
      </c>
      <c r="O47" s="82">
        <f t="shared" si="34"/>
        <v>1.9019691954688758</v>
      </c>
      <c r="P47" s="82">
        <f t="shared" si="34"/>
        <v>2.9552934856629722</v>
      </c>
      <c r="Q47" s="82">
        <f t="shared" si="34"/>
        <v>4.4386259181994596</v>
      </c>
      <c r="R47" s="82">
        <f t="shared" si="34"/>
        <v>6.3479050808416346</v>
      </c>
      <c r="S47" s="82">
        <f t="shared" si="34"/>
        <v>8.5647072338685692</v>
      </c>
      <c r="T47" s="82">
        <f t="shared" si="34"/>
        <v>10.862488607830104</v>
      </c>
      <c r="U47" s="82">
        <f t="shared" si="34"/>
        <v>12.997097124798334</v>
      </c>
      <c r="V47" s="82">
        <f t="shared" si="34"/>
        <v>14.808032054045945</v>
      </c>
      <c r="W47" s="82">
        <f t="shared" si="34"/>
        <v>16.252557854108286</v>
      </c>
      <c r="X47" s="82">
        <f t="shared" si="34"/>
        <v>17.372419726766353</v>
      </c>
      <c r="Y47" s="82">
        <f t="shared" si="34"/>
        <v>18.243001994765837</v>
      </c>
      <c r="Z47" s="82">
        <f t="shared" si="34"/>
        <v>18.938819992111615</v>
      </c>
      <c r="AA47" s="82">
        <f t="shared" si="34"/>
        <v>19.519414188350027</v>
      </c>
      <c r="AB47" s="82">
        <f t="shared" si="34"/>
        <v>20.0275144117305</v>
      </c>
      <c r="AC47" s="83">
        <f t="shared" si="34"/>
        <v>20.966447198624124</v>
      </c>
      <c r="AD47" s="82">
        <f t="shared" si="34"/>
        <v>21.949399166339674</v>
      </c>
      <c r="AE47" s="82">
        <f t="shared" si="34"/>
        <v>22.978434028390293</v>
      </c>
      <c r="AF47" s="82">
        <f t="shared" si="34"/>
        <v>24.05571224960034</v>
      </c>
      <c r="AG47" s="82">
        <f t="shared" si="34"/>
        <v>25.183495582014213</v>
      </c>
      <c r="AH47" s="82">
        <f t="shared" si="34"/>
        <v>26.364151813458196</v>
      </c>
      <c r="AI47" s="82">
        <f t="shared" si="34"/>
        <v>27.600159738725139</v>
      </c>
      <c r="AJ47" s="82">
        <f t="shared" si="34"/>
        <v>28.894114363818883</v>
      </c>
      <c r="AK47" s="82">
        <f t="shared" si="34"/>
        <v>30.248732354184831</v>
      </c>
      <c r="AL47" s="82">
        <f t="shared" si="34"/>
        <v>31.666857738365238</v>
      </c>
      <c r="AM47" s="82">
        <f t="shared" si="34"/>
        <v>33.151467879054081</v>
      </c>
      <c r="AN47" s="82">
        <f t="shared" si="34"/>
        <v>34.705679724087773</v>
      </c>
      <c r="AO47" s="83">
        <f t="shared" si="34"/>
        <v>36.447203738007211</v>
      </c>
      <c r="AP47" s="82">
        <f t="shared" si="34"/>
        <v>38.276117075955739</v>
      </c>
      <c r="AQ47" s="82">
        <f t="shared" si="34"/>
        <v>40.196804916600556</v>
      </c>
      <c r="AR47" s="82">
        <f t="shared" si="34"/>
        <v>42.213872485990592</v>
      </c>
      <c r="AS47" s="82">
        <f t="shared" si="34"/>
        <v>44.332156099489772</v>
      </c>
      <c r="AT47" s="82">
        <f t="shared" si="34"/>
        <v>46.556734757792249</v>
      </c>
      <c r="AU47" s="82">
        <f t="shared" si="34"/>
        <v>48.89294232482338</v>
      </c>
      <c r="AV47" s="82">
        <f t="shared" si="34"/>
        <v>51.346380316725323</v>
      </c>
      <c r="AW47" s="82">
        <f t="shared" si="34"/>
        <v>53.922931332591304</v>
      </c>
      <c r="AX47" s="82">
        <f t="shared" si="34"/>
        <v>56.628773159151436</v>
      </c>
      <c r="AY47" s="82">
        <f t="shared" si="34"/>
        <v>59.470393583228898</v>
      </c>
      <c r="AZ47" s="82">
        <f t="shared" si="34"/>
        <v>62.454605947482079</v>
      </c>
      <c r="BA47" s="83">
        <f t="shared" si="34"/>
        <v>65.436135536262682</v>
      </c>
      <c r="BB47" s="82">
        <f t="shared" si="34"/>
        <v>68.560000803155646</v>
      </c>
      <c r="BC47" s="82">
        <f t="shared" si="34"/>
        <v>71.83299673196386</v>
      </c>
      <c r="BD47" s="82">
        <f t="shared" si="34"/>
        <v>75.262242693218155</v>
      </c>
      <c r="BE47" s="82">
        <f t="shared" si="34"/>
        <v>78.855197930122728</v>
      </c>
      <c r="BF47" s="82">
        <f t="shared" si="34"/>
        <v>82.619677783786599</v>
      </c>
      <c r="BG47" s="82">
        <f t="shared" si="34"/>
        <v>86.563870693033692</v>
      </c>
      <c r="BH47" s="82">
        <f t="shared" si="34"/>
        <v>90.696356005769275</v>
      </c>
      <c r="BI47" s="82">
        <f t="shared" si="34"/>
        <v>95.026122640645994</v>
      </c>
      <c r="BJ47" s="82">
        <f t="shared" si="34"/>
        <v>99.562588639621737</v>
      </c>
      <c r="BK47" s="82">
        <f t="shared" si="34"/>
        <v>104.31562165394006</v>
      </c>
      <c r="BL47" s="84">
        <f t="shared" si="34"/>
        <v>109.29556040809379</v>
      </c>
      <c r="BM47" s="8"/>
      <c r="BN47" s="8"/>
      <c r="BO47" s="8"/>
    </row>
    <row r="48" spans="1:67" x14ac:dyDescent="0.2">
      <c r="A48" s="6" t="s">
        <v>45</v>
      </c>
      <c r="B48" s="7">
        <v>3</v>
      </c>
      <c r="C48" s="37" t="s">
        <v>29</v>
      </c>
      <c r="D48" s="78"/>
      <c r="E48" s="85">
        <f t="shared" ref="E48:G48" si="35">$F$19*E46</f>
        <v>0</v>
      </c>
      <c r="F48" s="86">
        <f t="shared" si="35"/>
        <v>0</v>
      </c>
      <c r="G48" s="86">
        <f t="shared" si="35"/>
        <v>0</v>
      </c>
      <c r="H48" s="87">
        <f t="shared" ref="H48:BL48" si="36">H41*H46</f>
        <v>8.6503334431007217E-2</v>
      </c>
      <c r="I48" s="87">
        <f t="shared" si="36"/>
        <v>0.1444219927721471</v>
      </c>
      <c r="J48" s="87">
        <f t="shared" si="36"/>
        <v>0.24071185267164144</v>
      </c>
      <c r="K48" s="87">
        <f t="shared" si="36"/>
        <v>0.40009093792495704</v>
      </c>
      <c r="L48" s="87">
        <f t="shared" si="36"/>
        <v>0.66201276537361742</v>
      </c>
      <c r="M48" s="87">
        <f t="shared" si="36"/>
        <v>1.0875050085961104</v>
      </c>
      <c r="N48" s="87">
        <f t="shared" si="36"/>
        <v>1.7661060828171855</v>
      </c>
      <c r="O48" s="87">
        <f t="shared" si="36"/>
        <v>2.8177321414353731</v>
      </c>
      <c r="P48" s="87">
        <f t="shared" si="36"/>
        <v>4.3782125713525541</v>
      </c>
      <c r="Q48" s="87">
        <f t="shared" si="36"/>
        <v>6.5757421010362398</v>
      </c>
      <c r="R48" s="87">
        <f t="shared" si="36"/>
        <v>9.4043038234690943</v>
      </c>
      <c r="S48" s="87">
        <f t="shared" si="36"/>
        <v>12.688455161286777</v>
      </c>
      <c r="T48" s="87">
        <f t="shared" si="36"/>
        <v>16.092575715303866</v>
      </c>
      <c r="U48" s="87">
        <f t="shared" si="36"/>
        <v>19.254958703404949</v>
      </c>
      <c r="V48" s="87">
        <f t="shared" si="36"/>
        <v>21.937825265253263</v>
      </c>
      <c r="W48" s="87">
        <f t="shared" si="36"/>
        <v>24.077863487567846</v>
      </c>
      <c r="X48" s="87">
        <f t="shared" si="36"/>
        <v>25.736918113727945</v>
      </c>
      <c r="Y48" s="87">
        <f t="shared" si="36"/>
        <v>27.026669621875332</v>
      </c>
      <c r="Z48" s="87">
        <f t="shared" si="36"/>
        <v>28.057511099424634</v>
      </c>
      <c r="AA48" s="87">
        <f t="shared" si="36"/>
        <v>28.91765064940747</v>
      </c>
      <c r="AB48" s="87">
        <f t="shared" si="36"/>
        <v>29.67039172108225</v>
      </c>
      <c r="AC48" s="88">
        <f t="shared" si="36"/>
        <v>31.061403257220952</v>
      </c>
      <c r="AD48" s="87">
        <f t="shared" si="36"/>
        <v>32.517628394577329</v>
      </c>
      <c r="AE48" s="87">
        <f t="shared" si="36"/>
        <v>34.042124486504171</v>
      </c>
      <c r="AF48" s="87">
        <f t="shared" si="36"/>
        <v>35.638092221630167</v>
      </c>
      <c r="AG48" s="87">
        <f t="shared" si="36"/>
        <v>37.30888234372479</v>
      </c>
      <c r="AH48" s="87">
        <f t="shared" si="36"/>
        <v>39.058002686604773</v>
      </c>
      <c r="AI48" s="87">
        <f t="shared" si="36"/>
        <v>40.889125538852099</v>
      </c>
      <c r="AJ48" s="87">
        <f t="shared" si="36"/>
        <v>42.806095353805794</v>
      </c>
      <c r="AK48" s="87">
        <f t="shared" si="36"/>
        <v>44.81293682101461</v>
      </c>
      <c r="AL48" s="87">
        <f t="shared" si="36"/>
        <v>46.913863316096688</v>
      </c>
      <c r="AM48" s="87">
        <f t="shared" si="36"/>
        <v>49.113285746746826</v>
      </c>
      <c r="AN48" s="87">
        <f t="shared" si="36"/>
        <v>51.41582181346341</v>
      </c>
      <c r="AO48" s="88">
        <f t="shared" si="36"/>
        <v>53.995857389640364</v>
      </c>
      <c r="AP48" s="87">
        <f t="shared" si="36"/>
        <v>56.705358631045584</v>
      </c>
      <c r="AQ48" s="87">
        <f t="shared" si="36"/>
        <v>59.550822098667531</v>
      </c>
      <c r="AR48" s="87">
        <f t="shared" si="36"/>
        <v>62.539070349615734</v>
      </c>
      <c r="AS48" s="87">
        <f t="shared" si="36"/>
        <v>65.677268295540443</v>
      </c>
      <c r="AT48" s="87">
        <f t="shared" si="36"/>
        <v>68.972940381914484</v>
      </c>
      <c r="AU48" s="87">
        <f t="shared" si="36"/>
        <v>72.433988629368031</v>
      </c>
      <c r="AV48" s="87">
        <f t="shared" si="36"/>
        <v>76.068711580333883</v>
      </c>
      <c r="AW48" s="87">
        <f t="shared" si="36"/>
        <v>79.885824196431628</v>
      </c>
      <c r="AX48" s="87">
        <f t="shared" si="36"/>
        <v>83.89447875429849</v>
      </c>
      <c r="AY48" s="87">
        <f t="shared" si="36"/>
        <v>88.104286789968825</v>
      </c>
      <c r="AZ48" s="87">
        <f t="shared" si="36"/>
        <v>92.525342144417976</v>
      </c>
      <c r="BA48" s="88">
        <f t="shared" si="36"/>
        <v>96.942423016685538</v>
      </c>
      <c r="BB48" s="87">
        <f t="shared" si="36"/>
        <v>101.57037156023065</v>
      </c>
      <c r="BC48" s="87">
        <f t="shared" si="36"/>
        <v>106.41925441772433</v>
      </c>
      <c r="BD48" s="87">
        <f t="shared" si="36"/>
        <v>111.49961880476774</v>
      </c>
      <c r="BE48" s="87">
        <f t="shared" si="36"/>
        <v>116.82251545203377</v>
      </c>
      <c r="BF48" s="87">
        <f t="shared" si="36"/>
        <v>122.39952264264691</v>
      </c>
      <c r="BG48" s="87">
        <f t="shared" si="36"/>
        <v>128.24277139708704</v>
      </c>
      <c r="BH48" s="87">
        <f t="shared" si="36"/>
        <v>134.36497186039907</v>
      </c>
      <c r="BI48" s="87">
        <f t="shared" si="36"/>
        <v>140.77944094910529</v>
      </c>
      <c r="BJ48" s="87">
        <f t="shared" si="36"/>
        <v>147.50013131795825</v>
      </c>
      <c r="BK48" s="87">
        <f t="shared" si="36"/>
        <v>154.54166170954096</v>
      </c>
      <c r="BL48" s="89">
        <f t="shared" si="36"/>
        <v>161.91934875273168</v>
      </c>
      <c r="BM48" s="8"/>
      <c r="BN48" s="8"/>
      <c r="BO48" s="8"/>
    </row>
    <row r="49" spans="1:67" x14ac:dyDescent="0.2">
      <c r="A49" s="6" t="s">
        <v>46</v>
      </c>
      <c r="B49" s="7">
        <v>0.5</v>
      </c>
      <c r="C49" s="8"/>
      <c r="D49" s="15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1:67" x14ac:dyDescent="0.2">
      <c r="A50" s="6"/>
      <c r="B50" s="7"/>
      <c r="C50" s="8"/>
      <c r="D50" s="15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1:67" x14ac:dyDescent="0.2">
      <c r="A51" s="179" t="s">
        <v>47</v>
      </c>
      <c r="B51" s="167"/>
      <c r="C51" s="8"/>
      <c r="D51" s="53"/>
      <c r="E51" s="176" t="s">
        <v>48</v>
      </c>
      <c r="F51" s="166"/>
      <c r="G51" s="166"/>
      <c r="H51" s="165" t="s">
        <v>49</v>
      </c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8" t="s">
        <v>50</v>
      </c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7"/>
      <c r="AO51" s="171" t="s">
        <v>51</v>
      </c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7"/>
      <c r="BA51" s="172" t="s">
        <v>52</v>
      </c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7"/>
      <c r="BM51" s="8"/>
      <c r="BN51" s="8"/>
      <c r="BO51" s="8"/>
    </row>
    <row r="52" spans="1:67" x14ac:dyDescent="0.2">
      <c r="A52" s="6" t="s">
        <v>53</v>
      </c>
      <c r="B52" s="19">
        <v>0.33300000000000002</v>
      </c>
      <c r="C52" s="8"/>
      <c r="D52" s="90"/>
      <c r="E52" s="91">
        <v>1</v>
      </c>
      <c r="F52" s="92">
        <v>2</v>
      </c>
      <c r="G52" s="92">
        <v>3</v>
      </c>
      <c r="H52" s="92">
        <v>4</v>
      </c>
      <c r="I52" s="92">
        <v>5</v>
      </c>
      <c r="J52" s="92">
        <f t="shared" ref="J52:BL52" si="37">I52+1</f>
        <v>6</v>
      </c>
      <c r="K52" s="92">
        <f t="shared" si="37"/>
        <v>7</v>
      </c>
      <c r="L52" s="92">
        <f t="shared" si="37"/>
        <v>8</v>
      </c>
      <c r="M52" s="92">
        <f t="shared" si="37"/>
        <v>9</v>
      </c>
      <c r="N52" s="92">
        <f t="shared" si="37"/>
        <v>10</v>
      </c>
      <c r="O52" s="92">
        <f t="shared" si="37"/>
        <v>11</v>
      </c>
      <c r="P52" s="92">
        <f t="shared" si="37"/>
        <v>12</v>
      </c>
      <c r="Q52" s="92">
        <f t="shared" si="37"/>
        <v>13</v>
      </c>
      <c r="R52" s="92">
        <f t="shared" si="37"/>
        <v>14</v>
      </c>
      <c r="S52" s="92">
        <f t="shared" si="37"/>
        <v>15</v>
      </c>
      <c r="T52" s="92">
        <f t="shared" si="37"/>
        <v>16</v>
      </c>
      <c r="U52" s="92">
        <f t="shared" si="37"/>
        <v>17</v>
      </c>
      <c r="V52" s="92">
        <f t="shared" si="37"/>
        <v>18</v>
      </c>
      <c r="W52" s="92">
        <f t="shared" si="37"/>
        <v>19</v>
      </c>
      <c r="X52" s="92">
        <f t="shared" si="37"/>
        <v>20</v>
      </c>
      <c r="Y52" s="92">
        <f t="shared" si="37"/>
        <v>21</v>
      </c>
      <c r="Z52" s="92">
        <f t="shared" si="37"/>
        <v>22</v>
      </c>
      <c r="AA52" s="92">
        <f t="shared" si="37"/>
        <v>23</v>
      </c>
      <c r="AB52" s="92">
        <f t="shared" si="37"/>
        <v>24</v>
      </c>
      <c r="AC52" s="93">
        <f t="shared" si="37"/>
        <v>25</v>
      </c>
      <c r="AD52" s="94">
        <f t="shared" si="37"/>
        <v>26</v>
      </c>
      <c r="AE52" s="94">
        <f t="shared" si="37"/>
        <v>27</v>
      </c>
      <c r="AF52" s="94">
        <f t="shared" si="37"/>
        <v>28</v>
      </c>
      <c r="AG52" s="94">
        <f t="shared" si="37"/>
        <v>29</v>
      </c>
      <c r="AH52" s="94">
        <f t="shared" si="37"/>
        <v>30</v>
      </c>
      <c r="AI52" s="94">
        <f t="shared" si="37"/>
        <v>31</v>
      </c>
      <c r="AJ52" s="94">
        <f t="shared" si="37"/>
        <v>32</v>
      </c>
      <c r="AK52" s="94">
        <f t="shared" si="37"/>
        <v>33</v>
      </c>
      <c r="AL52" s="94">
        <f t="shared" si="37"/>
        <v>34</v>
      </c>
      <c r="AM52" s="94">
        <f t="shared" si="37"/>
        <v>35</v>
      </c>
      <c r="AN52" s="95">
        <f t="shared" si="37"/>
        <v>36</v>
      </c>
      <c r="AO52" s="96">
        <f t="shared" si="37"/>
        <v>37</v>
      </c>
      <c r="AP52" s="97">
        <f t="shared" si="37"/>
        <v>38</v>
      </c>
      <c r="AQ52" s="97">
        <f t="shared" si="37"/>
        <v>39</v>
      </c>
      <c r="AR52" s="97">
        <f t="shared" si="37"/>
        <v>40</v>
      </c>
      <c r="AS52" s="97">
        <f t="shared" si="37"/>
        <v>41</v>
      </c>
      <c r="AT52" s="97">
        <f t="shared" si="37"/>
        <v>42</v>
      </c>
      <c r="AU52" s="97">
        <f t="shared" si="37"/>
        <v>43</v>
      </c>
      <c r="AV52" s="97">
        <f t="shared" si="37"/>
        <v>44</v>
      </c>
      <c r="AW52" s="97">
        <f t="shared" si="37"/>
        <v>45</v>
      </c>
      <c r="AX52" s="97">
        <f t="shared" si="37"/>
        <v>46</v>
      </c>
      <c r="AY52" s="97">
        <f t="shared" si="37"/>
        <v>47</v>
      </c>
      <c r="AZ52" s="98">
        <f t="shared" si="37"/>
        <v>48</v>
      </c>
      <c r="BA52" s="99">
        <f t="shared" si="37"/>
        <v>49</v>
      </c>
      <c r="BB52" s="100">
        <f t="shared" si="37"/>
        <v>50</v>
      </c>
      <c r="BC52" s="100">
        <f t="shared" si="37"/>
        <v>51</v>
      </c>
      <c r="BD52" s="100">
        <f t="shared" si="37"/>
        <v>52</v>
      </c>
      <c r="BE52" s="100">
        <f t="shared" si="37"/>
        <v>53</v>
      </c>
      <c r="BF52" s="100">
        <f t="shared" si="37"/>
        <v>54</v>
      </c>
      <c r="BG52" s="100">
        <f t="shared" si="37"/>
        <v>55</v>
      </c>
      <c r="BH52" s="100">
        <f t="shared" si="37"/>
        <v>56</v>
      </c>
      <c r="BI52" s="100">
        <f t="shared" si="37"/>
        <v>57</v>
      </c>
      <c r="BJ52" s="100">
        <f t="shared" si="37"/>
        <v>58</v>
      </c>
      <c r="BK52" s="100">
        <f t="shared" si="37"/>
        <v>59</v>
      </c>
      <c r="BL52" s="101">
        <f t="shared" si="37"/>
        <v>60</v>
      </c>
      <c r="BM52" s="8"/>
      <c r="BN52" s="8"/>
      <c r="BO52" s="8"/>
    </row>
    <row r="53" spans="1:67" x14ac:dyDescent="0.2">
      <c r="A53" s="6" t="s">
        <v>38</v>
      </c>
      <c r="B53" s="18">
        <f>(1+B52)^(1/12)-1</f>
        <v>2.4241839479260285E-2</v>
      </c>
      <c r="C53" s="37" t="s">
        <v>54</v>
      </c>
      <c r="D53" s="102"/>
      <c r="E53" s="103">
        <f t="shared" ref="E53:P53" si="38">E47*$F$12*10^6</f>
        <v>0</v>
      </c>
      <c r="F53" s="104">
        <f t="shared" si="38"/>
        <v>0</v>
      </c>
      <c r="G53" s="104">
        <f t="shared" si="38"/>
        <v>0</v>
      </c>
      <c r="H53" s="104">
        <f t="shared" si="38"/>
        <v>23224.523357204853</v>
      </c>
      <c r="I53" s="104">
        <f t="shared" si="38"/>
        <v>38774.597146957007</v>
      </c>
      <c r="J53" s="104">
        <f t="shared" si="38"/>
        <v>64626.619095098118</v>
      </c>
      <c r="K53" s="104">
        <f t="shared" si="38"/>
        <v>107416.91512776483</v>
      </c>
      <c r="L53" s="104">
        <f t="shared" si="38"/>
        <v>177738.01476346547</v>
      </c>
      <c r="M53" s="104">
        <f t="shared" si="38"/>
        <v>291974.70408914442</v>
      </c>
      <c r="N53" s="104">
        <f t="shared" si="38"/>
        <v>474166.36874736135</v>
      </c>
      <c r="O53" s="104">
        <f t="shared" si="38"/>
        <v>756508.24749774544</v>
      </c>
      <c r="P53" s="104">
        <f t="shared" si="38"/>
        <v>1175467.9839224473</v>
      </c>
      <c r="Q53" s="104">
        <f t="shared" ref="Q53:BL53" si="39">Q47*$G$12*10^6</f>
        <v>1853736.631912027</v>
      </c>
      <c r="R53" s="104">
        <f t="shared" si="39"/>
        <v>2651123.2081999988</v>
      </c>
      <c r="S53" s="104">
        <f t="shared" si="39"/>
        <v>3576942.9173847847</v>
      </c>
      <c r="T53" s="104">
        <f t="shared" si="39"/>
        <v>4536582.5859526452</v>
      </c>
      <c r="U53" s="104">
        <f t="shared" si="39"/>
        <v>5428075.1504579652</v>
      </c>
      <c r="V53" s="104">
        <f t="shared" si="39"/>
        <v>6184389.4869716149</v>
      </c>
      <c r="W53" s="104">
        <f t="shared" si="39"/>
        <v>6787677.6307951501</v>
      </c>
      <c r="X53" s="104">
        <f t="shared" si="39"/>
        <v>7255373.9436373841</v>
      </c>
      <c r="Y53" s="104">
        <f t="shared" si="39"/>
        <v>7618961.7455890188</v>
      </c>
      <c r="Z53" s="104">
        <f t="shared" si="39"/>
        <v>7909561.4344555149</v>
      </c>
      <c r="AA53" s="104">
        <f t="shared" si="39"/>
        <v>8152039.3430870343</v>
      </c>
      <c r="AB53" s="104">
        <f t="shared" si="39"/>
        <v>8364241.050129097</v>
      </c>
      <c r="AC53" s="103">
        <f t="shared" si="39"/>
        <v>8756374.5919153839</v>
      </c>
      <c r="AD53" s="104">
        <f t="shared" si="39"/>
        <v>9166892.1943321861</v>
      </c>
      <c r="AE53" s="104">
        <f t="shared" si="39"/>
        <v>9596655.7415318508</v>
      </c>
      <c r="AF53" s="104">
        <f t="shared" si="39"/>
        <v>10046567.524642462</v>
      </c>
      <c r="AG53" s="104">
        <f t="shared" si="39"/>
        <v>10517572.136133462</v>
      </c>
      <c r="AH53" s="104">
        <f t="shared" si="39"/>
        <v>11010658.452993149</v>
      </c>
      <c r="AI53" s="104">
        <f t="shared" si="39"/>
        <v>11526861.712881822</v>
      </c>
      <c r="AJ53" s="104">
        <f t="shared" si="39"/>
        <v>12067265.687619409</v>
      </c>
      <c r="AK53" s="104">
        <f t="shared" si="39"/>
        <v>12633004.958570868</v>
      </c>
      <c r="AL53" s="104">
        <f t="shared" si="39"/>
        <v>13225267.298706515</v>
      </c>
      <c r="AM53" s="104">
        <f t="shared" si="39"/>
        <v>13845296.166338449</v>
      </c>
      <c r="AN53" s="104">
        <f t="shared" si="39"/>
        <v>14494393.315768709</v>
      </c>
      <c r="AO53" s="103">
        <f t="shared" si="39"/>
        <v>15221719.051131988</v>
      </c>
      <c r="AP53" s="104">
        <f t="shared" si="39"/>
        <v>15985541.845309466</v>
      </c>
      <c r="AQ53" s="104">
        <f t="shared" si="39"/>
        <v>16787693.113356765</v>
      </c>
      <c r="AR53" s="104">
        <f t="shared" si="39"/>
        <v>17630096.1703679</v>
      </c>
      <c r="AS53" s="104">
        <f t="shared" si="39"/>
        <v>18514770.843000662</v>
      </c>
      <c r="AT53" s="104">
        <f t="shared" si="39"/>
        <v>19443838.31240746</v>
      </c>
      <c r="AU53" s="104">
        <f t="shared" si="39"/>
        <v>20419526.200183425</v>
      </c>
      <c r="AV53" s="104">
        <f t="shared" si="39"/>
        <v>21444173.909526374</v>
      </c>
      <c r="AW53" s="104">
        <f t="shared" si="39"/>
        <v>22520238.234415103</v>
      </c>
      <c r="AX53" s="104">
        <f t="shared" si="39"/>
        <v>23650299.250255108</v>
      </c>
      <c r="AY53" s="104">
        <f t="shared" si="39"/>
        <v>24837066.50011576</v>
      </c>
      <c r="AZ53" s="104">
        <f t="shared" si="39"/>
        <v>26083385.491391551</v>
      </c>
      <c r="BA53" s="103">
        <f t="shared" si="39"/>
        <v>27328584.055025909</v>
      </c>
      <c r="BB53" s="104">
        <f t="shared" si="39"/>
        <v>28633227.335427918</v>
      </c>
      <c r="BC53" s="104">
        <f t="shared" si="39"/>
        <v>30000153.172645561</v>
      </c>
      <c r="BD53" s="104">
        <f t="shared" si="39"/>
        <v>31432334.8827889</v>
      </c>
      <c r="BE53" s="104">
        <f t="shared" si="39"/>
        <v>32932887.725541633</v>
      </c>
      <c r="BF53" s="104">
        <f t="shared" si="39"/>
        <v>34505075.68042618</v>
      </c>
      <c r="BG53" s="104">
        <f t="shared" si="39"/>
        <v>36152318.546561867</v>
      </c>
      <c r="BH53" s="104">
        <f t="shared" si="39"/>
        <v>37878199.381359473</v>
      </c>
      <c r="BI53" s="104">
        <f t="shared" si="39"/>
        <v>39686472.294332795</v>
      </c>
      <c r="BJ53" s="104">
        <f t="shared" si="39"/>
        <v>41581070.61298003</v>
      </c>
      <c r="BK53" s="104">
        <f t="shared" si="39"/>
        <v>43566115.438497402</v>
      </c>
      <c r="BL53" s="105">
        <f t="shared" si="39"/>
        <v>45645924.609935276</v>
      </c>
      <c r="BM53" s="8"/>
      <c r="BN53" s="8"/>
      <c r="BO53" s="8"/>
    </row>
    <row r="54" spans="1:67" x14ac:dyDescent="0.2">
      <c r="A54" s="6" t="s">
        <v>41</v>
      </c>
      <c r="B54" s="18">
        <f>B45*(1+B52)</f>
        <v>1.333E-2</v>
      </c>
      <c r="C54" s="37" t="s">
        <v>55</v>
      </c>
      <c r="D54" s="102"/>
      <c r="E54" s="106">
        <f t="shared" ref="E54:P54" si="40">E48*$F$12*10^6</f>
        <v>0</v>
      </c>
      <c r="F54" s="107">
        <f t="shared" si="40"/>
        <v>0</v>
      </c>
      <c r="G54" s="107">
        <f t="shared" si="40"/>
        <v>0</v>
      </c>
      <c r="H54" s="107">
        <f t="shared" si="40"/>
        <v>34406.701269933124</v>
      </c>
      <c r="I54" s="107">
        <f t="shared" si="40"/>
        <v>57443.847625121518</v>
      </c>
      <c r="J54" s="107">
        <f t="shared" si="40"/>
        <v>95743.139400145388</v>
      </c>
      <c r="K54" s="107">
        <f t="shared" si="40"/>
        <v>159136.17055965168</v>
      </c>
      <c r="L54" s="107">
        <f t="shared" si="40"/>
        <v>263315.57742735633</v>
      </c>
      <c r="M54" s="107">
        <f t="shared" si="40"/>
        <v>432555.117169103</v>
      </c>
      <c r="N54" s="107">
        <f t="shared" si="40"/>
        <v>702468.69444053562</v>
      </c>
      <c r="O54" s="107">
        <f t="shared" si="40"/>
        <v>1120752.9592559198</v>
      </c>
      <c r="P54" s="107">
        <f t="shared" si="40"/>
        <v>1741434.0502554786</v>
      </c>
      <c r="Q54" s="107">
        <f t="shared" ref="Q54:BL54" si="41">Q48*$G$12*10^6</f>
        <v>2746276.491721523</v>
      </c>
      <c r="R54" s="107">
        <f t="shared" si="41"/>
        <v>3927589.9380740742</v>
      </c>
      <c r="S54" s="107">
        <f t="shared" si="41"/>
        <v>5299174.6924219076</v>
      </c>
      <c r="T54" s="107">
        <f t="shared" si="41"/>
        <v>6720863.0903002191</v>
      </c>
      <c r="U54" s="107">
        <f t="shared" si="41"/>
        <v>8041592.8154932847</v>
      </c>
      <c r="V54" s="107">
        <f t="shared" si="41"/>
        <v>9162058.4992172122</v>
      </c>
      <c r="W54" s="107">
        <f t="shared" si="41"/>
        <v>10055818.712289117</v>
      </c>
      <c r="X54" s="107">
        <f t="shared" si="41"/>
        <v>10748702.138722057</v>
      </c>
      <c r="Y54" s="107">
        <f t="shared" si="41"/>
        <v>11287350.734205959</v>
      </c>
      <c r="Z54" s="107">
        <f t="shared" si="41"/>
        <v>11717868.791785957</v>
      </c>
      <c r="AA54" s="107">
        <f t="shared" si="41"/>
        <v>12077095.323091915</v>
      </c>
      <c r="AB54" s="107">
        <f t="shared" si="41"/>
        <v>12391468.22241349</v>
      </c>
      <c r="AC54" s="106">
        <f t="shared" si="41"/>
        <v>12972406.802837616</v>
      </c>
      <c r="AD54" s="107">
        <f t="shared" si="41"/>
        <v>13580581.028640291</v>
      </c>
      <c r="AE54" s="107">
        <f t="shared" si="41"/>
        <v>14217267.765232388</v>
      </c>
      <c r="AF54" s="107">
        <f t="shared" si="41"/>
        <v>14883803.740211071</v>
      </c>
      <c r="AG54" s="107">
        <f t="shared" si="41"/>
        <v>15581588.349827364</v>
      </c>
      <c r="AH54" s="107">
        <f t="shared" si="41"/>
        <v>16312086.597026901</v>
      </c>
      <c r="AI54" s="107">
        <f t="shared" si="41"/>
        <v>17076832.167232346</v>
      </c>
      <c r="AJ54" s="107">
        <f t="shared" si="41"/>
        <v>17877430.648325071</v>
      </c>
      <c r="AK54" s="107">
        <f t="shared" si="41"/>
        <v>18715562.901586492</v>
      </c>
      <c r="AL54" s="107">
        <f t="shared" si="41"/>
        <v>19592988.59067633</v>
      </c>
      <c r="AM54" s="107">
        <f t="shared" si="41"/>
        <v>20511549.87605698</v>
      </c>
      <c r="AN54" s="107">
        <f t="shared" si="41"/>
        <v>21473175.282620329</v>
      </c>
      <c r="AO54" s="106">
        <f t="shared" si="41"/>
        <v>22550694.890565928</v>
      </c>
      <c r="AP54" s="107">
        <f t="shared" si="41"/>
        <v>23682284.215273302</v>
      </c>
      <c r="AQ54" s="107">
        <f t="shared" si="41"/>
        <v>24870656.464232266</v>
      </c>
      <c r="AR54" s="107">
        <f t="shared" si="41"/>
        <v>26118660.993137646</v>
      </c>
      <c r="AS54" s="107">
        <f t="shared" si="41"/>
        <v>27429290.137778774</v>
      </c>
      <c r="AT54" s="107">
        <f t="shared" si="41"/>
        <v>28805686.388751812</v>
      </c>
      <c r="AU54" s="107">
        <f t="shared" si="41"/>
        <v>30251149.926197693</v>
      </c>
      <c r="AV54" s="107">
        <f t="shared" si="41"/>
        <v>31769146.532631695</v>
      </c>
      <c r="AW54" s="107">
        <f t="shared" si="41"/>
        <v>33363315.902837213</v>
      </c>
      <c r="AX54" s="107">
        <f t="shared" si="41"/>
        <v>35037480.370748341</v>
      </c>
      <c r="AY54" s="107">
        <f t="shared" si="41"/>
        <v>36795654.074245609</v>
      </c>
      <c r="AZ54" s="107">
        <f t="shared" si="41"/>
        <v>38642052.579839364</v>
      </c>
      <c r="BA54" s="106">
        <f t="shared" si="41"/>
        <v>40486791.192631014</v>
      </c>
      <c r="BB54" s="107">
        <f t="shared" si="41"/>
        <v>42419596.052485839</v>
      </c>
      <c r="BC54" s="107">
        <f t="shared" si="41"/>
        <v>44444671.366882354</v>
      </c>
      <c r="BD54" s="107">
        <f t="shared" si="41"/>
        <v>46566422.048576191</v>
      </c>
      <c r="BE54" s="107">
        <f t="shared" si="41"/>
        <v>48789463.297098756</v>
      </c>
      <c r="BF54" s="107">
        <f t="shared" si="41"/>
        <v>51118630.637668461</v>
      </c>
      <c r="BG54" s="107">
        <f t="shared" si="41"/>
        <v>53558990.43935094</v>
      </c>
      <c r="BH54" s="107">
        <f t="shared" si="41"/>
        <v>56115850.935347423</v>
      </c>
      <c r="BI54" s="107">
        <f t="shared" si="41"/>
        <v>58794773.76938197</v>
      </c>
      <c r="BJ54" s="107">
        <f t="shared" si="41"/>
        <v>61601586.093303792</v>
      </c>
      <c r="BK54" s="107">
        <f t="shared" si="41"/>
        <v>64542393.242218427</v>
      </c>
      <c r="BL54" s="108">
        <f t="shared" si="41"/>
        <v>67623592.01471898</v>
      </c>
      <c r="BM54" s="8"/>
      <c r="BN54" s="8"/>
      <c r="BO54" s="8"/>
    </row>
    <row r="55" spans="1:67" x14ac:dyDescent="0.2">
      <c r="A55" s="6"/>
      <c r="B55" s="7"/>
      <c r="C55" s="37"/>
      <c r="D55" s="102"/>
      <c r="E55" s="106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6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6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6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8"/>
      <c r="BM55" s="8"/>
      <c r="BN55" s="8"/>
      <c r="BO55" s="8"/>
    </row>
    <row r="56" spans="1:67" x14ac:dyDescent="0.2">
      <c r="A56" s="169" t="s">
        <v>56</v>
      </c>
      <c r="B56" s="167"/>
      <c r="C56" s="37" t="s">
        <v>57</v>
      </c>
      <c r="D56" s="15"/>
      <c r="E56" s="103">
        <f t="shared" ref="E56:G56" si="42">E53*20%</f>
        <v>0</v>
      </c>
      <c r="F56" s="104">
        <f t="shared" si="42"/>
        <v>0</v>
      </c>
      <c r="G56" s="104">
        <f t="shared" si="42"/>
        <v>0</v>
      </c>
      <c r="H56" s="104">
        <f t="shared" ref="H56:BL56" si="43">H53*$B$17</f>
        <v>4644.9046714409706</v>
      </c>
      <c r="I56" s="104">
        <f t="shared" si="43"/>
        <v>7754.9194293914015</v>
      </c>
      <c r="J56" s="104">
        <f t="shared" si="43"/>
        <v>12925.323819019624</v>
      </c>
      <c r="K56" s="104">
        <f t="shared" si="43"/>
        <v>21483.383025552968</v>
      </c>
      <c r="L56" s="104">
        <f t="shared" si="43"/>
        <v>35547.602952693094</v>
      </c>
      <c r="M56" s="104">
        <f t="shared" si="43"/>
        <v>58394.940817828887</v>
      </c>
      <c r="N56" s="104">
        <f t="shared" si="43"/>
        <v>94833.273749472282</v>
      </c>
      <c r="O56" s="104">
        <f t="shared" si="43"/>
        <v>151301.64949954909</v>
      </c>
      <c r="P56" s="104">
        <f t="shared" si="43"/>
        <v>235093.59678448946</v>
      </c>
      <c r="Q56" s="104">
        <f t="shared" si="43"/>
        <v>370747.32638240542</v>
      </c>
      <c r="R56" s="104">
        <f t="shared" si="43"/>
        <v>530224.64163999981</v>
      </c>
      <c r="S56" s="104">
        <f t="shared" si="43"/>
        <v>715388.58347695693</v>
      </c>
      <c r="T56" s="104">
        <f t="shared" si="43"/>
        <v>907316.51719052903</v>
      </c>
      <c r="U56" s="104">
        <f t="shared" si="43"/>
        <v>1085615.030091593</v>
      </c>
      <c r="V56" s="104">
        <f t="shared" si="43"/>
        <v>1236877.897394323</v>
      </c>
      <c r="W56" s="104">
        <f t="shared" si="43"/>
        <v>1357535.5261590302</v>
      </c>
      <c r="X56" s="104">
        <f t="shared" si="43"/>
        <v>1451074.788727477</v>
      </c>
      <c r="Y56" s="104">
        <f t="shared" si="43"/>
        <v>1523792.3491178039</v>
      </c>
      <c r="Z56" s="104">
        <f t="shared" si="43"/>
        <v>1581912.286891103</v>
      </c>
      <c r="AA56" s="104">
        <f t="shared" si="43"/>
        <v>1630407.868617407</v>
      </c>
      <c r="AB56" s="104">
        <f t="shared" si="43"/>
        <v>1672848.2100258195</v>
      </c>
      <c r="AC56" s="103">
        <f t="shared" si="43"/>
        <v>1751274.9183830768</v>
      </c>
      <c r="AD56" s="104">
        <f t="shared" si="43"/>
        <v>1833378.4388664374</v>
      </c>
      <c r="AE56" s="104">
        <f t="shared" si="43"/>
        <v>1919331.1483063702</v>
      </c>
      <c r="AF56" s="104">
        <f t="shared" si="43"/>
        <v>2009313.5049284925</v>
      </c>
      <c r="AG56" s="104">
        <f t="shared" si="43"/>
        <v>2103514.4272266924</v>
      </c>
      <c r="AH56" s="104">
        <f t="shared" si="43"/>
        <v>2202131.6905986299</v>
      </c>
      <c r="AI56" s="104">
        <f t="shared" si="43"/>
        <v>2305372.3425763645</v>
      </c>
      <c r="AJ56" s="104">
        <f t="shared" si="43"/>
        <v>2413453.1375238816</v>
      </c>
      <c r="AK56" s="104">
        <f t="shared" si="43"/>
        <v>2526600.9917141739</v>
      </c>
      <c r="AL56" s="104">
        <f t="shared" si="43"/>
        <v>2645053.4597413032</v>
      </c>
      <c r="AM56" s="104">
        <f t="shared" si="43"/>
        <v>2769059.2332676901</v>
      </c>
      <c r="AN56" s="104">
        <f t="shared" si="43"/>
        <v>2898878.663153742</v>
      </c>
      <c r="AO56" s="104">
        <f t="shared" si="43"/>
        <v>3044343.8102263976</v>
      </c>
      <c r="AP56" s="104">
        <f t="shared" si="43"/>
        <v>3197108.3690618933</v>
      </c>
      <c r="AQ56" s="104">
        <f t="shared" si="43"/>
        <v>3357538.6226713532</v>
      </c>
      <c r="AR56" s="104">
        <f t="shared" si="43"/>
        <v>3526019.2340735802</v>
      </c>
      <c r="AS56" s="104">
        <f t="shared" si="43"/>
        <v>3702954.1686001327</v>
      </c>
      <c r="AT56" s="104">
        <f t="shared" si="43"/>
        <v>3888767.6624814924</v>
      </c>
      <c r="AU56" s="104">
        <f t="shared" si="43"/>
        <v>4083905.240036685</v>
      </c>
      <c r="AV56" s="104">
        <f t="shared" si="43"/>
        <v>4288834.7819052748</v>
      </c>
      <c r="AW56" s="104">
        <f t="shared" si="43"/>
        <v>4504047.6468830211</v>
      </c>
      <c r="AX56" s="104">
        <f t="shared" si="43"/>
        <v>4730059.8500510221</v>
      </c>
      <c r="AY56" s="104">
        <f t="shared" si="43"/>
        <v>4967413.3000231525</v>
      </c>
      <c r="AZ56" s="105">
        <f t="shared" si="43"/>
        <v>5216677.0982783101</v>
      </c>
      <c r="BA56" s="104">
        <f t="shared" si="43"/>
        <v>5465716.8110051826</v>
      </c>
      <c r="BB56" s="104">
        <f t="shared" si="43"/>
        <v>5726645.4670855841</v>
      </c>
      <c r="BC56" s="104">
        <f t="shared" si="43"/>
        <v>6000030.6345291128</v>
      </c>
      <c r="BD56" s="104">
        <f t="shared" si="43"/>
        <v>6286466.9765577801</v>
      </c>
      <c r="BE56" s="104">
        <f t="shared" si="43"/>
        <v>6586577.5451083267</v>
      </c>
      <c r="BF56" s="104">
        <f t="shared" si="43"/>
        <v>6901015.1360852364</v>
      </c>
      <c r="BG56" s="104">
        <f t="shared" si="43"/>
        <v>7230463.7093123738</v>
      </c>
      <c r="BH56" s="104">
        <f t="shared" si="43"/>
        <v>7575639.8762718951</v>
      </c>
      <c r="BI56" s="104">
        <f t="shared" si="43"/>
        <v>7937294.458866559</v>
      </c>
      <c r="BJ56" s="104">
        <f t="shared" si="43"/>
        <v>8316214.1225960068</v>
      </c>
      <c r="BK56" s="104">
        <f t="shared" si="43"/>
        <v>8713223.0876994804</v>
      </c>
      <c r="BL56" s="105">
        <f t="shared" si="43"/>
        <v>9129184.9219870549</v>
      </c>
      <c r="BM56" s="8"/>
      <c r="BN56" s="8"/>
      <c r="BO56" s="8"/>
    </row>
    <row r="57" spans="1:67" x14ac:dyDescent="0.2">
      <c r="A57" s="6" t="s">
        <v>53</v>
      </c>
      <c r="B57" s="19">
        <v>0.33300000000000002</v>
      </c>
      <c r="C57" s="37" t="s">
        <v>58</v>
      </c>
      <c r="D57" s="15"/>
      <c r="E57" s="106">
        <f t="shared" ref="E57:G57" si="44">E54*20%</f>
        <v>0</v>
      </c>
      <c r="F57" s="107">
        <f t="shared" si="44"/>
        <v>0</v>
      </c>
      <c r="G57" s="107">
        <f t="shared" si="44"/>
        <v>0</v>
      </c>
      <c r="H57" s="107">
        <f t="shared" ref="H57:BL57" si="45">H54*$B$17</f>
        <v>6881.3402539866256</v>
      </c>
      <c r="I57" s="107">
        <f t="shared" si="45"/>
        <v>11488.769525024305</v>
      </c>
      <c r="J57" s="107">
        <f t="shared" si="45"/>
        <v>19148.627880029078</v>
      </c>
      <c r="K57" s="107">
        <f t="shared" si="45"/>
        <v>31827.234111930338</v>
      </c>
      <c r="L57" s="107">
        <f t="shared" si="45"/>
        <v>52663.115485471266</v>
      </c>
      <c r="M57" s="107">
        <f t="shared" si="45"/>
        <v>86511.023433820606</v>
      </c>
      <c r="N57" s="107">
        <f t="shared" si="45"/>
        <v>140493.73888810712</v>
      </c>
      <c r="O57" s="107">
        <f t="shared" si="45"/>
        <v>224150.59185118397</v>
      </c>
      <c r="P57" s="107">
        <f t="shared" si="45"/>
        <v>348286.81005109573</v>
      </c>
      <c r="Q57" s="107">
        <f t="shared" si="45"/>
        <v>549255.29834430467</v>
      </c>
      <c r="R57" s="107">
        <f t="shared" si="45"/>
        <v>785517.98761481489</v>
      </c>
      <c r="S57" s="107">
        <f t="shared" si="45"/>
        <v>1059834.9384843817</v>
      </c>
      <c r="T57" s="107">
        <f t="shared" si="45"/>
        <v>1344172.618060044</v>
      </c>
      <c r="U57" s="107">
        <f t="shared" si="45"/>
        <v>1608318.5630986569</v>
      </c>
      <c r="V57" s="107">
        <f t="shared" si="45"/>
        <v>1832411.6998434425</v>
      </c>
      <c r="W57" s="107">
        <f t="shared" si="45"/>
        <v>2011163.7424578236</v>
      </c>
      <c r="X57" s="107">
        <f t="shared" si="45"/>
        <v>2149740.4277444114</v>
      </c>
      <c r="Y57" s="107">
        <f t="shared" si="45"/>
        <v>2257470.1468411922</v>
      </c>
      <c r="Z57" s="107">
        <f t="shared" si="45"/>
        <v>2343573.7583571915</v>
      </c>
      <c r="AA57" s="107">
        <f t="shared" si="45"/>
        <v>2415419.0646183831</v>
      </c>
      <c r="AB57" s="107">
        <f t="shared" si="45"/>
        <v>2478293.6444826978</v>
      </c>
      <c r="AC57" s="106">
        <f t="shared" si="45"/>
        <v>2594481.3605675232</v>
      </c>
      <c r="AD57" s="107">
        <f t="shared" si="45"/>
        <v>2716116.2057280582</v>
      </c>
      <c r="AE57" s="107">
        <f t="shared" si="45"/>
        <v>2843453.553046478</v>
      </c>
      <c r="AF57" s="107">
        <f t="shared" si="45"/>
        <v>2976760.7480422147</v>
      </c>
      <c r="AG57" s="107">
        <f t="shared" si="45"/>
        <v>3116317.669965473</v>
      </c>
      <c r="AH57" s="107">
        <f t="shared" si="45"/>
        <v>3262417.3194053806</v>
      </c>
      <c r="AI57" s="107">
        <f t="shared" si="45"/>
        <v>3415366.4334464693</v>
      </c>
      <c r="AJ57" s="107">
        <f t="shared" si="45"/>
        <v>3575486.1296650143</v>
      </c>
      <c r="AK57" s="107">
        <f t="shared" si="45"/>
        <v>3743112.5803172984</v>
      </c>
      <c r="AL57" s="107">
        <f t="shared" si="45"/>
        <v>3918597.7181352661</v>
      </c>
      <c r="AM57" s="107">
        <f t="shared" si="45"/>
        <v>4102309.9752113963</v>
      </c>
      <c r="AN57" s="107">
        <f t="shared" si="45"/>
        <v>4294635.0565240663</v>
      </c>
      <c r="AO57" s="107">
        <f t="shared" si="45"/>
        <v>4510138.9781131856</v>
      </c>
      <c r="AP57" s="107">
        <f t="shared" si="45"/>
        <v>4736456.8430546606</v>
      </c>
      <c r="AQ57" s="107">
        <f t="shared" si="45"/>
        <v>4974131.2928464534</v>
      </c>
      <c r="AR57" s="107">
        <f t="shared" si="45"/>
        <v>5223732.1986275297</v>
      </c>
      <c r="AS57" s="107">
        <f t="shared" si="45"/>
        <v>5485858.0275557553</v>
      </c>
      <c r="AT57" s="107">
        <f t="shared" si="45"/>
        <v>5761137.2777503626</v>
      </c>
      <c r="AU57" s="107">
        <f t="shared" si="45"/>
        <v>6050229.9852395393</v>
      </c>
      <c r="AV57" s="107">
        <f t="shared" si="45"/>
        <v>6353829.3065263396</v>
      </c>
      <c r="AW57" s="107">
        <f t="shared" si="45"/>
        <v>6672663.1805674434</v>
      </c>
      <c r="AX57" s="107">
        <f t="shared" si="45"/>
        <v>7007496.0741496682</v>
      </c>
      <c r="AY57" s="107">
        <f t="shared" si="45"/>
        <v>7359130.8148491224</v>
      </c>
      <c r="AZ57" s="108">
        <f t="shared" si="45"/>
        <v>7728410.5159678729</v>
      </c>
      <c r="BA57" s="107">
        <f t="shared" si="45"/>
        <v>8097358.2385262027</v>
      </c>
      <c r="BB57" s="107">
        <f t="shared" si="45"/>
        <v>8483919.2104971688</v>
      </c>
      <c r="BC57" s="107">
        <f t="shared" si="45"/>
        <v>8888934.2733764704</v>
      </c>
      <c r="BD57" s="107">
        <f t="shared" si="45"/>
        <v>9313284.409715239</v>
      </c>
      <c r="BE57" s="107">
        <f t="shared" si="45"/>
        <v>9757892.6594197508</v>
      </c>
      <c r="BF57" s="107">
        <f t="shared" si="45"/>
        <v>10223726.127533693</v>
      </c>
      <c r="BG57" s="107">
        <f t="shared" si="45"/>
        <v>10711798.087870188</v>
      </c>
      <c r="BH57" s="107">
        <f t="shared" si="45"/>
        <v>11223170.187069485</v>
      </c>
      <c r="BI57" s="107">
        <f t="shared" si="45"/>
        <v>11758954.753876396</v>
      </c>
      <c r="BJ57" s="107">
        <f t="shared" si="45"/>
        <v>12320317.218660759</v>
      </c>
      <c r="BK57" s="107">
        <f t="shared" si="45"/>
        <v>12908478.648443686</v>
      </c>
      <c r="BL57" s="108">
        <f t="shared" si="45"/>
        <v>13524718.402943797</v>
      </c>
      <c r="BM57" s="8"/>
      <c r="BN57" s="8"/>
      <c r="BO57" s="8"/>
    </row>
    <row r="58" spans="1:67" x14ac:dyDescent="0.2">
      <c r="A58" s="6" t="s">
        <v>38</v>
      </c>
      <c r="B58" s="18">
        <f>(1+B57)^(1/12)-1</f>
        <v>2.4241839479260285E-2</v>
      </c>
      <c r="C58" s="8"/>
      <c r="D58" s="15"/>
      <c r="E58" s="6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7"/>
      <c r="BM58" s="8"/>
      <c r="BN58" s="8"/>
      <c r="BO58" s="8"/>
    </row>
    <row r="59" spans="1:67" x14ac:dyDescent="0.2">
      <c r="A59" s="6" t="s">
        <v>41</v>
      </c>
      <c r="B59" s="18">
        <f>B54*(1+B57)</f>
        <v>1.7768889999999999E-2</v>
      </c>
      <c r="C59" s="37" t="s">
        <v>59</v>
      </c>
      <c r="D59" s="15"/>
      <c r="E59" s="103">
        <f t="shared" ref="E59:BL59" si="46">E53-E56</f>
        <v>0</v>
      </c>
      <c r="F59" s="104">
        <f t="shared" si="46"/>
        <v>0</v>
      </c>
      <c r="G59" s="104">
        <f t="shared" si="46"/>
        <v>0</v>
      </c>
      <c r="H59" s="104">
        <f t="shared" si="46"/>
        <v>18579.618685763882</v>
      </c>
      <c r="I59" s="104">
        <f t="shared" si="46"/>
        <v>31019.677717565606</v>
      </c>
      <c r="J59" s="104">
        <f t="shared" si="46"/>
        <v>51701.295276078497</v>
      </c>
      <c r="K59" s="104">
        <f t="shared" si="46"/>
        <v>85933.532102211873</v>
      </c>
      <c r="L59" s="104">
        <f t="shared" si="46"/>
        <v>142190.41181077238</v>
      </c>
      <c r="M59" s="104">
        <f t="shared" si="46"/>
        <v>233579.76327131555</v>
      </c>
      <c r="N59" s="104">
        <f t="shared" si="46"/>
        <v>379333.09499788907</v>
      </c>
      <c r="O59" s="104">
        <f t="shared" si="46"/>
        <v>605206.59799819638</v>
      </c>
      <c r="P59" s="104">
        <f t="shared" si="46"/>
        <v>940374.38713795785</v>
      </c>
      <c r="Q59" s="104">
        <f t="shared" si="46"/>
        <v>1482989.3055296217</v>
      </c>
      <c r="R59" s="104">
        <f t="shared" si="46"/>
        <v>2120898.5665599992</v>
      </c>
      <c r="S59" s="104">
        <f t="shared" si="46"/>
        <v>2861554.3339078277</v>
      </c>
      <c r="T59" s="104">
        <f t="shared" si="46"/>
        <v>3629266.0687621161</v>
      </c>
      <c r="U59" s="104">
        <f t="shared" si="46"/>
        <v>4342460.1203663722</v>
      </c>
      <c r="V59" s="104">
        <f t="shared" si="46"/>
        <v>4947511.5895772921</v>
      </c>
      <c r="W59" s="104">
        <f t="shared" si="46"/>
        <v>5430142.1046361197</v>
      </c>
      <c r="X59" s="104">
        <f t="shared" si="46"/>
        <v>5804299.1549099069</v>
      </c>
      <c r="Y59" s="104">
        <f t="shared" si="46"/>
        <v>6095169.3964712154</v>
      </c>
      <c r="Z59" s="104">
        <f t="shared" si="46"/>
        <v>6327649.1475644121</v>
      </c>
      <c r="AA59" s="104">
        <f t="shared" si="46"/>
        <v>6521631.4744696273</v>
      </c>
      <c r="AB59" s="104">
        <f t="shared" si="46"/>
        <v>6691392.8401032779</v>
      </c>
      <c r="AC59" s="103">
        <f t="shared" si="46"/>
        <v>7005099.6735323071</v>
      </c>
      <c r="AD59" s="104">
        <f t="shared" si="46"/>
        <v>7333513.7554657487</v>
      </c>
      <c r="AE59" s="104">
        <f t="shared" si="46"/>
        <v>7677324.593225481</v>
      </c>
      <c r="AF59" s="104">
        <f t="shared" si="46"/>
        <v>8037254.0197139699</v>
      </c>
      <c r="AG59" s="104">
        <f t="shared" si="46"/>
        <v>8414057.7089067698</v>
      </c>
      <c r="AH59" s="104">
        <f t="shared" si="46"/>
        <v>8808526.7623945195</v>
      </c>
      <c r="AI59" s="104">
        <f t="shared" si="46"/>
        <v>9221489.3703054581</v>
      </c>
      <c r="AJ59" s="104">
        <f t="shared" si="46"/>
        <v>9653812.5500955265</v>
      </c>
      <c r="AK59" s="104">
        <f t="shared" si="46"/>
        <v>10106403.966856694</v>
      </c>
      <c r="AL59" s="104">
        <f t="shared" si="46"/>
        <v>10580213.838965211</v>
      </c>
      <c r="AM59" s="104">
        <f t="shared" si="46"/>
        <v>11076236.93307076</v>
      </c>
      <c r="AN59" s="105">
        <f t="shared" si="46"/>
        <v>11595514.652614968</v>
      </c>
      <c r="AO59" s="104">
        <f t="shared" si="46"/>
        <v>12177375.24090559</v>
      </c>
      <c r="AP59" s="104">
        <f t="shared" si="46"/>
        <v>12788433.476247573</v>
      </c>
      <c r="AQ59" s="104">
        <f t="shared" si="46"/>
        <v>13430154.490685413</v>
      </c>
      <c r="AR59" s="104">
        <f t="shared" si="46"/>
        <v>14104076.936294321</v>
      </c>
      <c r="AS59" s="104">
        <f t="shared" si="46"/>
        <v>14811816.674400529</v>
      </c>
      <c r="AT59" s="104">
        <f t="shared" si="46"/>
        <v>15555070.649925968</v>
      </c>
      <c r="AU59" s="104">
        <f t="shared" si="46"/>
        <v>16335620.96014674</v>
      </c>
      <c r="AV59" s="104">
        <f t="shared" si="46"/>
        <v>17155339.127621099</v>
      </c>
      <c r="AW59" s="104">
        <f t="shared" si="46"/>
        <v>18016190.587532081</v>
      </c>
      <c r="AX59" s="104">
        <f t="shared" si="46"/>
        <v>18920239.400204085</v>
      </c>
      <c r="AY59" s="104">
        <f t="shared" si="46"/>
        <v>19869653.200092606</v>
      </c>
      <c r="AZ59" s="105">
        <f t="shared" si="46"/>
        <v>20866708.393113241</v>
      </c>
      <c r="BA59" s="104">
        <f t="shared" si="46"/>
        <v>21862867.244020727</v>
      </c>
      <c r="BB59" s="104">
        <f t="shared" si="46"/>
        <v>22906581.868342333</v>
      </c>
      <c r="BC59" s="104">
        <f t="shared" si="46"/>
        <v>24000122.538116448</v>
      </c>
      <c r="BD59" s="104">
        <f t="shared" si="46"/>
        <v>25145867.90623112</v>
      </c>
      <c r="BE59" s="104">
        <f t="shared" si="46"/>
        <v>26346310.180433307</v>
      </c>
      <c r="BF59" s="104">
        <f t="shared" si="46"/>
        <v>27604060.544340946</v>
      </c>
      <c r="BG59" s="104">
        <f t="shared" si="46"/>
        <v>28921854.837249495</v>
      </c>
      <c r="BH59" s="104">
        <f t="shared" si="46"/>
        <v>30302559.505087577</v>
      </c>
      <c r="BI59" s="104">
        <f t="shared" si="46"/>
        <v>31749177.835466236</v>
      </c>
      <c r="BJ59" s="104">
        <f t="shared" si="46"/>
        <v>33264856.490384024</v>
      </c>
      <c r="BK59" s="104">
        <f t="shared" si="46"/>
        <v>34852892.350797921</v>
      </c>
      <c r="BL59" s="105">
        <f t="shared" si="46"/>
        <v>36516739.687948219</v>
      </c>
      <c r="BM59" s="8"/>
      <c r="BN59" s="8"/>
      <c r="BO59" s="8"/>
    </row>
    <row r="60" spans="1:67" x14ac:dyDescent="0.2">
      <c r="A60" s="6"/>
      <c r="B60" s="7"/>
      <c r="C60" s="37" t="s">
        <v>60</v>
      </c>
      <c r="D60" s="15"/>
      <c r="E60" s="106">
        <f t="shared" ref="E60:BL60" si="47">E54-E57</f>
        <v>0</v>
      </c>
      <c r="F60" s="107">
        <f t="shared" si="47"/>
        <v>0</v>
      </c>
      <c r="G60" s="107">
        <f t="shared" si="47"/>
        <v>0</v>
      </c>
      <c r="H60" s="107">
        <f t="shared" si="47"/>
        <v>27525.361015946499</v>
      </c>
      <c r="I60" s="107">
        <f t="shared" si="47"/>
        <v>45955.078100097213</v>
      </c>
      <c r="J60" s="107">
        <f t="shared" si="47"/>
        <v>76594.511520116313</v>
      </c>
      <c r="K60" s="107">
        <f t="shared" si="47"/>
        <v>127308.93644772135</v>
      </c>
      <c r="L60" s="107">
        <f t="shared" si="47"/>
        <v>210652.46194188506</v>
      </c>
      <c r="M60" s="107">
        <f t="shared" si="47"/>
        <v>346044.09373528243</v>
      </c>
      <c r="N60" s="107">
        <f t="shared" si="47"/>
        <v>561974.9555524285</v>
      </c>
      <c r="O60" s="107">
        <f t="shared" si="47"/>
        <v>896602.36740473588</v>
      </c>
      <c r="P60" s="107">
        <f t="shared" si="47"/>
        <v>1393147.2402043829</v>
      </c>
      <c r="Q60" s="107">
        <f t="shared" si="47"/>
        <v>2197021.1933772182</v>
      </c>
      <c r="R60" s="107">
        <f t="shared" si="47"/>
        <v>3142071.9504592596</v>
      </c>
      <c r="S60" s="107">
        <f t="shared" si="47"/>
        <v>4239339.7539375257</v>
      </c>
      <c r="T60" s="107">
        <f t="shared" si="47"/>
        <v>5376690.4722401751</v>
      </c>
      <c r="U60" s="107">
        <f t="shared" si="47"/>
        <v>6433274.2523946278</v>
      </c>
      <c r="V60" s="107">
        <f t="shared" si="47"/>
        <v>7329646.7993737701</v>
      </c>
      <c r="W60" s="107">
        <f t="shared" si="47"/>
        <v>8044654.9698312934</v>
      </c>
      <c r="X60" s="107">
        <f t="shared" si="47"/>
        <v>8598961.7109776456</v>
      </c>
      <c r="Y60" s="107">
        <f t="shared" si="47"/>
        <v>9029880.5873647667</v>
      </c>
      <c r="Z60" s="107">
        <f t="shared" si="47"/>
        <v>9374295.0334287658</v>
      </c>
      <c r="AA60" s="107">
        <f t="shared" si="47"/>
        <v>9661676.2584735323</v>
      </c>
      <c r="AB60" s="107">
        <f t="shared" si="47"/>
        <v>9913174.5779307913</v>
      </c>
      <c r="AC60" s="106">
        <f t="shared" si="47"/>
        <v>10377925.442270093</v>
      </c>
      <c r="AD60" s="107">
        <f t="shared" si="47"/>
        <v>10864464.822912233</v>
      </c>
      <c r="AE60" s="107">
        <f t="shared" si="47"/>
        <v>11373814.21218591</v>
      </c>
      <c r="AF60" s="107">
        <f t="shared" si="47"/>
        <v>11907042.992168857</v>
      </c>
      <c r="AG60" s="107">
        <f t="shared" si="47"/>
        <v>12465270.679861892</v>
      </c>
      <c r="AH60" s="107">
        <f t="shared" si="47"/>
        <v>13049669.277621521</v>
      </c>
      <c r="AI60" s="107">
        <f t="shared" si="47"/>
        <v>13661465.733785877</v>
      </c>
      <c r="AJ60" s="107">
        <f t="shared" si="47"/>
        <v>14301944.518660057</v>
      </c>
      <c r="AK60" s="107">
        <f t="shared" si="47"/>
        <v>14972450.321269194</v>
      </c>
      <c r="AL60" s="107">
        <f t="shared" si="47"/>
        <v>15674390.872541064</v>
      </c>
      <c r="AM60" s="107">
        <f t="shared" si="47"/>
        <v>16409239.900845584</v>
      </c>
      <c r="AN60" s="108">
        <f t="shared" si="47"/>
        <v>17178540.226096265</v>
      </c>
      <c r="AO60" s="107">
        <f t="shared" si="47"/>
        <v>18040555.912452742</v>
      </c>
      <c r="AP60" s="107">
        <f t="shared" si="47"/>
        <v>18945827.372218642</v>
      </c>
      <c r="AQ60" s="107">
        <f t="shared" si="47"/>
        <v>19896525.171385814</v>
      </c>
      <c r="AR60" s="107">
        <f t="shared" si="47"/>
        <v>20894928.794510119</v>
      </c>
      <c r="AS60" s="107">
        <f t="shared" si="47"/>
        <v>21943432.110223018</v>
      </c>
      <c r="AT60" s="107">
        <f t="shared" si="47"/>
        <v>23044549.111001451</v>
      </c>
      <c r="AU60" s="107">
        <f t="shared" si="47"/>
        <v>24200919.940958153</v>
      </c>
      <c r="AV60" s="107">
        <f t="shared" si="47"/>
        <v>25415317.226105355</v>
      </c>
      <c r="AW60" s="107">
        <f t="shared" si="47"/>
        <v>26690652.72226977</v>
      </c>
      <c r="AX60" s="107">
        <f t="shared" si="47"/>
        <v>28029984.296598673</v>
      </c>
      <c r="AY60" s="107">
        <f t="shared" si="47"/>
        <v>29436523.259396486</v>
      </c>
      <c r="AZ60" s="108">
        <f t="shared" si="47"/>
        <v>30913642.063871492</v>
      </c>
      <c r="BA60" s="107">
        <f t="shared" si="47"/>
        <v>32389432.954104811</v>
      </c>
      <c r="BB60" s="107">
        <f t="shared" si="47"/>
        <v>33935676.841988668</v>
      </c>
      <c r="BC60" s="107">
        <f t="shared" si="47"/>
        <v>35555737.093505882</v>
      </c>
      <c r="BD60" s="107">
        <f t="shared" si="47"/>
        <v>37253137.638860956</v>
      </c>
      <c r="BE60" s="107">
        <f t="shared" si="47"/>
        <v>39031570.637679003</v>
      </c>
      <c r="BF60" s="107">
        <f t="shared" si="47"/>
        <v>40894904.510134771</v>
      </c>
      <c r="BG60" s="107">
        <f t="shared" si="47"/>
        <v>42847192.351480752</v>
      </c>
      <c r="BH60" s="107">
        <f t="shared" si="47"/>
        <v>44892680.74827794</v>
      </c>
      <c r="BI60" s="107">
        <f t="shared" si="47"/>
        <v>47035819.015505575</v>
      </c>
      <c r="BJ60" s="107">
        <f t="shared" si="47"/>
        <v>49281268.874643035</v>
      </c>
      <c r="BK60" s="107">
        <f t="shared" si="47"/>
        <v>51633914.593774743</v>
      </c>
      <c r="BL60" s="108">
        <f t="shared" si="47"/>
        <v>54098873.611775182</v>
      </c>
      <c r="BM60" s="8"/>
      <c r="BN60" s="8"/>
      <c r="BO60" s="8"/>
    </row>
    <row r="61" spans="1:67" x14ac:dyDescent="0.2">
      <c r="A61" s="170" t="s">
        <v>61</v>
      </c>
      <c r="B61" s="167"/>
      <c r="C61" s="8"/>
      <c r="D61" s="15"/>
      <c r="E61" s="46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8"/>
      <c r="BM61" s="8"/>
      <c r="BN61" s="8"/>
      <c r="BO61" s="8"/>
    </row>
    <row r="62" spans="1:67" x14ac:dyDescent="0.2">
      <c r="A62" s="6" t="s">
        <v>53</v>
      </c>
      <c r="B62" s="19">
        <v>0.25</v>
      </c>
      <c r="C62" s="37" t="s">
        <v>62</v>
      </c>
      <c r="D62" s="15"/>
      <c r="E62" s="49"/>
      <c r="F62" s="31"/>
      <c r="G62" s="104">
        <f t="shared" ref="G62:G63" si="48">E59+F59+G59</f>
        <v>0</v>
      </c>
      <c r="H62" s="31"/>
      <c r="I62" s="31"/>
      <c r="J62" s="104">
        <f t="shared" ref="J62:J63" si="49">H59+I59+J59</f>
        <v>101300.59167940798</v>
      </c>
      <c r="K62" s="31"/>
      <c r="L62" s="31"/>
      <c r="M62" s="104">
        <f t="shared" ref="M62:M63" si="50">K59+L59+M59</f>
        <v>461703.70718429983</v>
      </c>
      <c r="N62" s="31"/>
      <c r="O62" s="31"/>
      <c r="P62" s="104">
        <f t="shared" ref="P62:P63" si="51">N59+O59+P59</f>
        <v>1924914.0801340432</v>
      </c>
      <c r="Q62" s="49"/>
      <c r="R62" s="31"/>
      <c r="S62" s="104">
        <f t="shared" ref="S62:S63" si="52">Q59+R59+S59</f>
        <v>6465442.2059974484</v>
      </c>
      <c r="T62" s="31"/>
      <c r="U62" s="31"/>
      <c r="V62" s="104">
        <f t="shared" ref="V62:V63" si="53">T59+U59+V59</f>
        <v>12919237.778705779</v>
      </c>
      <c r="W62" s="31"/>
      <c r="X62" s="31"/>
      <c r="Y62" s="104">
        <f t="shared" ref="Y62:Y63" si="54">W59+X59+Y59</f>
        <v>17329610.656017244</v>
      </c>
      <c r="Z62" s="31"/>
      <c r="AA62" s="31"/>
      <c r="AB62" s="104">
        <f t="shared" ref="AB62:AB63" si="55">Z59+AA59+AB59</f>
        <v>19540673.462137319</v>
      </c>
      <c r="AC62" s="49"/>
      <c r="AD62" s="31"/>
      <c r="AE62" s="104">
        <f t="shared" ref="AE62:AE63" si="56">AC59+AD59+AE59</f>
        <v>22015938.02222354</v>
      </c>
      <c r="AF62" s="31"/>
      <c r="AG62" s="31"/>
      <c r="AH62" s="104">
        <f t="shared" ref="AH62:AH63" si="57">AF59+AG59+AH59</f>
        <v>25259838.491015259</v>
      </c>
      <c r="AI62" s="31"/>
      <c r="AJ62" s="31"/>
      <c r="AK62" s="104">
        <f t="shared" ref="AK62:AK63" si="58">AI59+AJ59+AK59</f>
        <v>28981705.88725768</v>
      </c>
      <c r="AL62" s="31"/>
      <c r="AM62" s="31"/>
      <c r="AN62" s="104">
        <f t="shared" ref="AN62:AN63" si="59">AL59+AM59+AN59</f>
        <v>33251965.424650937</v>
      </c>
      <c r="AO62" s="49"/>
      <c r="AP62" s="31"/>
      <c r="AQ62" s="104">
        <f t="shared" ref="AQ62:AQ63" si="60">AO59+AP59+AQ59</f>
        <v>38395963.207838573</v>
      </c>
      <c r="AR62" s="31"/>
      <c r="AS62" s="31"/>
      <c r="AT62" s="104">
        <f t="shared" ref="AT62:AT63" si="61">AR59+AS59+AT59</f>
        <v>44470964.260620818</v>
      </c>
      <c r="AU62" s="31"/>
      <c r="AV62" s="31"/>
      <c r="AW62" s="104">
        <f t="shared" ref="AW62:AW63" si="62">AU59+AV59+AW59</f>
        <v>51507150.67529992</v>
      </c>
      <c r="AX62" s="31"/>
      <c r="AY62" s="31"/>
      <c r="AZ62" s="105">
        <f t="shared" ref="AZ62:AZ63" si="63">AX59+AY59+AZ59</f>
        <v>59656600.993409932</v>
      </c>
      <c r="BA62" s="31"/>
      <c r="BB62" s="31"/>
      <c r="BC62" s="104">
        <f t="shared" ref="BC62:BC63" si="64">BA59+BB59+BC59</f>
        <v>68769571.650479496</v>
      </c>
      <c r="BD62" s="31"/>
      <c r="BE62" s="31"/>
      <c r="BF62" s="104">
        <f t="shared" ref="BF62:BF63" si="65">BD59+BE59+BF59</f>
        <v>79096238.631005377</v>
      </c>
      <c r="BG62" s="31"/>
      <c r="BH62" s="31"/>
      <c r="BI62" s="104">
        <f t="shared" ref="BI62:BI63" si="66">BG59+BH59+BI59</f>
        <v>90973592.177803308</v>
      </c>
      <c r="BJ62" s="31"/>
      <c r="BK62" s="31"/>
      <c r="BL62" s="105">
        <f t="shared" ref="BL62:BL63" si="67">BJ59+BK59+BL59</f>
        <v>104634488.52913016</v>
      </c>
      <c r="BM62" s="8"/>
      <c r="BN62" s="8"/>
      <c r="BO62" s="8"/>
    </row>
    <row r="63" spans="1:67" x14ac:dyDescent="0.2">
      <c r="A63" s="6" t="s">
        <v>38</v>
      </c>
      <c r="B63" s="18">
        <f>(1+B62)^(1/12)-1</f>
        <v>1.8769265121506118E-2</v>
      </c>
      <c r="C63" s="37" t="s">
        <v>63</v>
      </c>
      <c r="D63" s="15"/>
      <c r="E63" s="51"/>
      <c r="F63" s="109"/>
      <c r="G63" s="107">
        <f t="shared" si="48"/>
        <v>0</v>
      </c>
      <c r="H63" s="109"/>
      <c r="I63" s="109"/>
      <c r="J63" s="107">
        <f t="shared" si="49"/>
        <v>150074.95063616004</v>
      </c>
      <c r="K63" s="109"/>
      <c r="L63" s="109"/>
      <c r="M63" s="107">
        <f t="shared" si="50"/>
        <v>684005.49212488881</v>
      </c>
      <c r="N63" s="109"/>
      <c r="O63" s="109"/>
      <c r="P63" s="107">
        <f t="shared" si="51"/>
        <v>2851724.5631615473</v>
      </c>
      <c r="Q63" s="51"/>
      <c r="R63" s="109"/>
      <c r="S63" s="107">
        <f t="shared" si="52"/>
        <v>9578432.8977740034</v>
      </c>
      <c r="T63" s="109"/>
      <c r="U63" s="109"/>
      <c r="V63" s="107">
        <f t="shared" si="53"/>
        <v>19139611.524008572</v>
      </c>
      <c r="W63" s="109"/>
      <c r="X63" s="109"/>
      <c r="Y63" s="107">
        <f t="shared" si="54"/>
        <v>25673497.268173706</v>
      </c>
      <c r="Z63" s="109"/>
      <c r="AA63" s="109"/>
      <c r="AB63" s="107">
        <f t="shared" si="55"/>
        <v>28949145.869833089</v>
      </c>
      <c r="AC63" s="51"/>
      <c r="AD63" s="109"/>
      <c r="AE63" s="107">
        <f t="shared" si="56"/>
        <v>32616204.477368236</v>
      </c>
      <c r="AF63" s="109"/>
      <c r="AG63" s="109"/>
      <c r="AH63" s="107">
        <f t="shared" si="57"/>
        <v>37421982.949652269</v>
      </c>
      <c r="AI63" s="109"/>
      <c r="AJ63" s="109"/>
      <c r="AK63" s="107">
        <f t="shared" si="58"/>
        <v>42935860.573715128</v>
      </c>
      <c r="AL63" s="109"/>
      <c r="AM63" s="109"/>
      <c r="AN63" s="107">
        <f t="shared" si="59"/>
        <v>49262170.999482915</v>
      </c>
      <c r="AO63" s="51"/>
      <c r="AP63" s="109"/>
      <c r="AQ63" s="107">
        <f t="shared" si="60"/>
        <v>56882908.456057191</v>
      </c>
      <c r="AR63" s="109"/>
      <c r="AS63" s="109"/>
      <c r="AT63" s="107">
        <f t="shared" si="61"/>
        <v>65882910.015734583</v>
      </c>
      <c r="AU63" s="109"/>
      <c r="AV63" s="109"/>
      <c r="AW63" s="107">
        <f t="shared" si="62"/>
        <v>76306889.889333278</v>
      </c>
      <c r="AX63" s="109"/>
      <c r="AY63" s="109"/>
      <c r="AZ63" s="108">
        <f t="shared" si="63"/>
        <v>88380149.619866654</v>
      </c>
      <c r="BA63" s="109"/>
      <c r="BB63" s="109"/>
      <c r="BC63" s="107">
        <f t="shared" si="64"/>
        <v>101880846.88959935</v>
      </c>
      <c r="BD63" s="109"/>
      <c r="BE63" s="109"/>
      <c r="BF63" s="107">
        <f t="shared" si="65"/>
        <v>117179612.78667472</v>
      </c>
      <c r="BG63" s="109"/>
      <c r="BH63" s="109"/>
      <c r="BI63" s="107">
        <f t="shared" si="66"/>
        <v>134775692.11526427</v>
      </c>
      <c r="BJ63" s="109"/>
      <c r="BK63" s="109"/>
      <c r="BL63" s="108">
        <f t="shared" si="67"/>
        <v>155014057.08019295</v>
      </c>
      <c r="BM63" s="8"/>
      <c r="BN63" s="8"/>
      <c r="BO63" s="8"/>
    </row>
    <row r="64" spans="1:67" x14ac:dyDescent="0.2">
      <c r="A64" s="6" t="s">
        <v>41</v>
      </c>
      <c r="B64" s="18">
        <f>B59*(1+B62)</f>
        <v>2.2211112499999998E-2</v>
      </c>
      <c r="C64" s="37"/>
      <c r="D64" s="15"/>
      <c r="E64" s="46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31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32"/>
      <c r="BM64" s="8"/>
      <c r="BN64" s="8"/>
      <c r="BO64" s="8"/>
    </row>
    <row r="65" spans="1:67" x14ac:dyDescent="0.2">
      <c r="A65" s="6"/>
      <c r="B65" s="7"/>
      <c r="C65" s="37" t="s">
        <v>64</v>
      </c>
      <c r="D65" s="8"/>
      <c r="E65" s="49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17">
        <f t="shared" ref="P65:P66" si="68">SUM(E59:P59)</f>
        <v>2487918.378997751</v>
      </c>
      <c r="Q65" s="49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104">
        <f t="shared" ref="AB65:AB66" si="69">SUM(Q59:AB59)</f>
        <v>56254964.102857783</v>
      </c>
      <c r="AC65" s="49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104">
        <f t="shared" ref="AN65:AN66" si="70">SUM(AC59:AN59)</f>
        <v>109509447.82514741</v>
      </c>
      <c r="AO65" s="49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104">
        <f t="shared" ref="AZ65:AZ66" si="71">SUM(AO59:AZ59)</f>
        <v>194030679.13716924</v>
      </c>
      <c r="BA65" s="49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105">
        <f t="shared" ref="BL65:BL66" si="72">SUM(BA59:BL59)</f>
        <v>343473890.98841834</v>
      </c>
      <c r="BM65" s="8"/>
      <c r="BN65" s="8"/>
      <c r="BO65" s="8"/>
    </row>
    <row r="66" spans="1:67" x14ac:dyDescent="0.2">
      <c r="A66" s="51"/>
      <c r="B66" s="110"/>
      <c r="C66" s="37" t="s">
        <v>65</v>
      </c>
      <c r="D66" s="8"/>
      <c r="E66" s="51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7">
        <f t="shared" si="68"/>
        <v>3685805.005922596</v>
      </c>
      <c r="Q66" s="51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7">
        <f t="shared" si="69"/>
        <v>83340687.559789374</v>
      </c>
      <c r="AC66" s="51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7">
        <f t="shared" si="70"/>
        <v>162236219.00021857</v>
      </c>
      <c r="AO66" s="51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7">
        <f t="shared" si="71"/>
        <v>287452857.98099172</v>
      </c>
      <c r="BA66" s="51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8">
        <f t="shared" si="72"/>
        <v>508850208.87173128</v>
      </c>
      <c r="BM66" s="8"/>
      <c r="BN66" s="8"/>
      <c r="BO66" s="8"/>
    </row>
    <row r="67" spans="1:67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</row>
    <row r="137" spans="1:67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</row>
    <row r="138" spans="1:67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</row>
    <row r="139" spans="1:67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</row>
    <row r="140" spans="1:67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</row>
    <row r="141" spans="1:67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</row>
    <row r="142" spans="1:67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</row>
    <row r="143" spans="1:67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</row>
    <row r="144" spans="1:67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</row>
    <row r="145" spans="1:67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</row>
    <row r="146" spans="1:67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</row>
    <row r="147" spans="1:67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</row>
    <row r="148" spans="1:67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</row>
    <row r="149" spans="1:67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</row>
    <row r="150" spans="1:67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</row>
    <row r="151" spans="1:67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</row>
    <row r="152" spans="1:67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</row>
    <row r="153" spans="1:67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</row>
    <row r="154" spans="1:67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</row>
    <row r="155" spans="1:67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</row>
    <row r="156" spans="1:67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</row>
    <row r="157" spans="1:67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</row>
    <row r="158" spans="1:67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</row>
    <row r="159" spans="1:67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</row>
    <row r="160" spans="1:67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</row>
    <row r="161" spans="1:67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</row>
    <row r="162" spans="1:67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</row>
    <row r="163" spans="1:67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</row>
    <row r="164" spans="1:67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</row>
    <row r="165" spans="1:67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</row>
    <row r="166" spans="1:67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</row>
    <row r="167" spans="1:67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</row>
    <row r="168" spans="1:67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</row>
    <row r="169" spans="1:67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</row>
    <row r="170" spans="1:67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</row>
    <row r="171" spans="1:67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</row>
    <row r="172" spans="1:67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</row>
    <row r="173" spans="1:67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</row>
    <row r="174" spans="1:67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</row>
    <row r="175" spans="1:67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</row>
    <row r="176" spans="1:67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</row>
    <row r="177" spans="1:67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</row>
    <row r="178" spans="1:67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</row>
    <row r="179" spans="1:67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</row>
    <row r="180" spans="1:67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</row>
    <row r="181" spans="1:67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</row>
    <row r="182" spans="1:67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</row>
    <row r="183" spans="1:67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</row>
    <row r="184" spans="1:67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</row>
    <row r="185" spans="1:67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</row>
    <row r="186" spans="1:67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</row>
    <row r="187" spans="1:67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</row>
    <row r="188" spans="1:67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</row>
    <row r="189" spans="1:67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</row>
    <row r="190" spans="1:67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</row>
    <row r="191" spans="1:67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</row>
    <row r="192" spans="1:67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</row>
    <row r="193" spans="1:67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</row>
    <row r="194" spans="1:67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</row>
    <row r="195" spans="1:67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</row>
    <row r="196" spans="1:67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</row>
    <row r="197" spans="1:67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</row>
    <row r="198" spans="1:67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</row>
    <row r="199" spans="1:67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</row>
    <row r="200" spans="1:67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</row>
    <row r="201" spans="1:67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</row>
    <row r="202" spans="1:67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</row>
    <row r="203" spans="1:67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</row>
    <row r="204" spans="1:67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</row>
    <row r="205" spans="1:67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</row>
    <row r="206" spans="1:67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</row>
    <row r="207" spans="1:67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</row>
    <row r="208" spans="1:67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</row>
    <row r="209" spans="1:67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</row>
    <row r="210" spans="1:67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</row>
    <row r="211" spans="1:67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</row>
    <row r="212" spans="1:67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</row>
    <row r="213" spans="1:67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</row>
    <row r="214" spans="1:67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</row>
    <row r="215" spans="1:67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</row>
    <row r="216" spans="1:67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</row>
    <row r="217" spans="1:67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</row>
    <row r="218" spans="1:67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</row>
    <row r="219" spans="1:67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</row>
    <row r="220" spans="1:67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</row>
    <row r="221" spans="1:67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</row>
    <row r="222" spans="1:67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</row>
    <row r="223" spans="1:67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</row>
    <row r="224" spans="1:67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</row>
    <row r="225" spans="1:67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</row>
    <row r="226" spans="1:67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</row>
    <row r="227" spans="1:67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</row>
    <row r="228" spans="1:67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</row>
    <row r="229" spans="1:67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</row>
    <row r="230" spans="1:67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</row>
    <row r="231" spans="1:67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</row>
    <row r="232" spans="1:67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</row>
    <row r="233" spans="1:67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</row>
    <row r="234" spans="1:67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</row>
    <row r="235" spans="1:67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</row>
    <row r="236" spans="1:67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</row>
    <row r="237" spans="1:67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</row>
    <row r="238" spans="1:67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</row>
    <row r="239" spans="1:67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</row>
    <row r="240" spans="1:67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</row>
    <row r="241" spans="1:67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</row>
    <row r="242" spans="1:67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</row>
    <row r="243" spans="1:67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</row>
    <row r="244" spans="1:67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</row>
    <row r="245" spans="1:67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</row>
    <row r="246" spans="1:67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</row>
    <row r="247" spans="1:67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</row>
    <row r="248" spans="1:67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</row>
    <row r="249" spans="1:67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</row>
    <row r="250" spans="1:67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</row>
    <row r="251" spans="1:67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</row>
    <row r="252" spans="1:67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</row>
    <row r="253" spans="1:67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</row>
    <row r="254" spans="1:67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</row>
    <row r="255" spans="1:67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</row>
    <row r="256" spans="1:67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</row>
    <row r="257" spans="1:67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</row>
    <row r="258" spans="1:67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</row>
    <row r="259" spans="1:67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</row>
    <row r="260" spans="1:67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</row>
    <row r="261" spans="1:67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</row>
    <row r="262" spans="1:67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</row>
    <row r="263" spans="1:67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</row>
    <row r="264" spans="1:67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</row>
    <row r="265" spans="1:67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</row>
    <row r="266" spans="1:67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</row>
    <row r="267" spans="1:67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</row>
    <row r="268" spans="1:67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</row>
    <row r="269" spans="1:67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</row>
    <row r="270" spans="1:67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</row>
    <row r="271" spans="1:67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</row>
    <row r="272" spans="1:67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</row>
    <row r="273" spans="1:67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</row>
    <row r="274" spans="1:67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</row>
    <row r="275" spans="1:67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</row>
    <row r="276" spans="1:67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</row>
    <row r="277" spans="1:67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</row>
    <row r="278" spans="1:67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</row>
    <row r="279" spans="1:67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</row>
    <row r="280" spans="1:67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</row>
    <row r="281" spans="1:67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</row>
    <row r="282" spans="1:67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</row>
    <row r="283" spans="1:67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</row>
    <row r="284" spans="1:67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</row>
    <row r="285" spans="1:67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</row>
    <row r="286" spans="1:67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</row>
    <row r="287" spans="1:67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</row>
    <row r="288" spans="1:67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</row>
    <row r="289" spans="1:67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</row>
    <row r="290" spans="1:67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</row>
    <row r="291" spans="1:67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</row>
    <row r="292" spans="1:67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</row>
    <row r="293" spans="1:67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</row>
    <row r="294" spans="1:67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</row>
    <row r="295" spans="1:67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</row>
    <row r="296" spans="1:67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</row>
    <row r="297" spans="1:67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</row>
    <row r="298" spans="1:67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</row>
    <row r="299" spans="1:67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</row>
    <row r="300" spans="1:67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</row>
    <row r="301" spans="1:67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</row>
    <row r="302" spans="1:67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</row>
    <row r="303" spans="1:67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</row>
    <row r="304" spans="1:67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</row>
    <row r="305" spans="1:67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</row>
    <row r="306" spans="1:67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</row>
    <row r="307" spans="1:67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</row>
    <row r="308" spans="1:67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</row>
    <row r="309" spans="1:67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</row>
    <row r="310" spans="1:67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</row>
    <row r="311" spans="1:67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</row>
    <row r="312" spans="1:67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</row>
    <row r="313" spans="1:67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</row>
    <row r="314" spans="1:67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</row>
    <row r="315" spans="1:67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</row>
    <row r="316" spans="1:67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</row>
    <row r="317" spans="1:67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</row>
    <row r="318" spans="1:67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</row>
    <row r="319" spans="1:67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</row>
    <row r="320" spans="1:67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</row>
    <row r="321" spans="1:67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</row>
    <row r="322" spans="1:67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</row>
    <row r="323" spans="1:67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</row>
    <row r="324" spans="1:67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</row>
    <row r="325" spans="1:67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</row>
    <row r="326" spans="1:67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</row>
    <row r="327" spans="1:67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</row>
    <row r="328" spans="1:67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</row>
    <row r="329" spans="1:67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</row>
    <row r="330" spans="1:67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</row>
    <row r="331" spans="1:67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</row>
    <row r="332" spans="1:67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</row>
    <row r="333" spans="1:67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</row>
    <row r="334" spans="1:67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</row>
    <row r="335" spans="1:67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</row>
    <row r="336" spans="1:67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</row>
    <row r="337" spans="1:67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</row>
    <row r="338" spans="1:67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</row>
    <row r="339" spans="1:67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</row>
    <row r="340" spans="1:67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</row>
    <row r="341" spans="1:67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</row>
    <row r="342" spans="1:67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</row>
    <row r="343" spans="1:67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</row>
    <row r="344" spans="1:67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</row>
    <row r="345" spans="1:67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</row>
    <row r="346" spans="1:67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</row>
    <row r="347" spans="1:67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</row>
    <row r="348" spans="1:67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</row>
    <row r="349" spans="1:67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</row>
    <row r="350" spans="1:67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</row>
    <row r="351" spans="1:67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</row>
    <row r="352" spans="1:67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</row>
    <row r="353" spans="1:67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</row>
    <row r="354" spans="1:67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</row>
    <row r="355" spans="1:67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</row>
    <row r="356" spans="1:67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</row>
    <row r="357" spans="1:67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</row>
    <row r="358" spans="1:67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</row>
    <row r="359" spans="1:67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</row>
    <row r="360" spans="1:67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</row>
    <row r="361" spans="1:67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</row>
    <row r="362" spans="1:67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</row>
    <row r="363" spans="1:67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</row>
    <row r="364" spans="1:67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</row>
    <row r="365" spans="1:67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</row>
    <row r="366" spans="1:67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</row>
    <row r="367" spans="1:67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</row>
    <row r="368" spans="1:67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</row>
    <row r="369" spans="1:67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</row>
    <row r="370" spans="1:67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</row>
    <row r="371" spans="1:67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</row>
    <row r="372" spans="1:67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</row>
    <row r="373" spans="1:67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</row>
    <row r="374" spans="1:67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</row>
    <row r="375" spans="1:67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</row>
    <row r="376" spans="1:67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</row>
    <row r="377" spans="1:67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</row>
    <row r="378" spans="1:67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</row>
    <row r="379" spans="1:67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</row>
    <row r="380" spans="1:67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</row>
    <row r="381" spans="1:67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</row>
    <row r="382" spans="1:67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</row>
    <row r="383" spans="1:67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</row>
    <row r="384" spans="1:67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</row>
    <row r="385" spans="1:67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</row>
    <row r="386" spans="1:67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</row>
    <row r="387" spans="1:67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</row>
    <row r="388" spans="1:67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</row>
    <row r="389" spans="1:67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</row>
    <row r="390" spans="1:67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</row>
    <row r="391" spans="1:67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</row>
    <row r="392" spans="1:67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</row>
    <row r="393" spans="1:67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</row>
    <row r="394" spans="1:67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</row>
    <row r="395" spans="1:67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</row>
    <row r="396" spans="1:67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</row>
    <row r="397" spans="1:67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</row>
    <row r="398" spans="1:67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</row>
    <row r="399" spans="1:67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</row>
    <row r="400" spans="1:67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</row>
    <row r="401" spans="1:67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</row>
    <row r="402" spans="1:67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</row>
    <row r="403" spans="1:67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</row>
    <row r="404" spans="1:67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</row>
    <row r="405" spans="1:67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</row>
    <row r="406" spans="1:67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</row>
    <row r="407" spans="1:67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</row>
    <row r="408" spans="1:67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</row>
    <row r="409" spans="1:67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</row>
    <row r="410" spans="1:67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</row>
    <row r="411" spans="1:67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</row>
    <row r="412" spans="1:67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</row>
    <row r="413" spans="1:67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</row>
    <row r="414" spans="1:67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</row>
    <row r="415" spans="1:67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</row>
    <row r="416" spans="1:67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</row>
    <row r="417" spans="1:67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</row>
    <row r="418" spans="1:67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</row>
    <row r="419" spans="1:67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</row>
    <row r="420" spans="1:67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</row>
    <row r="421" spans="1:67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</row>
    <row r="422" spans="1:67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</row>
    <row r="423" spans="1:67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</row>
    <row r="424" spans="1:67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</row>
    <row r="425" spans="1:67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</row>
    <row r="426" spans="1:67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</row>
    <row r="427" spans="1:67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</row>
    <row r="428" spans="1:67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</row>
    <row r="429" spans="1:67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</row>
    <row r="430" spans="1:67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</row>
    <row r="431" spans="1:67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</row>
    <row r="432" spans="1:67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</row>
    <row r="433" spans="1:67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</row>
    <row r="434" spans="1:67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</row>
    <row r="435" spans="1:67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</row>
    <row r="436" spans="1:67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</row>
    <row r="437" spans="1:67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</row>
    <row r="438" spans="1:67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</row>
    <row r="439" spans="1:67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</row>
    <row r="440" spans="1:67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</row>
    <row r="441" spans="1:67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</row>
    <row r="442" spans="1:67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</row>
    <row r="443" spans="1:67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</row>
    <row r="444" spans="1:67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</row>
    <row r="445" spans="1:67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</row>
    <row r="446" spans="1:67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</row>
    <row r="447" spans="1:67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</row>
    <row r="448" spans="1:67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</row>
    <row r="449" spans="1:67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</row>
    <row r="450" spans="1:67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</row>
    <row r="451" spans="1:67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</row>
    <row r="452" spans="1:67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</row>
    <row r="453" spans="1:67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</row>
    <row r="454" spans="1:67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</row>
    <row r="455" spans="1:67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</row>
    <row r="456" spans="1:67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</row>
    <row r="457" spans="1:67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</row>
    <row r="458" spans="1:67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</row>
    <row r="459" spans="1:67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</row>
    <row r="460" spans="1:67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</row>
    <row r="461" spans="1:67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</row>
    <row r="462" spans="1:67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</row>
    <row r="463" spans="1:67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</row>
    <row r="464" spans="1:67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</row>
    <row r="465" spans="1:67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</row>
    <row r="466" spans="1:67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</row>
    <row r="467" spans="1:67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</row>
    <row r="468" spans="1:67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</row>
    <row r="469" spans="1:67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</row>
    <row r="470" spans="1:67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</row>
    <row r="471" spans="1:67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</row>
    <row r="472" spans="1:67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</row>
    <row r="473" spans="1:67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</row>
    <row r="474" spans="1:67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</row>
    <row r="475" spans="1:67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</row>
    <row r="476" spans="1:67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</row>
    <row r="477" spans="1:67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</row>
    <row r="478" spans="1:67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</row>
    <row r="479" spans="1:67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</row>
    <row r="480" spans="1:67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</row>
    <row r="481" spans="1:67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</row>
    <row r="482" spans="1:67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</row>
    <row r="483" spans="1:67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</row>
    <row r="484" spans="1:67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</row>
    <row r="485" spans="1:67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</row>
    <row r="486" spans="1:67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</row>
    <row r="487" spans="1:67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</row>
    <row r="488" spans="1:67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</row>
    <row r="489" spans="1:67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</row>
    <row r="490" spans="1:67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</row>
    <row r="491" spans="1:67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</row>
    <row r="492" spans="1:67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</row>
    <row r="493" spans="1:67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</row>
    <row r="494" spans="1:67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</row>
    <row r="495" spans="1:67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</row>
    <row r="496" spans="1:67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</row>
    <row r="497" spans="1:67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</row>
    <row r="498" spans="1:67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</row>
    <row r="499" spans="1:67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</row>
    <row r="500" spans="1:67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</row>
    <row r="501" spans="1:67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</row>
    <row r="502" spans="1:67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</row>
    <row r="503" spans="1:67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</row>
    <row r="504" spans="1:67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</row>
    <row r="505" spans="1:67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</row>
    <row r="506" spans="1:67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</row>
    <row r="507" spans="1:67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</row>
    <row r="508" spans="1:67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</row>
    <row r="509" spans="1:67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</row>
    <row r="510" spans="1:67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</row>
    <row r="511" spans="1:67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</row>
    <row r="512" spans="1:67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</row>
    <row r="513" spans="1:67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</row>
    <row r="514" spans="1:67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</row>
    <row r="515" spans="1:67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</row>
    <row r="516" spans="1:67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</row>
    <row r="517" spans="1:67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</row>
    <row r="518" spans="1:67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</row>
    <row r="519" spans="1:67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</row>
    <row r="520" spans="1:67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</row>
    <row r="521" spans="1:67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</row>
    <row r="522" spans="1:67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</row>
    <row r="523" spans="1:67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</row>
    <row r="524" spans="1:67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</row>
    <row r="525" spans="1:67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</row>
    <row r="526" spans="1:67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</row>
    <row r="527" spans="1:67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</row>
    <row r="528" spans="1:67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</row>
    <row r="529" spans="1:67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</row>
    <row r="530" spans="1:67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</row>
    <row r="531" spans="1:67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</row>
    <row r="532" spans="1:67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</row>
    <row r="533" spans="1:67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</row>
    <row r="534" spans="1:67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</row>
    <row r="535" spans="1:67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</row>
    <row r="536" spans="1:67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</row>
    <row r="537" spans="1:67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</row>
    <row r="538" spans="1:67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</row>
    <row r="539" spans="1:67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</row>
    <row r="540" spans="1:67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</row>
    <row r="541" spans="1:67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</row>
    <row r="542" spans="1:67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</row>
    <row r="543" spans="1:67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</row>
    <row r="544" spans="1:67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</row>
    <row r="545" spans="1:67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</row>
    <row r="546" spans="1:67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</row>
    <row r="547" spans="1:67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</row>
    <row r="548" spans="1:67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</row>
    <row r="549" spans="1:67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</row>
    <row r="550" spans="1:67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</row>
    <row r="551" spans="1:67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</row>
    <row r="552" spans="1:67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</row>
    <row r="553" spans="1:67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</row>
    <row r="554" spans="1:67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</row>
    <row r="555" spans="1:67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</row>
    <row r="556" spans="1:67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</row>
    <row r="557" spans="1:67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</row>
    <row r="558" spans="1:67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</row>
    <row r="559" spans="1:67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</row>
    <row r="560" spans="1:67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</row>
    <row r="561" spans="1:67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</row>
    <row r="562" spans="1:67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</row>
    <row r="563" spans="1:67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</row>
    <row r="564" spans="1:67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</row>
    <row r="565" spans="1:67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</row>
    <row r="566" spans="1:67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</row>
    <row r="567" spans="1:67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</row>
    <row r="568" spans="1:67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</row>
    <row r="569" spans="1:67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</row>
    <row r="570" spans="1:67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</row>
    <row r="571" spans="1:67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</row>
    <row r="572" spans="1:67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</row>
    <row r="573" spans="1:67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</row>
    <row r="574" spans="1:67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</row>
    <row r="575" spans="1:67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</row>
    <row r="576" spans="1:67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</row>
    <row r="577" spans="1:67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</row>
    <row r="578" spans="1:67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</row>
    <row r="579" spans="1:67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</row>
    <row r="580" spans="1:67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</row>
    <row r="581" spans="1:67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</row>
    <row r="582" spans="1:67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</row>
    <row r="583" spans="1:67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</row>
    <row r="584" spans="1:67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</row>
    <row r="585" spans="1:67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</row>
    <row r="586" spans="1:67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</row>
    <row r="587" spans="1:67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</row>
    <row r="588" spans="1:67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</row>
    <row r="589" spans="1:67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</row>
    <row r="590" spans="1:67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</row>
    <row r="591" spans="1:67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</row>
    <row r="592" spans="1:67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</row>
    <row r="593" spans="1:67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</row>
    <row r="594" spans="1:67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</row>
    <row r="595" spans="1:67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</row>
    <row r="596" spans="1:67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</row>
    <row r="597" spans="1:67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</row>
    <row r="598" spans="1:67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</row>
    <row r="599" spans="1:67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</row>
    <row r="600" spans="1:67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</row>
    <row r="601" spans="1:67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</row>
    <row r="602" spans="1:67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</row>
    <row r="603" spans="1:67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</row>
    <row r="604" spans="1:67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</row>
    <row r="605" spans="1:67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</row>
    <row r="606" spans="1:67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</row>
    <row r="607" spans="1:67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</row>
    <row r="608" spans="1:67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</row>
    <row r="609" spans="1:67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</row>
    <row r="610" spans="1:67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</row>
    <row r="611" spans="1:67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</row>
    <row r="612" spans="1:67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</row>
    <row r="613" spans="1:67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</row>
    <row r="614" spans="1:67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</row>
    <row r="615" spans="1:67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</row>
    <row r="616" spans="1:67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</row>
    <row r="617" spans="1:67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</row>
    <row r="618" spans="1:67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</row>
    <row r="619" spans="1:67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</row>
    <row r="620" spans="1:67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</row>
    <row r="621" spans="1:67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</row>
    <row r="622" spans="1:67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</row>
    <row r="623" spans="1:67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</row>
    <row r="624" spans="1:67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</row>
    <row r="625" spans="1:67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</row>
    <row r="626" spans="1:67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</row>
    <row r="627" spans="1:67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</row>
    <row r="628" spans="1:67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</row>
    <row r="629" spans="1:67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</row>
    <row r="630" spans="1:67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</row>
    <row r="631" spans="1:67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</row>
    <row r="632" spans="1:67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</row>
    <row r="633" spans="1:67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</row>
    <row r="634" spans="1:67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</row>
    <row r="635" spans="1:67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</row>
    <row r="636" spans="1:67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</row>
    <row r="637" spans="1:67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</row>
    <row r="638" spans="1:67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</row>
    <row r="639" spans="1:67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</row>
    <row r="640" spans="1:67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</row>
    <row r="641" spans="1:67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</row>
    <row r="642" spans="1:67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</row>
    <row r="643" spans="1:67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</row>
    <row r="644" spans="1:67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</row>
    <row r="645" spans="1:67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</row>
    <row r="646" spans="1:67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</row>
    <row r="647" spans="1:67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</row>
    <row r="648" spans="1:67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</row>
    <row r="649" spans="1:67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</row>
    <row r="650" spans="1:67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</row>
    <row r="651" spans="1:67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</row>
    <row r="652" spans="1:67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</row>
    <row r="653" spans="1:67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</row>
    <row r="654" spans="1:67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</row>
    <row r="655" spans="1:67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</row>
    <row r="656" spans="1:67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</row>
    <row r="657" spans="1:67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</row>
    <row r="658" spans="1:67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</row>
    <row r="659" spans="1:67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</row>
    <row r="660" spans="1:67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</row>
    <row r="661" spans="1:67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</row>
    <row r="662" spans="1:67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</row>
    <row r="663" spans="1:67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</row>
    <row r="664" spans="1:67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</row>
    <row r="665" spans="1:67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</row>
    <row r="666" spans="1:67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</row>
    <row r="667" spans="1:67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</row>
    <row r="668" spans="1:67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</row>
    <row r="669" spans="1:67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</row>
    <row r="670" spans="1:67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</row>
    <row r="671" spans="1:67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</row>
    <row r="672" spans="1:67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</row>
    <row r="673" spans="1:67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</row>
    <row r="674" spans="1:67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</row>
    <row r="675" spans="1:67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</row>
    <row r="676" spans="1:67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</row>
    <row r="677" spans="1:67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</row>
    <row r="678" spans="1:67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</row>
    <row r="679" spans="1:67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</row>
    <row r="680" spans="1:67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</row>
    <row r="681" spans="1:67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</row>
    <row r="682" spans="1:67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</row>
    <row r="683" spans="1:67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</row>
    <row r="684" spans="1:67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</row>
    <row r="685" spans="1:67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</row>
    <row r="686" spans="1:67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</row>
    <row r="687" spans="1:67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</row>
    <row r="688" spans="1:67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</row>
    <row r="689" spans="1:67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</row>
    <row r="690" spans="1:67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</row>
    <row r="691" spans="1:67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</row>
    <row r="692" spans="1:67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</row>
    <row r="693" spans="1:67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</row>
    <row r="694" spans="1:67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</row>
    <row r="695" spans="1:67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</row>
    <row r="696" spans="1:67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</row>
    <row r="697" spans="1:67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</row>
    <row r="698" spans="1:67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</row>
    <row r="699" spans="1:67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</row>
    <row r="700" spans="1:67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</row>
    <row r="701" spans="1:67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</row>
    <row r="702" spans="1:67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</row>
    <row r="703" spans="1:67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</row>
    <row r="704" spans="1:67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</row>
    <row r="705" spans="1:67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</row>
    <row r="706" spans="1:67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</row>
    <row r="707" spans="1:67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</row>
    <row r="708" spans="1:67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</row>
    <row r="709" spans="1:67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</row>
    <row r="710" spans="1:67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</row>
    <row r="711" spans="1:67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</row>
    <row r="712" spans="1:67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</row>
    <row r="713" spans="1:67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</row>
    <row r="714" spans="1:67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</row>
    <row r="715" spans="1:67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</row>
    <row r="716" spans="1:67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</row>
    <row r="717" spans="1:67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</row>
    <row r="718" spans="1:67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</row>
    <row r="719" spans="1:67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</row>
    <row r="720" spans="1:67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</row>
    <row r="721" spans="1:67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</row>
    <row r="722" spans="1:67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</row>
    <row r="723" spans="1:67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</row>
    <row r="724" spans="1:67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</row>
    <row r="725" spans="1:67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</row>
    <row r="726" spans="1:67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</row>
    <row r="727" spans="1:67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</row>
    <row r="728" spans="1:67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</row>
    <row r="729" spans="1:67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</row>
    <row r="730" spans="1:67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</row>
    <row r="731" spans="1:67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</row>
    <row r="732" spans="1:67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</row>
    <row r="733" spans="1:67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</row>
    <row r="734" spans="1:67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</row>
    <row r="735" spans="1:67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</row>
    <row r="736" spans="1:67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</row>
    <row r="737" spans="1:67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</row>
    <row r="738" spans="1:67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</row>
    <row r="739" spans="1:67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</row>
    <row r="740" spans="1:67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</row>
    <row r="741" spans="1:67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</row>
    <row r="742" spans="1:67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</row>
    <row r="743" spans="1:67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</row>
    <row r="744" spans="1:67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</row>
    <row r="745" spans="1:67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</row>
    <row r="746" spans="1:67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</row>
    <row r="747" spans="1:67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</row>
    <row r="748" spans="1:67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</row>
    <row r="749" spans="1:67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</row>
    <row r="750" spans="1:67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</row>
    <row r="751" spans="1:67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</row>
    <row r="752" spans="1:67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</row>
    <row r="753" spans="1:67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</row>
    <row r="754" spans="1:67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</row>
    <row r="755" spans="1:67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</row>
    <row r="756" spans="1:67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</row>
    <row r="757" spans="1:67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</row>
    <row r="758" spans="1:67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</row>
    <row r="759" spans="1:67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</row>
    <row r="760" spans="1:67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</row>
    <row r="761" spans="1:67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</row>
    <row r="762" spans="1:67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</row>
    <row r="763" spans="1:67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</row>
    <row r="764" spans="1:67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</row>
    <row r="765" spans="1:67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</row>
    <row r="766" spans="1:67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</row>
    <row r="767" spans="1:67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</row>
    <row r="768" spans="1:67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</row>
    <row r="769" spans="1:67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</row>
    <row r="770" spans="1:67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</row>
    <row r="771" spans="1:67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</row>
    <row r="772" spans="1:67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</row>
    <row r="773" spans="1:67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</row>
    <row r="774" spans="1:67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</row>
    <row r="775" spans="1:67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</row>
    <row r="776" spans="1:67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</row>
    <row r="777" spans="1:67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</row>
    <row r="778" spans="1:67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</row>
    <row r="779" spans="1:67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</row>
    <row r="780" spans="1:67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</row>
    <row r="781" spans="1:67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</row>
    <row r="782" spans="1:67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</row>
    <row r="783" spans="1:67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</row>
    <row r="784" spans="1:67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</row>
    <row r="785" spans="1:67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</row>
    <row r="786" spans="1:67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</row>
    <row r="787" spans="1:67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</row>
    <row r="788" spans="1:67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</row>
    <row r="789" spans="1:67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</row>
    <row r="790" spans="1:67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</row>
    <row r="791" spans="1:67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</row>
    <row r="792" spans="1:67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</row>
    <row r="793" spans="1:67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</row>
    <row r="794" spans="1:67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</row>
    <row r="795" spans="1:67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</row>
    <row r="796" spans="1:67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</row>
    <row r="797" spans="1:67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</row>
    <row r="798" spans="1:67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</row>
    <row r="799" spans="1:67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</row>
    <row r="800" spans="1:67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</row>
    <row r="801" spans="1:67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</row>
    <row r="802" spans="1:67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</row>
    <row r="803" spans="1:67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</row>
    <row r="804" spans="1:67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</row>
    <row r="805" spans="1:67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</row>
    <row r="806" spans="1:67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</row>
    <row r="807" spans="1:67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</row>
    <row r="808" spans="1:67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</row>
    <row r="809" spans="1:67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</row>
    <row r="810" spans="1:67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</row>
    <row r="811" spans="1:67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</row>
    <row r="812" spans="1:67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</row>
    <row r="813" spans="1:67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</row>
    <row r="814" spans="1:67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</row>
    <row r="815" spans="1:67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</row>
    <row r="816" spans="1:67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</row>
    <row r="817" spans="1:67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</row>
    <row r="818" spans="1:67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</row>
    <row r="819" spans="1:67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</row>
    <row r="820" spans="1:67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</row>
    <row r="821" spans="1:67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</row>
    <row r="822" spans="1:67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</row>
    <row r="823" spans="1:67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</row>
    <row r="824" spans="1:67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</row>
    <row r="825" spans="1:67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</row>
    <row r="826" spans="1:67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</row>
    <row r="827" spans="1:67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</row>
    <row r="828" spans="1:67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</row>
    <row r="829" spans="1:67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</row>
    <row r="830" spans="1:67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</row>
    <row r="831" spans="1:67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</row>
    <row r="832" spans="1:67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</row>
    <row r="833" spans="1:67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</row>
    <row r="834" spans="1:67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</row>
    <row r="835" spans="1:67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</row>
    <row r="836" spans="1:67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</row>
    <row r="837" spans="1:67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</row>
    <row r="838" spans="1:67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</row>
    <row r="839" spans="1:67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</row>
    <row r="840" spans="1:67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</row>
    <row r="841" spans="1:67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</row>
    <row r="842" spans="1:67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</row>
    <row r="843" spans="1:67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</row>
    <row r="844" spans="1:67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</row>
    <row r="845" spans="1:67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</row>
    <row r="846" spans="1:67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</row>
    <row r="847" spans="1:67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</row>
    <row r="848" spans="1:67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</row>
    <row r="849" spans="1:67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</row>
    <row r="850" spans="1:67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</row>
    <row r="851" spans="1:67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</row>
    <row r="852" spans="1:67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</row>
    <row r="853" spans="1:67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</row>
    <row r="854" spans="1:67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</row>
    <row r="855" spans="1:67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</row>
    <row r="856" spans="1:67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</row>
    <row r="857" spans="1:67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</row>
    <row r="858" spans="1:67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</row>
    <row r="859" spans="1:67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</row>
    <row r="860" spans="1:67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</row>
    <row r="861" spans="1:67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</row>
    <row r="862" spans="1:67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</row>
    <row r="863" spans="1:67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</row>
    <row r="864" spans="1:67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</row>
    <row r="865" spans="1:67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</row>
    <row r="866" spans="1:67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</row>
    <row r="867" spans="1:67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</row>
    <row r="868" spans="1:67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</row>
    <row r="869" spans="1:67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</row>
    <row r="870" spans="1:67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</row>
    <row r="871" spans="1:67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</row>
    <row r="872" spans="1:67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</row>
    <row r="873" spans="1:67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</row>
    <row r="874" spans="1:67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</row>
    <row r="875" spans="1:67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</row>
    <row r="876" spans="1:67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</row>
    <row r="877" spans="1:67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</row>
    <row r="878" spans="1:67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</row>
    <row r="879" spans="1:67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</row>
    <row r="880" spans="1:67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</row>
    <row r="881" spans="1:67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</row>
    <row r="882" spans="1:67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</row>
    <row r="883" spans="1:67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</row>
    <row r="884" spans="1:67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</row>
    <row r="885" spans="1:67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</row>
    <row r="886" spans="1:67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</row>
    <row r="887" spans="1:67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</row>
    <row r="888" spans="1:67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</row>
    <row r="889" spans="1:67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</row>
    <row r="890" spans="1:67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</row>
    <row r="891" spans="1:67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</row>
    <row r="892" spans="1:67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</row>
    <row r="893" spans="1:67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</row>
    <row r="894" spans="1:67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</row>
    <row r="895" spans="1:67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</row>
    <row r="896" spans="1:67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</row>
    <row r="897" spans="1:67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</row>
    <row r="898" spans="1:67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</row>
    <row r="899" spans="1:67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</row>
    <row r="900" spans="1:67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</row>
    <row r="901" spans="1:67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</row>
    <row r="902" spans="1:67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</row>
    <row r="903" spans="1:67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</row>
    <row r="904" spans="1:67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</row>
    <row r="905" spans="1:67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</row>
    <row r="906" spans="1:67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</row>
    <row r="907" spans="1:67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</row>
    <row r="908" spans="1:67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</row>
    <row r="909" spans="1:67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</row>
    <row r="910" spans="1:67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</row>
    <row r="911" spans="1:67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</row>
    <row r="912" spans="1:67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</row>
    <row r="913" spans="1:67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</row>
    <row r="914" spans="1:67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</row>
    <row r="915" spans="1:67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</row>
    <row r="916" spans="1:67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</row>
    <row r="917" spans="1:67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</row>
    <row r="918" spans="1:67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</row>
    <row r="919" spans="1:67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</row>
    <row r="920" spans="1:67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</row>
    <row r="921" spans="1:67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</row>
    <row r="922" spans="1:67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</row>
    <row r="923" spans="1:67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</row>
    <row r="924" spans="1:67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</row>
    <row r="925" spans="1:67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</row>
    <row r="926" spans="1:67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</row>
    <row r="927" spans="1:67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</row>
    <row r="928" spans="1:67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</row>
    <row r="929" spans="1:67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</row>
    <row r="930" spans="1:67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</row>
    <row r="931" spans="1:67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</row>
    <row r="932" spans="1:67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</row>
    <row r="933" spans="1:67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</row>
    <row r="934" spans="1:67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</row>
    <row r="935" spans="1:67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</row>
    <row r="936" spans="1:67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</row>
    <row r="937" spans="1:67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</row>
    <row r="938" spans="1:67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</row>
    <row r="939" spans="1:67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</row>
    <row r="940" spans="1:67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</row>
    <row r="941" spans="1:67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</row>
    <row r="942" spans="1:67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</row>
    <row r="943" spans="1:67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</row>
    <row r="944" spans="1:67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</row>
    <row r="945" spans="1:67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</row>
    <row r="946" spans="1:67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</row>
    <row r="947" spans="1:67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</row>
    <row r="948" spans="1:67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</row>
    <row r="949" spans="1:67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</row>
    <row r="950" spans="1:67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</row>
    <row r="951" spans="1:67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</row>
    <row r="952" spans="1:67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</row>
    <row r="953" spans="1:67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</row>
    <row r="954" spans="1:67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</row>
    <row r="955" spans="1:67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</row>
    <row r="956" spans="1:67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</row>
    <row r="957" spans="1:67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</row>
    <row r="958" spans="1:67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</row>
    <row r="959" spans="1:67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</row>
    <row r="960" spans="1:67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</row>
    <row r="961" spans="1:67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</row>
    <row r="962" spans="1:67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</row>
    <row r="963" spans="1:67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</row>
    <row r="964" spans="1:67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</row>
    <row r="965" spans="1:67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</row>
    <row r="966" spans="1:67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</row>
    <row r="967" spans="1:67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</row>
    <row r="968" spans="1:67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</row>
    <row r="969" spans="1:67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</row>
    <row r="970" spans="1:67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</row>
    <row r="971" spans="1:67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</row>
    <row r="972" spans="1:67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</row>
    <row r="973" spans="1:67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</row>
    <row r="974" spans="1:67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</row>
    <row r="975" spans="1:67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</row>
    <row r="976" spans="1:67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</row>
    <row r="977" spans="1:67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</row>
    <row r="978" spans="1:67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</row>
    <row r="979" spans="1:67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</row>
    <row r="980" spans="1:67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</row>
    <row r="981" spans="1:67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</row>
    <row r="982" spans="1:67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</row>
    <row r="983" spans="1:67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</row>
    <row r="984" spans="1:67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</row>
    <row r="985" spans="1:67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</row>
    <row r="986" spans="1:67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</row>
    <row r="987" spans="1:67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</row>
    <row r="988" spans="1:67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</row>
    <row r="989" spans="1:67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</row>
    <row r="990" spans="1:67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</row>
    <row r="991" spans="1:67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</row>
    <row r="992" spans="1:67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</row>
    <row r="993" spans="1:67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</row>
    <row r="994" spans="1:67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</row>
    <row r="995" spans="1:67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</row>
    <row r="996" spans="1:67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</row>
    <row r="997" spans="1:67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</row>
    <row r="998" spans="1:67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</row>
    <row r="999" spans="1:67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</row>
    <row r="1000" spans="1:67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</row>
    <row r="1001" spans="1:67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</row>
    <row r="1002" spans="1:67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</row>
    <row r="1003" spans="1:67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</row>
    <row r="1004" spans="1:67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</row>
    <row r="1005" spans="1:67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</row>
    <row r="1006" spans="1:67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</row>
  </sheetData>
  <mergeCells count="25">
    <mergeCell ref="A61:B61"/>
    <mergeCell ref="AO51:AZ51"/>
    <mergeCell ref="BA51:BL51"/>
    <mergeCell ref="F22:J22"/>
    <mergeCell ref="F28:J28"/>
    <mergeCell ref="E36:BL36"/>
    <mergeCell ref="A43:B43"/>
    <mergeCell ref="A44:B44"/>
    <mergeCell ref="A51:B51"/>
    <mergeCell ref="E51:G51"/>
    <mergeCell ref="Z1:AB1"/>
    <mergeCell ref="AD1:AF1"/>
    <mergeCell ref="H51:AB51"/>
    <mergeCell ref="AC51:AN51"/>
    <mergeCell ref="A56:B56"/>
    <mergeCell ref="F1:H1"/>
    <mergeCell ref="J1:L1"/>
    <mergeCell ref="N1:P1"/>
    <mergeCell ref="R1:T1"/>
    <mergeCell ref="V1:X1"/>
    <mergeCell ref="AH1:AJ1"/>
    <mergeCell ref="AL1:AN1"/>
    <mergeCell ref="AP1:AR1"/>
    <mergeCell ref="AT1:AV1"/>
    <mergeCell ref="AX1:AZ1"/>
  </mergeCells>
  <dataValidations count="2">
    <dataValidation type="list" allowBlank="1" showErrorMessage="1" sqref="B5" xr:uid="{00000000-0002-0000-0000-000000000000}">
      <formula1>"$0.10,$0.20,$0.30,$0.40,$0.5,$1.0,$2.0,$3.0"</formula1>
    </dataValidation>
    <dataValidation type="list" allowBlank="1" showErrorMessage="1" sqref="B6" xr:uid="{00000000-0002-0000-0000-000001000000}">
      <formula1>"$0.30,$0.40,$0.50,$0.75,$1.00,$1.25,$1.5,$2.0,$3.0,$4.0,$5.0"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2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 x14ac:dyDescent="0.15"/>
  <cols>
    <col min="1" max="1" width="35.6640625" customWidth="1"/>
    <col min="19" max="19" width="12.6640625" customWidth="1"/>
    <col min="20" max="25" width="13.6640625" customWidth="1"/>
    <col min="26" max="26" width="14.6640625" customWidth="1"/>
    <col min="27" max="37" width="13.6640625" customWidth="1"/>
    <col min="38" max="38" width="14.5" customWidth="1"/>
    <col min="39" max="39" width="14.6640625" customWidth="1"/>
  </cols>
  <sheetData>
    <row r="1" spans="1:45" x14ac:dyDescent="0.2">
      <c r="A1" s="8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7"/>
      <c r="O1" s="8"/>
      <c r="P1" s="8"/>
      <c r="Q1" s="8"/>
      <c r="R1" s="8"/>
      <c r="S1" s="8"/>
      <c r="T1" s="7"/>
      <c r="U1" s="8"/>
      <c r="V1" s="8"/>
      <c r="W1" s="8"/>
      <c r="X1" s="8"/>
      <c r="Y1" s="8"/>
      <c r="Z1" s="7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7"/>
      <c r="AM1" s="30"/>
      <c r="AN1" s="8"/>
      <c r="AO1" s="8"/>
      <c r="AP1" s="8"/>
      <c r="AQ1" s="8"/>
      <c r="AR1" s="8"/>
      <c r="AS1" s="8"/>
    </row>
    <row r="2" spans="1:45" x14ac:dyDescent="0.2">
      <c r="A2" s="8"/>
      <c r="B2" s="111" t="s">
        <v>67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8"/>
      <c r="P2" s="8"/>
      <c r="Q2" s="8"/>
      <c r="R2" s="8"/>
      <c r="S2" s="8"/>
      <c r="T2" s="7"/>
      <c r="U2" s="8"/>
      <c r="V2" s="8"/>
      <c r="W2" s="8"/>
      <c r="X2" s="8"/>
      <c r="Y2" s="8"/>
      <c r="Z2" s="7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7"/>
      <c r="AM2" s="16"/>
      <c r="AN2" s="8"/>
      <c r="AO2" s="8"/>
      <c r="AP2" s="8"/>
      <c r="AQ2" s="8"/>
      <c r="AR2" s="8"/>
      <c r="AS2" s="8"/>
    </row>
    <row r="3" spans="1:45" x14ac:dyDescent="0.2">
      <c r="A3" s="112" t="s">
        <v>68</v>
      </c>
      <c r="B3" s="113"/>
      <c r="C3" s="114">
        <v>1</v>
      </c>
      <c r="D3" s="114">
        <v>2</v>
      </c>
      <c r="E3" s="114">
        <v>3</v>
      </c>
      <c r="F3" s="114">
        <v>4</v>
      </c>
      <c r="G3" s="114">
        <v>5</v>
      </c>
      <c r="H3" s="114">
        <v>6</v>
      </c>
      <c r="I3" s="114">
        <v>7</v>
      </c>
      <c r="J3" s="114">
        <v>8</v>
      </c>
      <c r="K3" s="114">
        <v>9</v>
      </c>
      <c r="L3" s="114">
        <v>10</v>
      </c>
      <c r="M3" s="114">
        <v>11</v>
      </c>
      <c r="N3" s="115">
        <v>12</v>
      </c>
      <c r="O3" s="114">
        <f t="shared" ref="O3:AL3" si="0">N3+1</f>
        <v>13</v>
      </c>
      <c r="P3" s="114">
        <f t="shared" si="0"/>
        <v>14</v>
      </c>
      <c r="Q3" s="114">
        <f t="shared" si="0"/>
        <v>15</v>
      </c>
      <c r="R3" s="114">
        <f t="shared" si="0"/>
        <v>16</v>
      </c>
      <c r="S3" s="114">
        <f t="shared" si="0"/>
        <v>17</v>
      </c>
      <c r="T3" s="115">
        <f t="shared" si="0"/>
        <v>18</v>
      </c>
      <c r="U3" s="114">
        <f t="shared" si="0"/>
        <v>19</v>
      </c>
      <c r="V3" s="114">
        <f t="shared" si="0"/>
        <v>20</v>
      </c>
      <c r="W3" s="114">
        <f t="shared" si="0"/>
        <v>21</v>
      </c>
      <c r="X3" s="114">
        <f t="shared" si="0"/>
        <v>22</v>
      </c>
      <c r="Y3" s="114">
        <f t="shared" si="0"/>
        <v>23</v>
      </c>
      <c r="Z3" s="115">
        <f t="shared" si="0"/>
        <v>24</v>
      </c>
      <c r="AA3" s="114">
        <f t="shared" si="0"/>
        <v>25</v>
      </c>
      <c r="AB3" s="114">
        <f t="shared" si="0"/>
        <v>26</v>
      </c>
      <c r="AC3" s="114">
        <f t="shared" si="0"/>
        <v>27</v>
      </c>
      <c r="AD3" s="114">
        <f t="shared" si="0"/>
        <v>28</v>
      </c>
      <c r="AE3" s="114">
        <f t="shared" si="0"/>
        <v>29</v>
      </c>
      <c r="AF3" s="114">
        <f t="shared" si="0"/>
        <v>30</v>
      </c>
      <c r="AG3" s="114">
        <f t="shared" si="0"/>
        <v>31</v>
      </c>
      <c r="AH3" s="114">
        <f t="shared" si="0"/>
        <v>32</v>
      </c>
      <c r="AI3" s="114">
        <f t="shared" si="0"/>
        <v>33</v>
      </c>
      <c r="AJ3" s="114">
        <f t="shared" si="0"/>
        <v>34</v>
      </c>
      <c r="AK3" s="114">
        <f t="shared" si="0"/>
        <v>35</v>
      </c>
      <c r="AL3" s="115">
        <f t="shared" si="0"/>
        <v>36</v>
      </c>
      <c r="AM3" s="116" t="s">
        <v>69</v>
      </c>
      <c r="AN3" s="1"/>
      <c r="AO3" s="117"/>
      <c r="AP3" s="1"/>
      <c r="AQ3" s="1"/>
      <c r="AR3" s="1"/>
      <c r="AS3" s="1"/>
    </row>
    <row r="4" spans="1:45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8"/>
      <c r="T4" s="7"/>
      <c r="U4" s="8"/>
      <c r="V4" s="8"/>
      <c r="W4" s="8"/>
      <c r="X4" s="8"/>
      <c r="Y4" s="8"/>
      <c r="Z4" s="7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7"/>
      <c r="AM4" s="16"/>
      <c r="AN4" s="8"/>
      <c r="AO4" s="8"/>
      <c r="AP4" s="8"/>
      <c r="AQ4" s="8"/>
      <c r="AR4" s="8"/>
      <c r="AS4" s="8"/>
    </row>
    <row r="5" spans="1:45" x14ac:dyDescent="0.2">
      <c r="A5" s="8" t="s">
        <v>70</v>
      </c>
      <c r="B5" s="8" t="s">
        <v>36</v>
      </c>
      <c r="C5" s="118">
        <f>IF($B$5="Low",'API Token Model'!E59,'API Token Model'!E60 )</f>
        <v>0</v>
      </c>
      <c r="D5" s="118">
        <f>IF($B$5="Low",'API Token Model'!F59,'API Token Model'!F60 )</f>
        <v>0</v>
      </c>
      <c r="E5" s="118">
        <f>IF($B$5="Low",'API Token Model'!G59,'API Token Model'!G60 )</f>
        <v>0</v>
      </c>
      <c r="F5" s="118">
        <f>IF($B$5="Low",'API Token Model'!H59,'API Token Model'!H60 )</f>
        <v>27525.361015946499</v>
      </c>
      <c r="G5" s="118">
        <f>IF($B$5="Low",'API Token Model'!I59,'API Token Model'!I60 )</f>
        <v>45955.078100097213</v>
      </c>
      <c r="H5" s="118">
        <f>IF($B$5="Low",'API Token Model'!J59,'API Token Model'!J60 )</f>
        <v>76594.511520116313</v>
      </c>
      <c r="I5" s="118">
        <f>IF($B$5="Low",'API Token Model'!K59,'API Token Model'!K60 )</f>
        <v>127308.93644772135</v>
      </c>
      <c r="J5" s="118">
        <f>IF($B$5="Low",'API Token Model'!L59,'API Token Model'!L60 )</f>
        <v>210652.46194188506</v>
      </c>
      <c r="K5" s="118">
        <f>IF($B$5="Low",'API Token Model'!M59,'API Token Model'!M60 )</f>
        <v>346044.09373528243</v>
      </c>
      <c r="L5" s="118">
        <f>IF($B$5="Low",'API Token Model'!N59,'API Token Model'!N60 )</f>
        <v>561974.9555524285</v>
      </c>
      <c r="M5" s="118">
        <f>IF($B$5="Low",'API Token Model'!O59,'API Token Model'!O60 )</f>
        <v>896602.36740473588</v>
      </c>
      <c r="N5" s="118">
        <f>IF($B$5="Low",'API Token Model'!P59,'API Token Model'!P60 )</f>
        <v>1393147.2402043829</v>
      </c>
      <c r="O5" s="118">
        <f>IF($B$5="Low",'API Token Model'!Q59,'API Token Model'!Q60 )</f>
        <v>2197021.1933772182</v>
      </c>
      <c r="P5" s="118">
        <f>IF($B$5="Low",'API Token Model'!R59,'API Token Model'!R60 )</f>
        <v>3142071.9504592596</v>
      </c>
      <c r="Q5" s="118">
        <f>IF($B$5="Low",'API Token Model'!S59,'API Token Model'!S60 )</f>
        <v>4239339.7539375257</v>
      </c>
      <c r="R5" s="118">
        <f>IF($B$5="Low",'API Token Model'!T59,'API Token Model'!T60 )</f>
        <v>5376690.4722401751</v>
      </c>
      <c r="S5" s="118">
        <f>IF($B$5="Low",'API Token Model'!U59,'API Token Model'!U60 )</f>
        <v>6433274.2523946278</v>
      </c>
      <c r="T5" s="118">
        <f>IF($B$5="Low",'API Token Model'!V59,'API Token Model'!V60 )</f>
        <v>7329646.7993737701</v>
      </c>
      <c r="U5" s="118">
        <f>IF($B$5="Low",'API Token Model'!W59,'API Token Model'!W60 )</f>
        <v>8044654.9698312934</v>
      </c>
      <c r="V5" s="118">
        <f>IF($B$5="Low",'API Token Model'!X59,'API Token Model'!X60 )</f>
        <v>8598961.7109776456</v>
      </c>
      <c r="W5" s="118">
        <f>IF($B$5="Low",'API Token Model'!Y59,'API Token Model'!Y60 )</f>
        <v>9029880.5873647667</v>
      </c>
      <c r="X5" s="118">
        <f>IF($B$5="Low",'API Token Model'!Z59,'API Token Model'!Z60 )</f>
        <v>9374295.0334287658</v>
      </c>
      <c r="Y5" s="118">
        <f>IF($B$5="Low",'API Token Model'!AA59,'API Token Model'!AA60 )</f>
        <v>9661676.2584735323</v>
      </c>
      <c r="Z5" s="118">
        <f>IF($B$5="Low",'API Token Model'!AB59,'API Token Model'!AB60 )</f>
        <v>9913174.5779307913</v>
      </c>
      <c r="AA5" s="118">
        <f>IF($B$5="Low",'API Token Model'!AC59,'API Token Model'!AC60 )</f>
        <v>10377925.442270093</v>
      </c>
      <c r="AB5" s="118">
        <f>IF($B$5="Low",'API Token Model'!AD59,'API Token Model'!AD60 )</f>
        <v>10864464.822912233</v>
      </c>
      <c r="AC5" s="118">
        <f>IF($B$5="Low",'API Token Model'!AE59,'API Token Model'!AE60 )</f>
        <v>11373814.21218591</v>
      </c>
      <c r="AD5" s="118">
        <f>IF($B$5="Low",'API Token Model'!AF59,'API Token Model'!AF60 )</f>
        <v>11907042.992168857</v>
      </c>
      <c r="AE5" s="118">
        <f>IF($B$5="Low",'API Token Model'!AG59,'API Token Model'!AG60 )</f>
        <v>12465270.679861892</v>
      </c>
      <c r="AF5" s="118">
        <f>IF($B$5="Low",'API Token Model'!AH59,'API Token Model'!AH60 )</f>
        <v>13049669.277621521</v>
      </c>
      <c r="AG5" s="118">
        <f>IF($B$5="Low",'API Token Model'!AI59,'API Token Model'!AI60 )</f>
        <v>13661465.733785877</v>
      </c>
      <c r="AH5" s="118">
        <f>IF($B$5="Low",'API Token Model'!AJ59,'API Token Model'!AJ60 )</f>
        <v>14301944.518660057</v>
      </c>
      <c r="AI5" s="118">
        <f>IF($B$5="Low",'API Token Model'!AK59,'API Token Model'!AK60 )</f>
        <v>14972450.321269194</v>
      </c>
      <c r="AJ5" s="118">
        <f>IF($B$5="Low",'API Token Model'!AL59,'API Token Model'!AL60 )</f>
        <v>15674390.872541064</v>
      </c>
      <c r="AK5" s="118">
        <f>IF($B$5="Low",'API Token Model'!AM59,'API Token Model'!AM60 )</f>
        <v>16409239.900845584</v>
      </c>
      <c r="AL5" s="118">
        <f>IF($B$5="Low",'API Token Model'!AN59,'API Token Model'!AN60 )</f>
        <v>17178540.226096265</v>
      </c>
      <c r="AM5" s="119">
        <f>SUM(Q5:AL5)</f>
        <v>240237813.41617143</v>
      </c>
      <c r="AN5" s="8"/>
      <c r="AO5" s="8"/>
      <c r="AP5" s="8"/>
      <c r="AQ5" s="8"/>
      <c r="AR5" s="8"/>
      <c r="AS5" s="8"/>
    </row>
    <row r="6" spans="1:45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/>
      <c r="O6" s="8"/>
      <c r="P6" s="8"/>
      <c r="Q6" s="8"/>
      <c r="R6" s="8"/>
      <c r="S6" s="8"/>
      <c r="T6" s="7"/>
      <c r="U6" s="8"/>
      <c r="V6" s="8"/>
      <c r="W6" s="8"/>
      <c r="X6" s="8"/>
      <c r="Y6" s="8"/>
      <c r="Z6" s="7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7"/>
      <c r="AM6" s="16"/>
      <c r="AN6" s="8"/>
      <c r="AO6" s="8"/>
      <c r="AP6" s="8"/>
      <c r="AQ6" s="8"/>
      <c r="AR6" s="8"/>
      <c r="AS6" s="8"/>
    </row>
    <row r="7" spans="1:45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/>
      <c r="O7" s="8"/>
      <c r="P7" s="8"/>
      <c r="Q7" s="8"/>
      <c r="R7" s="8"/>
      <c r="S7" s="8"/>
      <c r="T7" s="7"/>
      <c r="U7" s="8"/>
      <c r="V7" s="8"/>
      <c r="W7" s="8"/>
      <c r="X7" s="8"/>
      <c r="Y7" s="8"/>
      <c r="Z7" s="7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7"/>
      <c r="AM7" s="16"/>
      <c r="AN7" s="8"/>
      <c r="AO7" s="8"/>
      <c r="AP7" s="8"/>
      <c r="AQ7" s="8"/>
      <c r="AR7" s="8"/>
      <c r="AS7" s="8"/>
    </row>
    <row r="8" spans="1:45" x14ac:dyDescent="0.2">
      <c r="A8" s="8" t="s">
        <v>71</v>
      </c>
      <c r="B8" s="8"/>
      <c r="C8" s="118">
        <f t="shared" ref="C8:AL8" si="1">C5</f>
        <v>0</v>
      </c>
      <c r="D8" s="118">
        <f t="shared" si="1"/>
        <v>0</v>
      </c>
      <c r="E8" s="118">
        <f t="shared" si="1"/>
        <v>0</v>
      </c>
      <c r="F8" s="118">
        <f t="shared" si="1"/>
        <v>27525.361015946499</v>
      </c>
      <c r="G8" s="118">
        <f t="shared" si="1"/>
        <v>45955.078100097213</v>
      </c>
      <c r="H8" s="118">
        <f t="shared" si="1"/>
        <v>76594.511520116313</v>
      </c>
      <c r="I8" s="118">
        <f t="shared" si="1"/>
        <v>127308.93644772135</v>
      </c>
      <c r="J8" s="118">
        <f t="shared" si="1"/>
        <v>210652.46194188506</v>
      </c>
      <c r="K8" s="118">
        <f t="shared" si="1"/>
        <v>346044.09373528243</v>
      </c>
      <c r="L8" s="118">
        <f t="shared" si="1"/>
        <v>561974.9555524285</v>
      </c>
      <c r="M8" s="118">
        <f t="shared" si="1"/>
        <v>896602.36740473588</v>
      </c>
      <c r="N8" s="118">
        <f t="shared" si="1"/>
        <v>1393147.2402043829</v>
      </c>
      <c r="O8" s="118">
        <f t="shared" si="1"/>
        <v>2197021.1933772182</v>
      </c>
      <c r="P8" s="118">
        <f t="shared" si="1"/>
        <v>3142071.9504592596</v>
      </c>
      <c r="Q8" s="118">
        <f t="shared" si="1"/>
        <v>4239339.7539375257</v>
      </c>
      <c r="R8" s="118">
        <f t="shared" si="1"/>
        <v>5376690.4722401751</v>
      </c>
      <c r="S8" s="118">
        <f t="shared" si="1"/>
        <v>6433274.2523946278</v>
      </c>
      <c r="T8" s="118">
        <f t="shared" si="1"/>
        <v>7329646.7993737701</v>
      </c>
      <c r="U8" s="118">
        <f t="shared" si="1"/>
        <v>8044654.9698312934</v>
      </c>
      <c r="V8" s="118">
        <f t="shared" si="1"/>
        <v>8598961.7109776456</v>
      </c>
      <c r="W8" s="118">
        <f t="shared" si="1"/>
        <v>9029880.5873647667</v>
      </c>
      <c r="X8" s="118">
        <f t="shared" si="1"/>
        <v>9374295.0334287658</v>
      </c>
      <c r="Y8" s="118">
        <f t="shared" si="1"/>
        <v>9661676.2584735323</v>
      </c>
      <c r="Z8" s="118">
        <f t="shared" si="1"/>
        <v>9913174.5779307913</v>
      </c>
      <c r="AA8" s="118">
        <f t="shared" si="1"/>
        <v>10377925.442270093</v>
      </c>
      <c r="AB8" s="118">
        <f t="shared" si="1"/>
        <v>10864464.822912233</v>
      </c>
      <c r="AC8" s="118">
        <f t="shared" si="1"/>
        <v>11373814.21218591</v>
      </c>
      <c r="AD8" s="118">
        <f t="shared" si="1"/>
        <v>11907042.992168857</v>
      </c>
      <c r="AE8" s="118">
        <f t="shared" si="1"/>
        <v>12465270.679861892</v>
      </c>
      <c r="AF8" s="118">
        <f t="shared" si="1"/>
        <v>13049669.277621521</v>
      </c>
      <c r="AG8" s="118">
        <f t="shared" si="1"/>
        <v>13661465.733785877</v>
      </c>
      <c r="AH8" s="118">
        <f t="shared" si="1"/>
        <v>14301944.518660057</v>
      </c>
      <c r="AI8" s="118">
        <f t="shared" si="1"/>
        <v>14972450.321269194</v>
      </c>
      <c r="AJ8" s="118">
        <f t="shared" si="1"/>
        <v>15674390.872541064</v>
      </c>
      <c r="AK8" s="118">
        <f t="shared" si="1"/>
        <v>16409239.900845584</v>
      </c>
      <c r="AL8" s="118">
        <f t="shared" si="1"/>
        <v>17178540.226096265</v>
      </c>
      <c r="AM8" s="119">
        <f>SUM(C8:AL8)</f>
        <v>249262711.56593052</v>
      </c>
      <c r="AN8" s="8"/>
      <c r="AO8" s="8"/>
      <c r="AP8" s="8"/>
      <c r="AQ8" s="8"/>
      <c r="AR8" s="8"/>
      <c r="AS8" s="8"/>
    </row>
    <row r="9" spans="1:45" x14ac:dyDescent="0.2">
      <c r="A9" s="8" t="s">
        <v>72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5" t="s">
        <v>73</v>
      </c>
      <c r="N9" s="119">
        <f>SUM(C8:N8)</f>
        <v>3685805.005922596</v>
      </c>
      <c r="O9" s="8"/>
      <c r="P9" s="8"/>
      <c r="Q9" s="8"/>
      <c r="R9" s="8"/>
      <c r="S9" s="5" t="s">
        <v>74</v>
      </c>
      <c r="T9" s="119">
        <f>SUM(C8:T8)</f>
        <v>32403849.427705169</v>
      </c>
      <c r="U9" s="8"/>
      <c r="V9" s="8"/>
      <c r="W9" s="8"/>
      <c r="X9" s="8"/>
      <c r="Y9" s="5" t="s">
        <v>75</v>
      </c>
      <c r="Z9" s="119">
        <f>SUM(O8:Z8)</f>
        <v>83340687.559789374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5" t="s">
        <v>76</v>
      </c>
      <c r="AL9" s="119">
        <f>SUM(AA8:AL8)</f>
        <v>162236219.00021857</v>
      </c>
      <c r="AM9" s="16"/>
      <c r="AN9" s="8"/>
      <c r="AO9" s="8"/>
      <c r="AP9" s="8"/>
      <c r="AQ9" s="8"/>
      <c r="AR9" s="8"/>
      <c r="AS9" s="8"/>
    </row>
    <row r="10" spans="1:45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8"/>
      <c r="P10" s="8"/>
      <c r="Q10" s="8"/>
      <c r="R10" s="8"/>
      <c r="S10" s="8"/>
      <c r="T10" s="7"/>
      <c r="U10" s="8"/>
      <c r="V10" s="8"/>
      <c r="W10" s="8"/>
      <c r="X10" s="8"/>
      <c r="Y10" s="8"/>
      <c r="Z10" s="7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7"/>
      <c r="AM10" s="16"/>
      <c r="AN10" s="8"/>
      <c r="AO10" s="8"/>
      <c r="AP10" s="8"/>
      <c r="AQ10" s="8"/>
      <c r="AR10" s="8"/>
      <c r="AS10" s="8"/>
    </row>
    <row r="11" spans="1:45" x14ac:dyDescent="0.2">
      <c r="A11" s="5" t="s">
        <v>77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/>
      <c r="O11" s="8"/>
      <c r="P11" s="8"/>
      <c r="Q11" s="8"/>
      <c r="R11" s="8"/>
      <c r="S11" s="8"/>
      <c r="T11" s="7"/>
      <c r="U11" s="8"/>
      <c r="V11" s="8"/>
      <c r="W11" s="8"/>
      <c r="X11" s="8"/>
      <c r="Y11" s="8"/>
      <c r="Z11" s="7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7"/>
      <c r="AM11" s="16"/>
      <c r="AN11" s="8"/>
      <c r="AO11" s="8"/>
      <c r="AP11" s="8"/>
      <c r="AQ11" s="8"/>
      <c r="AR11" s="8"/>
      <c r="AS11" s="8"/>
    </row>
    <row r="12" spans="1:45" x14ac:dyDescent="0.2">
      <c r="A12" s="8" t="s">
        <v>78</v>
      </c>
      <c r="B12" s="8"/>
      <c r="C12" s="120">
        <f>Opex!B45</f>
        <v>120500</v>
      </c>
      <c r="D12" s="120">
        <f>Opex!C45</f>
        <v>174500</v>
      </c>
      <c r="E12" s="120">
        <f>Opex!D45</f>
        <v>174500</v>
      </c>
      <c r="F12" s="120">
        <f>Opex!F45</f>
        <v>201000</v>
      </c>
      <c r="G12" s="120">
        <f>Opex!G45</f>
        <v>189500</v>
      </c>
      <c r="H12" s="120">
        <f>Opex!H45</f>
        <v>204500</v>
      </c>
      <c r="I12" s="120">
        <f>Opex!J45</f>
        <v>276000</v>
      </c>
      <c r="J12" s="120">
        <f>Opex!K45</f>
        <v>264500</v>
      </c>
      <c r="K12" s="120">
        <f>Opex!L45</f>
        <v>264500</v>
      </c>
      <c r="L12" s="120">
        <f>Opex!N45</f>
        <v>276000</v>
      </c>
      <c r="M12" s="120">
        <f>Opex!O45</f>
        <v>264500</v>
      </c>
      <c r="N12" s="120">
        <f>Opex!P45</f>
        <v>264500</v>
      </c>
      <c r="O12" s="120">
        <f>Opex!R45</f>
        <v>288000</v>
      </c>
      <c r="P12" s="120">
        <f>Opex!S45</f>
        <v>277225</v>
      </c>
      <c r="Q12" s="120">
        <f>Opex!T45</f>
        <v>277225</v>
      </c>
      <c r="R12" s="120">
        <f>Opex!U45</f>
        <v>288300</v>
      </c>
      <c r="S12" s="120">
        <f>Opex!V45</f>
        <v>277225</v>
      </c>
      <c r="T12" s="120">
        <f>Opex!W45</f>
        <v>277225</v>
      </c>
      <c r="U12" s="120">
        <f>Opex!Y45</f>
        <v>288800</v>
      </c>
      <c r="V12" s="120">
        <f>Opex!Z45</f>
        <v>277725</v>
      </c>
      <c r="W12" s="120">
        <f>Opex!AA45</f>
        <v>277725</v>
      </c>
      <c r="X12" s="120">
        <f>Opex!AC45</f>
        <v>288800</v>
      </c>
      <c r="Y12" s="120">
        <f>Opex!AD45</f>
        <v>277725</v>
      </c>
      <c r="Z12" s="120">
        <f>Opex!AE45</f>
        <v>277725</v>
      </c>
      <c r="AA12" s="120">
        <f>Opex!AG45</f>
        <v>290856.25</v>
      </c>
      <c r="AB12" s="120">
        <f>Opex!AH45</f>
        <v>290856.25</v>
      </c>
      <c r="AC12" s="120">
        <f>Opex!AI45</f>
        <v>290856.25</v>
      </c>
      <c r="AD12" s="120">
        <f>Opex!AK45</f>
        <v>290856.25</v>
      </c>
      <c r="AE12" s="120">
        <f>Opex!AL45</f>
        <v>290856.25</v>
      </c>
      <c r="AF12" s="120">
        <f>Opex!AM45</f>
        <v>290856.25</v>
      </c>
      <c r="AG12" s="120">
        <f>Opex!AO45</f>
        <v>290856.25</v>
      </c>
      <c r="AH12" s="120">
        <f>Opex!AP45</f>
        <v>290856.25</v>
      </c>
      <c r="AI12" s="120">
        <f>Opex!AQ45</f>
        <v>290856.25</v>
      </c>
      <c r="AJ12" s="120">
        <f>Opex!AS45</f>
        <v>288415</v>
      </c>
      <c r="AK12" s="120">
        <f>Opex!AT45</f>
        <v>288415</v>
      </c>
      <c r="AL12" s="120">
        <f>Opex!AU45</f>
        <v>288415</v>
      </c>
      <c r="AM12" s="121">
        <f>AVERAGE(C12:AL12)</f>
        <v>264754.20138888888</v>
      </c>
      <c r="AN12" s="8"/>
      <c r="AO12" s="33"/>
      <c r="AP12" s="8"/>
      <c r="AQ12" s="8"/>
      <c r="AR12" s="8"/>
      <c r="AS12" s="8"/>
    </row>
    <row r="13" spans="1:4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/>
      <c r="O13" s="8"/>
      <c r="P13" s="8"/>
      <c r="Q13" s="8"/>
      <c r="R13" s="8"/>
      <c r="S13" s="8"/>
      <c r="T13" s="7"/>
      <c r="U13" s="8"/>
      <c r="V13" s="8"/>
      <c r="W13" s="8"/>
      <c r="X13" s="8"/>
      <c r="Y13" s="8"/>
      <c r="Z13" s="7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7"/>
      <c r="AM13" s="16"/>
      <c r="AN13" s="8"/>
      <c r="AO13" s="8"/>
      <c r="AP13" s="8"/>
      <c r="AQ13" s="8"/>
      <c r="AR13" s="8"/>
      <c r="AS13" s="8"/>
    </row>
    <row r="14" spans="1:45" x14ac:dyDescent="0.2">
      <c r="A14" s="1" t="s">
        <v>79</v>
      </c>
      <c r="B14" s="8"/>
      <c r="C14" s="122">
        <f t="shared" ref="C14:AL14" si="2">C8-C12</f>
        <v>-120500</v>
      </c>
      <c r="D14" s="122">
        <f t="shared" si="2"/>
        <v>-174500</v>
      </c>
      <c r="E14" s="122">
        <f t="shared" si="2"/>
        <v>-174500</v>
      </c>
      <c r="F14" s="122">
        <f t="shared" si="2"/>
        <v>-173474.63898405351</v>
      </c>
      <c r="G14" s="122">
        <f t="shared" si="2"/>
        <v>-143544.92189990278</v>
      </c>
      <c r="H14" s="122">
        <f t="shared" si="2"/>
        <v>-127905.48847988369</v>
      </c>
      <c r="I14" s="122">
        <f t="shared" si="2"/>
        <v>-148691.06355227865</v>
      </c>
      <c r="J14" s="122">
        <f t="shared" si="2"/>
        <v>-53847.538058114937</v>
      </c>
      <c r="K14" s="122">
        <f t="shared" si="2"/>
        <v>81544.093735282426</v>
      </c>
      <c r="L14" s="122">
        <f t="shared" si="2"/>
        <v>285974.9555524285</v>
      </c>
      <c r="M14" s="122">
        <f t="shared" si="2"/>
        <v>632102.36740473588</v>
      </c>
      <c r="N14" s="122">
        <f t="shared" si="2"/>
        <v>1128647.2402043829</v>
      </c>
      <c r="O14" s="122">
        <f t="shared" si="2"/>
        <v>1909021.1933772182</v>
      </c>
      <c r="P14" s="122">
        <f t="shared" si="2"/>
        <v>2864846.9504592596</v>
      </c>
      <c r="Q14" s="122">
        <f t="shared" si="2"/>
        <v>3962114.7539375257</v>
      </c>
      <c r="R14" s="122">
        <f t="shared" si="2"/>
        <v>5088390.4722401751</v>
      </c>
      <c r="S14" s="122">
        <f t="shared" si="2"/>
        <v>6156049.2523946278</v>
      </c>
      <c r="T14" s="122">
        <f t="shared" si="2"/>
        <v>7052421.7993737701</v>
      </c>
      <c r="U14" s="122">
        <f t="shared" si="2"/>
        <v>7755854.9698312934</v>
      </c>
      <c r="V14" s="122">
        <f t="shared" si="2"/>
        <v>8321236.7109776456</v>
      </c>
      <c r="W14" s="122">
        <f t="shared" si="2"/>
        <v>8752155.5873647667</v>
      </c>
      <c r="X14" s="122">
        <f t="shared" si="2"/>
        <v>9085495.0334287658</v>
      </c>
      <c r="Y14" s="122">
        <f t="shared" si="2"/>
        <v>9383951.2584735323</v>
      </c>
      <c r="Z14" s="122">
        <f t="shared" si="2"/>
        <v>9635449.5779307913</v>
      </c>
      <c r="AA14" s="122">
        <f t="shared" si="2"/>
        <v>10087069.192270093</v>
      </c>
      <c r="AB14" s="122">
        <f t="shared" si="2"/>
        <v>10573608.572912233</v>
      </c>
      <c r="AC14" s="122">
        <f t="shared" si="2"/>
        <v>11082957.96218591</v>
      </c>
      <c r="AD14" s="122">
        <f t="shared" si="2"/>
        <v>11616186.742168857</v>
      </c>
      <c r="AE14" s="122">
        <f t="shared" si="2"/>
        <v>12174414.429861892</v>
      </c>
      <c r="AF14" s="122">
        <f t="shared" si="2"/>
        <v>12758813.027621521</v>
      </c>
      <c r="AG14" s="122">
        <f t="shared" si="2"/>
        <v>13370609.483785877</v>
      </c>
      <c r="AH14" s="122">
        <f t="shared" si="2"/>
        <v>14011088.268660057</v>
      </c>
      <c r="AI14" s="122">
        <f t="shared" si="2"/>
        <v>14681594.071269194</v>
      </c>
      <c r="AJ14" s="122">
        <f t="shared" si="2"/>
        <v>15385975.872541064</v>
      </c>
      <c r="AK14" s="122">
        <f t="shared" si="2"/>
        <v>16120824.900845584</v>
      </c>
      <c r="AL14" s="122">
        <f t="shared" si="2"/>
        <v>16890125.226096265</v>
      </c>
      <c r="AM14" s="123">
        <f>SUM(C14:AL14)</f>
        <v>239731560.31593052</v>
      </c>
      <c r="AN14" s="124">
        <f>AM14/AM8</f>
        <v>0.96176262710887273</v>
      </c>
      <c r="AO14" s="8"/>
      <c r="AP14" s="8"/>
      <c r="AQ14" s="8"/>
      <c r="AR14" s="8"/>
      <c r="AS14" s="8"/>
    </row>
    <row r="15" spans="1:45" x14ac:dyDescent="0.2">
      <c r="A15" s="1" t="s">
        <v>80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5" t="s">
        <v>73</v>
      </c>
      <c r="N15" s="123">
        <f>SUM(C14:N14)</f>
        <v>1011305.0059225963</v>
      </c>
      <c r="O15" s="8"/>
      <c r="P15" s="8"/>
      <c r="Q15" s="8"/>
      <c r="R15" s="8"/>
      <c r="S15" s="5" t="s">
        <v>74</v>
      </c>
      <c r="T15" s="123">
        <f>SUM(C14:T14)</f>
        <v>28044149.427705176</v>
      </c>
      <c r="U15" s="8"/>
      <c r="V15" s="8"/>
      <c r="W15" s="8"/>
      <c r="X15" s="8"/>
      <c r="Y15" s="5" t="s">
        <v>75</v>
      </c>
      <c r="Z15" s="123">
        <f>SUM(O14:Z14)</f>
        <v>79966987.559789374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5" t="s">
        <v>76</v>
      </c>
      <c r="AL15" s="123">
        <f>SUM(AA14:AL14)</f>
        <v>158753267.75021857</v>
      </c>
      <c r="AM15" s="8"/>
      <c r="AN15" s="8"/>
      <c r="AO15" s="8"/>
      <c r="AP15" s="8"/>
      <c r="AQ15" s="8"/>
      <c r="AR15" s="8"/>
      <c r="AS15" s="8"/>
    </row>
    <row r="16" spans="1:45" x14ac:dyDescent="0.2">
      <c r="A16" s="8"/>
      <c r="B16" s="8"/>
      <c r="C16" s="8"/>
      <c r="D16" s="8"/>
      <c r="E16" s="8"/>
      <c r="F16" s="8"/>
      <c r="G16" s="8"/>
      <c r="H16" s="8"/>
      <c r="I16" s="8"/>
      <c r="J16" s="125">
        <f>SUM(C14:J14)</f>
        <v>-1116963.6509742334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7">
        <f>Z14/Z5</f>
        <v>0.9719842520862807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x14ac:dyDescent="0.2">
      <c r="A17" s="8" t="s">
        <v>81</v>
      </c>
      <c r="B17" s="8"/>
      <c r="C17" s="8"/>
      <c r="D17" s="8"/>
      <c r="E17" s="17">
        <f>-Capex!E24</f>
        <v>-399000</v>
      </c>
      <c r="F17" s="8"/>
      <c r="G17" s="8"/>
      <c r="H17" s="20">
        <f>-Capex!I24</f>
        <v>-318000</v>
      </c>
      <c r="I17" s="8"/>
      <c r="J17" s="8"/>
      <c r="K17" s="20">
        <f>-Capex!M24</f>
        <v>-72000</v>
      </c>
      <c r="L17" s="8"/>
      <c r="M17" s="8"/>
      <c r="N17" s="20">
        <f>-Capex!Q24</f>
        <v>-296000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x14ac:dyDescent="0.2">
      <c r="A18" s="8"/>
      <c r="B18" s="8"/>
      <c r="C18" s="20">
        <f>Capex!B26</f>
        <v>293000</v>
      </c>
      <c r="D18" s="20">
        <f>Capex!C26</f>
        <v>53000</v>
      </c>
      <c r="E18" s="20">
        <f>Capex!D26</f>
        <v>53000</v>
      </c>
      <c r="F18" s="20">
        <f>Capex!F26</f>
        <v>53000</v>
      </c>
      <c r="G18" s="126">
        <f>Capex!G26</f>
        <v>53000</v>
      </c>
      <c r="H18" s="126">
        <f>Capex!H26</f>
        <v>53000</v>
      </c>
      <c r="I18" s="126">
        <f>Capex!J26</f>
        <v>8000</v>
      </c>
      <c r="J18" s="126">
        <f>Capex!K26</f>
        <v>8000</v>
      </c>
      <c r="K18" s="126">
        <f>Capex!L26</f>
        <v>8000</v>
      </c>
      <c r="L18" s="126">
        <f>Capex!N26</f>
        <v>8000</v>
      </c>
      <c r="M18" s="126">
        <f>Capex!N26</f>
        <v>8000</v>
      </c>
      <c r="N18" s="126">
        <f>Capex!O26</f>
        <v>8000</v>
      </c>
      <c r="O18" s="126">
        <f>Capex!P26</f>
        <v>8000</v>
      </c>
      <c r="P18" s="126">
        <f>Capex!S26</f>
        <v>8000</v>
      </c>
      <c r="Q18" s="126">
        <f>Capex!R26</f>
        <v>8000</v>
      </c>
      <c r="R18" s="126">
        <f>Capex!S26</f>
        <v>8000</v>
      </c>
      <c r="S18" s="126">
        <f>Capex!T26</f>
        <v>8000</v>
      </c>
      <c r="T18" s="126">
        <f>Capex!X26</f>
        <v>8000</v>
      </c>
      <c r="U18" s="126">
        <f>Capex!V26</f>
        <v>8000</v>
      </c>
      <c r="V18" s="126">
        <f>Capex!W26</f>
        <v>8000</v>
      </c>
      <c r="W18" s="126">
        <f>Capex!X26</f>
        <v>8000</v>
      </c>
      <c r="X18" s="126">
        <f>Capex!AD26</f>
        <v>8000</v>
      </c>
      <c r="Y18" s="126">
        <f>Capex!Z26</f>
        <v>8000</v>
      </c>
      <c r="Z18" s="126">
        <f>Capex!AA26</f>
        <v>8000</v>
      </c>
      <c r="AA18" s="126">
        <f>Capex!AB26</f>
        <v>8000</v>
      </c>
      <c r="AB18" s="126">
        <f>Capex!AI26</f>
        <v>8000</v>
      </c>
      <c r="AC18" s="126">
        <f>Capex!AD26</f>
        <v>8000</v>
      </c>
      <c r="AD18" s="126">
        <f>Capex!AE26</f>
        <v>8000</v>
      </c>
      <c r="AE18" s="126">
        <f>Capex!AF26</f>
        <v>8000</v>
      </c>
      <c r="AF18" s="126">
        <f>Capex!AN26</f>
        <v>8000</v>
      </c>
      <c r="AG18" s="126">
        <f>Capex!AH26</f>
        <v>8000</v>
      </c>
      <c r="AH18" s="126">
        <f>Capex!AI26</f>
        <v>8000</v>
      </c>
      <c r="AI18" s="126">
        <f>Capex!AJ26</f>
        <v>8000</v>
      </c>
      <c r="AJ18" s="126">
        <f>Capex!AT26</f>
        <v>8000</v>
      </c>
      <c r="AK18" s="126">
        <f>Capex!AL26</f>
        <v>8000</v>
      </c>
      <c r="AL18" s="126">
        <f>Capex!AM26</f>
        <v>8000</v>
      </c>
      <c r="AM18" s="8"/>
      <c r="AN18" s="8"/>
      <c r="AO18" s="8"/>
      <c r="AP18" s="8"/>
      <c r="AQ18" s="8"/>
      <c r="AR18" s="8"/>
      <c r="AS18" s="8"/>
    </row>
    <row r="19" spans="1:45" x14ac:dyDescent="0.2">
      <c r="A19" s="17"/>
      <c r="B19" s="127">
        <v>4350000</v>
      </c>
      <c r="C19" s="128">
        <f t="shared" ref="C19:U19" si="3">B19+C14-C18</f>
        <v>3936500</v>
      </c>
      <c r="D19" s="128">
        <f t="shared" si="3"/>
        <v>3709000</v>
      </c>
      <c r="E19" s="128">
        <f t="shared" si="3"/>
        <v>3481500</v>
      </c>
      <c r="F19" s="128">
        <f t="shared" si="3"/>
        <v>3255025.3610159466</v>
      </c>
      <c r="G19" s="128">
        <f t="shared" si="3"/>
        <v>3058480.439116044</v>
      </c>
      <c r="H19" s="128">
        <f t="shared" si="3"/>
        <v>2877574.9506361601</v>
      </c>
      <c r="I19" s="128">
        <f t="shared" si="3"/>
        <v>2720883.8870838815</v>
      </c>
      <c r="J19" s="128">
        <f t="shared" si="3"/>
        <v>2659036.3490257664</v>
      </c>
      <c r="K19" s="128">
        <f t="shared" si="3"/>
        <v>2732580.4427610487</v>
      </c>
      <c r="L19" s="128">
        <f t="shared" si="3"/>
        <v>3010555.3983134772</v>
      </c>
      <c r="M19" s="128">
        <f t="shared" si="3"/>
        <v>3634657.7657182133</v>
      </c>
      <c r="N19" s="128">
        <f t="shared" si="3"/>
        <v>4755305.005922596</v>
      </c>
      <c r="O19" s="128">
        <f t="shared" si="3"/>
        <v>6656326.1992998142</v>
      </c>
      <c r="P19" s="128">
        <f t="shared" si="3"/>
        <v>9513173.1497590728</v>
      </c>
      <c r="Q19" s="128">
        <f t="shared" si="3"/>
        <v>13467287.903696598</v>
      </c>
      <c r="R19" s="128">
        <f t="shared" si="3"/>
        <v>18547678.375936773</v>
      </c>
      <c r="S19" s="128">
        <f t="shared" si="3"/>
        <v>24695727.6283314</v>
      </c>
      <c r="T19" s="128">
        <f t="shared" si="3"/>
        <v>31740149.427705169</v>
      </c>
      <c r="U19" s="128">
        <f t="shared" si="3"/>
        <v>39488004.397536464</v>
      </c>
      <c r="V19" s="127">
        <f t="shared" ref="V19:AL19" si="4">U19+V17+V14</f>
        <v>47809241.108514108</v>
      </c>
      <c r="W19" s="127">
        <f t="shared" si="4"/>
        <v>56561396.695878878</v>
      </c>
      <c r="X19" s="127">
        <f t="shared" si="4"/>
        <v>65646891.729307644</v>
      </c>
      <c r="Y19" s="127">
        <f t="shared" si="4"/>
        <v>75030842.987781182</v>
      </c>
      <c r="Z19" s="127">
        <f t="shared" si="4"/>
        <v>84666292.565711975</v>
      </c>
      <c r="AA19" s="127">
        <f t="shared" si="4"/>
        <v>94753361.757982075</v>
      </c>
      <c r="AB19" s="127">
        <f t="shared" si="4"/>
        <v>105326970.33089431</v>
      </c>
      <c r="AC19" s="127">
        <f t="shared" si="4"/>
        <v>116409928.29308021</v>
      </c>
      <c r="AD19" s="127">
        <f t="shared" si="4"/>
        <v>128026115.03524907</v>
      </c>
      <c r="AE19" s="127">
        <f t="shared" si="4"/>
        <v>140200529.46511096</v>
      </c>
      <c r="AF19" s="127">
        <f t="shared" si="4"/>
        <v>152959342.49273247</v>
      </c>
      <c r="AG19" s="127">
        <f t="shared" si="4"/>
        <v>166329951.97651833</v>
      </c>
      <c r="AH19" s="127">
        <f t="shared" si="4"/>
        <v>180341040.2451784</v>
      </c>
      <c r="AI19" s="127">
        <f t="shared" si="4"/>
        <v>195022634.31644759</v>
      </c>
      <c r="AJ19" s="127">
        <f t="shared" si="4"/>
        <v>210408610.18898866</v>
      </c>
      <c r="AK19" s="127">
        <f t="shared" si="4"/>
        <v>226529435.08983424</v>
      </c>
      <c r="AL19" s="127">
        <f t="shared" si="4"/>
        <v>243419560.31593052</v>
      </c>
      <c r="AM19" s="17"/>
      <c r="AN19" s="17"/>
      <c r="AO19" s="17"/>
      <c r="AP19" s="17"/>
      <c r="AQ19" s="17"/>
      <c r="AR19" s="17"/>
      <c r="AS19" s="17"/>
    </row>
    <row r="20" spans="1:4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45" x14ac:dyDescent="0.2">
      <c r="A26" s="8"/>
      <c r="B26" s="8"/>
      <c r="C26" s="8"/>
      <c r="D26" s="8"/>
      <c r="E26" s="8"/>
      <c r="F26" s="12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</row>
    <row r="28" spans="1:4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 spans="1:4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 spans="1:4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 spans="1:4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1:4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 spans="1:4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</row>
    <row r="37" spans="1:4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spans="1:4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spans="1:4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pans="1:4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spans="1:4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1:4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spans="1:4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spans="1:4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4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pans="1:4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spans="1:4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spans="1:4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spans="1:4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 spans="1:4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spans="1:4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1:4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spans="1:4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spans="1:4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 spans="1:4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spans="1:4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 spans="1:4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 spans="1:4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 spans="1:4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spans="1:4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 spans="1:4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 spans="1:4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 spans="1:4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 spans="1:4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 spans="1:4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 spans="1:4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 spans="1:4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</row>
    <row r="83" spans="1:4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spans="1:4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spans="1:4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</row>
    <row r="86" spans="1:4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spans="1:4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</row>
    <row r="88" spans="1:4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</row>
    <row r="89" spans="1:4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 spans="1:4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 spans="1:4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</row>
    <row r="93" spans="1:4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 spans="1:4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spans="1:4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</row>
    <row r="97" spans="1:4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</row>
    <row r="98" spans="1:4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spans="1:4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spans="1:4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 spans="1:4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 spans="1:4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</row>
    <row r="104" spans="1:4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 spans="1:4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</row>
    <row r="107" spans="1:4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spans="1:4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</row>
    <row r="109" spans="1:4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</row>
    <row r="110" spans="1:4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</row>
    <row r="112" spans="1:4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</row>
    <row r="113" spans="1:4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</row>
    <row r="114" spans="1:4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</row>
    <row r="116" spans="1:4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 spans="1:4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</row>
    <row r="119" spans="1:4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spans="1:4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</row>
    <row r="121" spans="1:4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</row>
    <row r="122" spans="1:4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</row>
    <row r="124" spans="1:4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</row>
    <row r="125" spans="1:4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</row>
    <row r="126" spans="1:4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</row>
    <row r="128" spans="1:4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 spans="1:4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</row>
    <row r="131" spans="1:4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spans="1:4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</row>
    <row r="133" spans="1:4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</row>
    <row r="134" spans="1:4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</row>
    <row r="136" spans="1:4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</row>
    <row r="137" spans="1:4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</row>
    <row r="138" spans="1:4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</row>
    <row r="140" spans="1:4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 spans="1:4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</row>
    <row r="143" spans="1:4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spans="1:4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</row>
    <row r="145" spans="1:4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</row>
    <row r="146" spans="1:4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</row>
    <row r="148" spans="1:4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</row>
    <row r="149" spans="1:4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</row>
    <row r="150" spans="1:4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</row>
    <row r="152" spans="1:4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 spans="1:4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</row>
    <row r="155" spans="1:4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spans="1:4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</row>
    <row r="157" spans="1:4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</row>
    <row r="158" spans="1:4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</row>
    <row r="160" spans="1:4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</row>
    <row r="161" spans="1:4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</row>
    <row r="162" spans="1:4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 spans="1:4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</row>
    <row r="165" spans="1:4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</row>
    <row r="167" spans="1:4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spans="1:4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</row>
    <row r="169" spans="1:4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</row>
    <row r="170" spans="1:4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spans="1:4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</row>
    <row r="172" spans="1:4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</row>
    <row r="173" spans="1:4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</row>
    <row r="174" spans="1:4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</row>
    <row r="176" spans="1:4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</row>
    <row r="177" spans="1:4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</row>
    <row r="179" spans="1:4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spans="1:4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 spans="1:4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</row>
    <row r="182" spans="1:4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spans="1:4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</row>
    <row r="184" spans="1:4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</row>
    <row r="185" spans="1:4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</row>
    <row r="186" spans="1:4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 spans="1:4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</row>
    <row r="189" spans="1:4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</row>
    <row r="191" spans="1:4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spans="1:4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</row>
    <row r="193" spans="1:4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</row>
    <row r="194" spans="1:4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spans="1:4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</row>
    <row r="196" spans="1:4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</row>
    <row r="197" spans="1:4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</row>
    <row r="198" spans="1:4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</row>
    <row r="200" spans="1:4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</row>
    <row r="201" spans="1:4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</row>
    <row r="203" spans="1:4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 spans="1:4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</row>
    <row r="205" spans="1:4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</row>
    <row r="206" spans="1:4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 spans="1:4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</row>
    <row r="208" spans="1:4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</row>
    <row r="209" spans="1:4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</row>
    <row r="210" spans="1:4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</row>
    <row r="212" spans="1:4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</row>
    <row r="213" spans="1:4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</row>
    <row r="215" spans="1:4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4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</row>
    <row r="217" spans="1:4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</row>
    <row r="218" spans="1:4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 spans="1:4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</row>
    <row r="220" spans="1:4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</row>
    <row r="221" spans="1:4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</row>
    <row r="222" spans="1:4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</row>
    <row r="224" spans="1:4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</row>
    <row r="225" spans="1:4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</row>
    <row r="227" spans="1:4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 spans="1:4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</row>
    <row r="229" spans="1:4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</row>
    <row r="230" spans="1:4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 spans="1:4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</row>
    <row r="232" spans="1:4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</row>
    <row r="233" spans="1:4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</row>
    <row r="234" spans="1:4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</row>
    <row r="236" spans="1:4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</row>
    <row r="237" spans="1:4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</row>
    <row r="239" spans="1:4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 spans="1:4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</row>
    <row r="241" spans="1:4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</row>
    <row r="242" spans="1:4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 spans="1:4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</row>
    <row r="244" spans="1:4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</row>
    <row r="245" spans="1:4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</row>
    <row r="246" spans="1:4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</row>
    <row r="248" spans="1:4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</row>
    <row r="249" spans="1:4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</row>
    <row r="251" spans="1:4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 spans="1:4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</row>
    <row r="253" spans="1:4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</row>
    <row r="254" spans="1:4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 spans="1:4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</row>
    <row r="256" spans="1:4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</row>
    <row r="257" spans="1:4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</row>
    <row r="258" spans="1:4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</row>
    <row r="260" spans="1:4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</row>
    <row r="261" spans="1:4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</row>
    <row r="263" spans="1:4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 spans="1:4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</row>
    <row r="265" spans="1:4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</row>
    <row r="266" spans="1:4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 spans="1:4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</row>
    <row r="268" spans="1:4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</row>
    <row r="269" spans="1:4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</row>
    <row r="270" spans="1:4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</row>
    <row r="271" spans="1:4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</row>
    <row r="272" spans="1:4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</row>
    <row r="273" spans="1:4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</row>
    <row r="274" spans="1:4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 spans="1:4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</row>
    <row r="276" spans="1:4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</row>
    <row r="277" spans="1:4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</row>
    <row r="278" spans="1:4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</row>
    <row r="279" spans="1:4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</row>
    <row r="280" spans="1:4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</row>
    <row r="281" spans="1:4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</row>
    <row r="282" spans="1:4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</row>
    <row r="283" spans="1:4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</row>
    <row r="284" spans="1:4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</row>
    <row r="285" spans="1:4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</row>
    <row r="286" spans="1:4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</row>
    <row r="287" spans="1:4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</row>
    <row r="288" spans="1:4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</row>
    <row r="289" spans="1:4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</row>
    <row r="290" spans="1:4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</row>
    <row r="291" spans="1:4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</row>
    <row r="292" spans="1:4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</row>
    <row r="293" spans="1:4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</row>
    <row r="294" spans="1:4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</row>
    <row r="295" spans="1:4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</row>
    <row r="296" spans="1:4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</row>
    <row r="297" spans="1:4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</row>
    <row r="298" spans="1:4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</row>
    <row r="299" spans="1:4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</row>
    <row r="300" spans="1:4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</row>
    <row r="301" spans="1:4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</row>
    <row r="302" spans="1:4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</row>
    <row r="303" spans="1:4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</row>
    <row r="304" spans="1:4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</row>
    <row r="305" spans="1:4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</row>
    <row r="306" spans="1:4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</row>
    <row r="307" spans="1:4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</row>
    <row r="308" spans="1:4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</row>
    <row r="309" spans="1:4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</row>
    <row r="310" spans="1:4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</row>
    <row r="311" spans="1:4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</row>
    <row r="312" spans="1:4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</row>
    <row r="313" spans="1:4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</row>
    <row r="314" spans="1:4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 spans="1:4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</row>
    <row r="316" spans="1:4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 spans="1:4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 spans="1:4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 spans="1:4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 spans="1:4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 spans="1:4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 spans="1:4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 spans="1:4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 spans="1:4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 spans="1:4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 spans="1:4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 spans="1:4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 spans="1:4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 spans="1:4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 spans="1:4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 spans="1:4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</row>
    <row r="332" spans="1:4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 spans="1:4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 spans="1:4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 spans="1:4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 spans="1:4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</row>
    <row r="337" spans="1:4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 spans="1:4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 spans="1:4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 spans="1:4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 spans="1:4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 spans="1:4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 spans="1:4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 spans="1:4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 spans="1:4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 spans="1:4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 spans="1:4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 spans="1:4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 spans="1:4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 spans="1:4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 spans="1:4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 spans="1:4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 spans="1:4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 spans="1:4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 spans="1:4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 spans="1:4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 spans="1:4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 spans="1:4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 spans="1:4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 spans="1:4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 spans="1:4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 spans="1:4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 spans="1:4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 spans="1:4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 spans="1:4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 spans="1:4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 spans="1:4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 spans="1:4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 spans="1:4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 spans="1:4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 spans="1:4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spans="1:4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 spans="1:4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 spans="1:4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 spans="1:4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 spans="1:4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 spans="1:4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 spans="1:4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 spans="1:4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 spans="1:4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 spans="1:4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 spans="1:4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 spans="1:4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</row>
    <row r="384" spans="1:4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</row>
    <row r="385" spans="1:4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</row>
    <row r="386" spans="1:4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</row>
    <row r="387" spans="1:4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</row>
    <row r="388" spans="1:4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</row>
    <row r="389" spans="1:4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</row>
    <row r="390" spans="1:4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</row>
    <row r="391" spans="1:4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</row>
    <row r="392" spans="1:4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</row>
    <row r="393" spans="1:4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</row>
    <row r="394" spans="1:4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</row>
    <row r="395" spans="1:4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</row>
    <row r="396" spans="1:4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</row>
    <row r="397" spans="1:4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</row>
    <row r="398" spans="1:4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</row>
    <row r="399" spans="1:4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</row>
    <row r="400" spans="1:4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</row>
    <row r="401" spans="1:4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</row>
    <row r="402" spans="1:4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</row>
    <row r="403" spans="1:4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</row>
    <row r="404" spans="1:4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</row>
    <row r="405" spans="1:4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</row>
    <row r="406" spans="1:4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</row>
    <row r="407" spans="1:4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</row>
    <row r="408" spans="1:4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</row>
    <row r="409" spans="1:4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</row>
    <row r="410" spans="1:4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</row>
    <row r="411" spans="1:4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</row>
    <row r="412" spans="1:4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</row>
    <row r="413" spans="1:4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</row>
    <row r="414" spans="1:4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</row>
    <row r="415" spans="1:4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</row>
    <row r="416" spans="1:4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</row>
    <row r="417" spans="1:4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</row>
    <row r="418" spans="1:4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</row>
    <row r="419" spans="1:4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</row>
    <row r="420" spans="1:4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</row>
    <row r="421" spans="1:4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</row>
    <row r="422" spans="1:4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</row>
    <row r="423" spans="1:4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</row>
    <row r="424" spans="1:4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</row>
    <row r="425" spans="1:4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</row>
    <row r="426" spans="1:4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</row>
    <row r="427" spans="1:4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</row>
    <row r="428" spans="1:4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</row>
    <row r="429" spans="1:4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</row>
    <row r="430" spans="1:4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</row>
    <row r="431" spans="1:4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</row>
    <row r="432" spans="1:4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</row>
    <row r="433" spans="1:4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</row>
    <row r="434" spans="1:4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</row>
    <row r="435" spans="1:4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</row>
    <row r="436" spans="1:4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</row>
    <row r="437" spans="1:4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</row>
    <row r="438" spans="1:4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</row>
    <row r="439" spans="1:4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</row>
    <row r="440" spans="1:4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</row>
    <row r="441" spans="1:4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</row>
    <row r="442" spans="1:4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</row>
    <row r="443" spans="1:4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</row>
    <row r="444" spans="1:4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</row>
    <row r="445" spans="1:4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</row>
    <row r="446" spans="1:4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</row>
    <row r="447" spans="1:4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</row>
    <row r="448" spans="1:4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</row>
    <row r="449" spans="1:4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</row>
    <row r="450" spans="1:4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</row>
    <row r="451" spans="1:4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</row>
    <row r="452" spans="1:4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</row>
    <row r="453" spans="1:4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</row>
    <row r="454" spans="1:4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</row>
    <row r="455" spans="1:4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</row>
    <row r="456" spans="1:4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</row>
    <row r="457" spans="1:4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</row>
    <row r="458" spans="1:4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</row>
    <row r="459" spans="1:4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</row>
    <row r="460" spans="1:4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</row>
    <row r="461" spans="1:4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</row>
    <row r="462" spans="1:4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</row>
    <row r="463" spans="1:4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</row>
    <row r="464" spans="1:4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</row>
    <row r="465" spans="1:4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</row>
    <row r="466" spans="1:4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</row>
    <row r="467" spans="1:4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</row>
    <row r="468" spans="1:4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</row>
    <row r="469" spans="1:4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</row>
    <row r="470" spans="1:4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</row>
    <row r="471" spans="1:4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</row>
    <row r="472" spans="1:4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</row>
    <row r="473" spans="1:4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</row>
    <row r="474" spans="1:4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</row>
    <row r="475" spans="1:4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</row>
    <row r="476" spans="1:4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</row>
    <row r="477" spans="1:4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</row>
    <row r="478" spans="1:4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</row>
    <row r="479" spans="1:4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</row>
    <row r="480" spans="1:4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</row>
    <row r="481" spans="1:4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</row>
    <row r="482" spans="1:4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</row>
    <row r="483" spans="1:4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</row>
    <row r="484" spans="1:4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</row>
    <row r="485" spans="1:4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</row>
    <row r="486" spans="1:4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</row>
    <row r="487" spans="1:4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</row>
    <row r="488" spans="1:4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</row>
    <row r="489" spans="1:4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</row>
    <row r="490" spans="1:4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</row>
    <row r="491" spans="1:4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</row>
    <row r="492" spans="1:4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</row>
    <row r="493" spans="1:4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</row>
    <row r="494" spans="1:4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</row>
    <row r="495" spans="1:4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</row>
    <row r="496" spans="1:4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</row>
    <row r="497" spans="1:4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</row>
    <row r="498" spans="1:4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</row>
    <row r="499" spans="1:4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</row>
    <row r="500" spans="1:4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</row>
    <row r="501" spans="1:4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</row>
    <row r="502" spans="1:4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</row>
    <row r="503" spans="1:4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</row>
    <row r="504" spans="1:4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</row>
    <row r="505" spans="1:4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</row>
    <row r="506" spans="1:4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</row>
    <row r="507" spans="1:4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</row>
    <row r="508" spans="1:4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</row>
    <row r="509" spans="1:4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</row>
    <row r="510" spans="1:4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</row>
    <row r="511" spans="1:4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</row>
    <row r="512" spans="1:4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</row>
    <row r="513" spans="1:4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</row>
    <row r="514" spans="1:4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</row>
    <row r="515" spans="1:4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</row>
    <row r="516" spans="1:4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</row>
    <row r="517" spans="1:4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</row>
    <row r="518" spans="1:4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</row>
    <row r="519" spans="1:4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</row>
    <row r="520" spans="1:4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</row>
    <row r="521" spans="1:4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</row>
    <row r="522" spans="1:4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</row>
    <row r="523" spans="1:4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</row>
    <row r="524" spans="1:4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</row>
    <row r="525" spans="1:4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</row>
    <row r="526" spans="1:4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</row>
    <row r="527" spans="1:4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</row>
    <row r="528" spans="1:4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</row>
    <row r="529" spans="1:4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</row>
    <row r="530" spans="1:4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</row>
    <row r="531" spans="1:4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</row>
    <row r="532" spans="1:4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</row>
    <row r="533" spans="1:4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</row>
    <row r="534" spans="1:4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</row>
    <row r="535" spans="1:4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</row>
    <row r="536" spans="1:4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</row>
    <row r="537" spans="1:4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</row>
    <row r="538" spans="1:4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</row>
    <row r="539" spans="1:4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</row>
    <row r="540" spans="1:4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</row>
    <row r="541" spans="1:4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</row>
    <row r="542" spans="1:4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</row>
    <row r="543" spans="1:4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</row>
    <row r="544" spans="1:4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</row>
    <row r="545" spans="1:4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</row>
    <row r="546" spans="1:4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</row>
    <row r="547" spans="1:4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</row>
    <row r="548" spans="1:4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</row>
    <row r="549" spans="1:4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</row>
    <row r="550" spans="1:4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</row>
    <row r="551" spans="1:4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</row>
    <row r="552" spans="1:4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</row>
    <row r="553" spans="1:4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</row>
    <row r="554" spans="1:4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</row>
    <row r="555" spans="1:4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</row>
    <row r="556" spans="1:4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</row>
    <row r="557" spans="1:4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</row>
    <row r="558" spans="1:4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</row>
    <row r="559" spans="1:4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</row>
    <row r="560" spans="1:4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</row>
    <row r="561" spans="1:4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</row>
    <row r="562" spans="1:4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</row>
    <row r="563" spans="1:4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</row>
    <row r="564" spans="1:4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</row>
    <row r="565" spans="1:4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</row>
    <row r="566" spans="1:4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</row>
    <row r="567" spans="1:4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</row>
    <row r="568" spans="1:4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</row>
    <row r="569" spans="1:4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</row>
    <row r="570" spans="1:4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</row>
    <row r="571" spans="1:4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</row>
    <row r="572" spans="1:4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</row>
    <row r="573" spans="1:4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</row>
    <row r="574" spans="1:4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</row>
    <row r="575" spans="1:4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</row>
    <row r="576" spans="1:4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</row>
    <row r="577" spans="1:4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</row>
    <row r="578" spans="1:4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</row>
    <row r="579" spans="1:4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</row>
    <row r="580" spans="1:4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</row>
    <row r="581" spans="1:4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</row>
    <row r="582" spans="1:4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</row>
    <row r="583" spans="1:4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</row>
    <row r="584" spans="1:4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</row>
    <row r="585" spans="1:4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</row>
    <row r="586" spans="1:4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</row>
    <row r="587" spans="1:4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</row>
    <row r="588" spans="1:4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</row>
    <row r="589" spans="1:4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</row>
    <row r="590" spans="1:4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</row>
    <row r="591" spans="1:4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</row>
    <row r="592" spans="1:4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</row>
    <row r="593" spans="1:4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</row>
    <row r="594" spans="1:4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</row>
    <row r="595" spans="1:4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</row>
    <row r="596" spans="1:4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</row>
    <row r="597" spans="1:4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</row>
    <row r="598" spans="1:4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</row>
    <row r="599" spans="1:4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</row>
    <row r="600" spans="1:4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</row>
    <row r="601" spans="1:4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</row>
    <row r="602" spans="1:4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</row>
    <row r="603" spans="1:4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</row>
    <row r="604" spans="1:4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</row>
    <row r="605" spans="1:4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</row>
    <row r="606" spans="1:4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</row>
    <row r="607" spans="1:4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</row>
    <row r="608" spans="1:4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</row>
    <row r="609" spans="1:4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</row>
    <row r="610" spans="1:4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</row>
    <row r="611" spans="1:4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</row>
    <row r="612" spans="1:4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</row>
    <row r="613" spans="1:4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</row>
    <row r="614" spans="1:4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</row>
    <row r="615" spans="1:4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</row>
    <row r="616" spans="1:4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</row>
    <row r="617" spans="1:4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</row>
    <row r="618" spans="1:4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</row>
    <row r="619" spans="1:4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</row>
    <row r="620" spans="1:4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</row>
    <row r="621" spans="1:4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</row>
    <row r="622" spans="1:4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</row>
    <row r="623" spans="1:4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</row>
    <row r="624" spans="1:4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</row>
    <row r="625" spans="1:4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</row>
    <row r="626" spans="1:4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</row>
    <row r="627" spans="1:4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</row>
    <row r="628" spans="1:4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</row>
    <row r="629" spans="1:4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</row>
    <row r="630" spans="1:4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</row>
    <row r="631" spans="1:4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</row>
    <row r="632" spans="1:4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</row>
    <row r="633" spans="1:4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</row>
    <row r="634" spans="1:4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</row>
    <row r="635" spans="1:4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</row>
    <row r="636" spans="1:4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</row>
    <row r="637" spans="1:4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</row>
    <row r="638" spans="1:4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</row>
    <row r="639" spans="1:4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</row>
    <row r="640" spans="1:4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</row>
    <row r="641" spans="1:4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</row>
    <row r="642" spans="1:4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</row>
    <row r="643" spans="1:4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</row>
    <row r="644" spans="1:4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</row>
    <row r="645" spans="1:4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</row>
    <row r="646" spans="1:4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</row>
    <row r="647" spans="1:4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</row>
    <row r="648" spans="1:4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</row>
    <row r="649" spans="1:4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</row>
    <row r="650" spans="1:4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</row>
    <row r="651" spans="1:4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</row>
    <row r="652" spans="1:4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</row>
    <row r="653" spans="1:4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</row>
    <row r="654" spans="1:4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</row>
    <row r="655" spans="1:4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</row>
    <row r="656" spans="1:4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</row>
    <row r="657" spans="1:4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</row>
    <row r="658" spans="1:4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</row>
    <row r="659" spans="1:4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</row>
    <row r="660" spans="1:4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</row>
    <row r="661" spans="1:4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</row>
    <row r="662" spans="1:4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</row>
    <row r="663" spans="1:4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 spans="1:4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 spans="1:4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 spans="1:4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 spans="1:4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 spans="1:4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 spans="1:4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 spans="1:4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 spans="1:4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 spans="1:4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 spans="1:4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 spans="1:4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 spans="1:4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 spans="1:4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 spans="1:4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 spans="1:4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 spans="1:4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 spans="1:4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 spans="1:4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 spans="1:4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 spans="1:4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 spans="1:4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 spans="1:4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 spans="1:4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 spans="1:4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 spans="1:4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 spans="1:4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 spans="1:4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 spans="1:4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 spans="1:4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 spans="1:4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 spans="1:4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 spans="1:4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 spans="1:4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 spans="1:4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 spans="1:4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 spans="1:4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 spans="1:4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 spans="1:4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 spans="1:4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 spans="1:4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 spans="1:4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 spans="1:4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 spans="1:4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 spans="1:4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 spans="1:4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 spans="1:4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 spans="1:4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 spans="1:4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 spans="1:4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 spans="1:4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 spans="1:4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 spans="1:4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 spans="1:4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 spans="1:4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 spans="1:4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 spans="1:4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 spans="1:4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 spans="1:4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 spans="1:4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 spans="1:4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 spans="1:4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 spans="1:4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 spans="1:4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 spans="1:4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 spans="1:4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 spans="1:4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 spans="1:4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 spans="1:4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 spans="1:4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 spans="1:4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 spans="1:4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 spans="1:4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 spans="1:4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 spans="1:4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 spans="1:4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 spans="1:4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 spans="1:4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 spans="1:4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 spans="1:4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 spans="1:4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 spans="1:4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 spans="1:4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 spans="1:4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 spans="1:4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 spans="1:4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 spans="1:4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 spans="1:4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 spans="1:4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 spans="1:4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 spans="1:4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 spans="1:4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 spans="1:4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</row>
    <row r="756" spans="1:4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</row>
    <row r="757" spans="1:4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</row>
    <row r="758" spans="1:4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</row>
    <row r="759" spans="1:4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</row>
    <row r="760" spans="1:4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</row>
    <row r="761" spans="1:4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</row>
    <row r="762" spans="1:4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</row>
    <row r="763" spans="1:4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</row>
    <row r="764" spans="1:4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</row>
    <row r="765" spans="1:4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</row>
    <row r="766" spans="1:4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</row>
    <row r="767" spans="1:4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</row>
    <row r="768" spans="1:4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</row>
    <row r="769" spans="1:4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</row>
    <row r="770" spans="1:4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</row>
    <row r="771" spans="1:4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</row>
    <row r="772" spans="1:4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</row>
    <row r="773" spans="1:4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</row>
    <row r="774" spans="1:4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</row>
    <row r="775" spans="1:4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</row>
    <row r="776" spans="1:4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</row>
    <row r="777" spans="1:4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</row>
    <row r="778" spans="1:4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</row>
    <row r="779" spans="1:4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</row>
    <row r="780" spans="1:4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</row>
    <row r="781" spans="1:4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</row>
    <row r="782" spans="1:4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</row>
    <row r="783" spans="1:4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</row>
    <row r="784" spans="1:4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</row>
    <row r="785" spans="1:4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</row>
    <row r="786" spans="1:4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</row>
    <row r="787" spans="1:4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</row>
    <row r="788" spans="1:4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</row>
    <row r="789" spans="1:4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</row>
    <row r="790" spans="1:4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</row>
    <row r="791" spans="1:4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</row>
    <row r="792" spans="1:4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</row>
    <row r="793" spans="1:4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</row>
    <row r="794" spans="1:4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</row>
    <row r="795" spans="1:4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</row>
    <row r="796" spans="1:4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</row>
    <row r="797" spans="1:4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</row>
    <row r="798" spans="1:4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</row>
    <row r="799" spans="1:4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</row>
    <row r="800" spans="1:4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</row>
    <row r="801" spans="1:4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</row>
    <row r="802" spans="1:4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</row>
    <row r="803" spans="1:4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</row>
    <row r="804" spans="1:4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</row>
    <row r="805" spans="1:4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</row>
    <row r="806" spans="1:4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</row>
    <row r="807" spans="1:4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</row>
    <row r="808" spans="1:4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</row>
    <row r="809" spans="1:4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</row>
    <row r="810" spans="1:4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</row>
    <row r="811" spans="1:4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</row>
    <row r="812" spans="1:4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</row>
    <row r="813" spans="1:4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</row>
    <row r="814" spans="1:4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</row>
    <row r="815" spans="1:4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</row>
    <row r="816" spans="1:4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</row>
    <row r="817" spans="1:4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</row>
    <row r="818" spans="1:4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</row>
    <row r="819" spans="1:4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</row>
    <row r="820" spans="1:4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</row>
    <row r="821" spans="1:4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</row>
    <row r="822" spans="1:4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</row>
    <row r="823" spans="1:4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</row>
    <row r="824" spans="1:4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</row>
    <row r="825" spans="1:4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</row>
    <row r="826" spans="1:4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</row>
    <row r="827" spans="1:4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</row>
    <row r="828" spans="1:4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</row>
    <row r="829" spans="1:4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</row>
    <row r="830" spans="1:4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</row>
    <row r="831" spans="1:4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</row>
    <row r="832" spans="1:4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</row>
    <row r="833" spans="1:4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</row>
    <row r="834" spans="1:4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</row>
    <row r="835" spans="1:4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</row>
    <row r="836" spans="1:4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</row>
    <row r="837" spans="1:4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</row>
    <row r="838" spans="1:4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</row>
    <row r="839" spans="1:4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</row>
    <row r="840" spans="1:4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</row>
    <row r="841" spans="1:4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</row>
    <row r="842" spans="1:4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</row>
    <row r="843" spans="1:4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</row>
    <row r="844" spans="1:4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</row>
    <row r="845" spans="1:4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</row>
    <row r="846" spans="1:4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</row>
    <row r="847" spans="1:4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</row>
    <row r="848" spans="1:4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</row>
    <row r="849" spans="1:4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</row>
    <row r="850" spans="1:4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</row>
    <row r="851" spans="1:4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</row>
    <row r="852" spans="1:4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</row>
    <row r="853" spans="1:4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</row>
    <row r="854" spans="1:4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</row>
    <row r="855" spans="1:4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</row>
    <row r="856" spans="1:4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</row>
    <row r="857" spans="1:4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</row>
    <row r="858" spans="1:4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</row>
    <row r="859" spans="1:4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</row>
    <row r="860" spans="1:4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</row>
    <row r="861" spans="1:4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</row>
    <row r="862" spans="1:4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</row>
    <row r="863" spans="1:4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</row>
    <row r="864" spans="1:4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</row>
    <row r="865" spans="1:4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</row>
    <row r="866" spans="1:4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</row>
    <row r="867" spans="1:4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</row>
    <row r="868" spans="1:4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</row>
    <row r="869" spans="1:4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</row>
    <row r="870" spans="1:4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</row>
    <row r="871" spans="1:4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</row>
    <row r="872" spans="1:4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</row>
    <row r="873" spans="1:4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</row>
    <row r="874" spans="1:4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</row>
    <row r="875" spans="1:4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</row>
    <row r="876" spans="1:4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</row>
    <row r="877" spans="1:4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</row>
    <row r="878" spans="1:4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</row>
    <row r="879" spans="1:4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</row>
    <row r="880" spans="1:4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</row>
    <row r="881" spans="1:4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</row>
    <row r="882" spans="1:4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</row>
    <row r="883" spans="1:4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</row>
    <row r="884" spans="1:4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</row>
    <row r="885" spans="1:4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</row>
    <row r="886" spans="1:4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</row>
    <row r="887" spans="1:4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</row>
    <row r="888" spans="1:4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</row>
    <row r="889" spans="1:4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</row>
    <row r="890" spans="1:4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</row>
    <row r="891" spans="1:4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</row>
    <row r="892" spans="1:4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</row>
    <row r="893" spans="1:4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</row>
    <row r="894" spans="1:4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</row>
    <row r="895" spans="1:4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</row>
    <row r="896" spans="1:4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</row>
    <row r="897" spans="1:4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</row>
    <row r="898" spans="1:4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</row>
    <row r="899" spans="1:4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</row>
    <row r="900" spans="1:4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</row>
    <row r="901" spans="1:4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</row>
    <row r="902" spans="1:4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</row>
    <row r="903" spans="1:4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</row>
    <row r="904" spans="1:4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</row>
    <row r="905" spans="1:4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</row>
    <row r="906" spans="1:4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</row>
    <row r="907" spans="1:4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</row>
    <row r="908" spans="1:4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</row>
    <row r="909" spans="1:4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</row>
    <row r="910" spans="1:4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</row>
    <row r="911" spans="1:4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</row>
    <row r="912" spans="1:4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</row>
    <row r="913" spans="1:4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</row>
    <row r="914" spans="1:4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</row>
    <row r="915" spans="1:4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</row>
    <row r="916" spans="1:4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</row>
    <row r="917" spans="1:4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</row>
    <row r="918" spans="1:4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</row>
    <row r="919" spans="1:4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</row>
    <row r="920" spans="1:4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</row>
    <row r="921" spans="1:4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</row>
    <row r="922" spans="1:4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</row>
    <row r="923" spans="1:4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</row>
    <row r="924" spans="1:4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</row>
    <row r="925" spans="1:4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</row>
    <row r="926" spans="1:4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</row>
    <row r="927" spans="1:4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</row>
    <row r="928" spans="1:4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</row>
    <row r="929" spans="1:4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</row>
    <row r="930" spans="1:4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</row>
    <row r="931" spans="1:4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</row>
    <row r="932" spans="1:4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</row>
    <row r="933" spans="1:4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</row>
    <row r="934" spans="1:4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</row>
    <row r="935" spans="1:4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</row>
    <row r="936" spans="1:4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</row>
    <row r="937" spans="1:4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</row>
    <row r="938" spans="1:4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</row>
    <row r="939" spans="1:4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</row>
    <row r="940" spans="1:4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</row>
    <row r="941" spans="1:4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</row>
    <row r="942" spans="1:4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</row>
    <row r="943" spans="1:4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</row>
    <row r="944" spans="1:4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</row>
    <row r="945" spans="1:4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</row>
    <row r="946" spans="1:4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</row>
    <row r="947" spans="1:4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</row>
    <row r="948" spans="1:4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</row>
    <row r="949" spans="1:4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</row>
    <row r="950" spans="1:4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</row>
    <row r="951" spans="1:4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</row>
    <row r="952" spans="1:4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</row>
    <row r="953" spans="1:4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</row>
    <row r="954" spans="1:4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</row>
    <row r="955" spans="1:4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</row>
    <row r="956" spans="1:4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</row>
    <row r="957" spans="1:4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</row>
    <row r="958" spans="1:4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</row>
    <row r="959" spans="1:4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</row>
    <row r="960" spans="1:4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</row>
    <row r="961" spans="1:4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</row>
    <row r="962" spans="1:4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</row>
    <row r="963" spans="1:4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</row>
    <row r="964" spans="1:4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</row>
    <row r="965" spans="1:4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</row>
    <row r="966" spans="1:4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</row>
    <row r="967" spans="1:4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</row>
    <row r="968" spans="1:4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</row>
    <row r="969" spans="1:4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</row>
    <row r="970" spans="1:4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</row>
    <row r="971" spans="1:4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</row>
    <row r="972" spans="1:4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</row>
    <row r="973" spans="1:4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</row>
    <row r="974" spans="1:4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</row>
    <row r="975" spans="1:4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</row>
    <row r="976" spans="1:4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</row>
    <row r="977" spans="1:4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</row>
    <row r="978" spans="1:4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</row>
    <row r="979" spans="1:4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</row>
    <row r="980" spans="1:4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</row>
    <row r="981" spans="1:4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</row>
    <row r="982" spans="1:4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</row>
    <row r="983" spans="1:4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</row>
    <row r="984" spans="1:4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</row>
    <row r="985" spans="1:4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</row>
    <row r="986" spans="1:4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</row>
    <row r="987" spans="1:4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</row>
    <row r="988" spans="1:4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</row>
    <row r="989" spans="1:4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</row>
    <row r="990" spans="1:4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</row>
    <row r="991" spans="1:4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</row>
    <row r="992" spans="1:4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</row>
    <row r="993" spans="1:4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</row>
    <row r="994" spans="1:4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</row>
    <row r="995" spans="1:4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</row>
    <row r="996" spans="1:4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</row>
    <row r="997" spans="1:4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</row>
    <row r="998" spans="1:4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</row>
    <row r="999" spans="1:4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</row>
    <row r="1000" spans="1:4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</row>
    <row r="1001" spans="1:4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</row>
    <row r="1002" spans="1:4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</row>
  </sheetData>
  <dataValidations count="1">
    <dataValidation type="list" allowBlank="1" showErrorMessage="1" sqref="B5" xr:uid="{00000000-0002-0000-0100-000000000000}">
      <formula1>"Low,High"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101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outlineLevelRow="1" x14ac:dyDescent="0.15"/>
  <cols>
    <col min="1" max="1" width="21.33203125" customWidth="1"/>
  </cols>
  <sheetData>
    <row r="1" spans="1:49" x14ac:dyDescent="0.2">
      <c r="A1" s="130" t="s">
        <v>82</v>
      </c>
      <c r="B1" s="180" t="s">
        <v>83</v>
      </c>
      <c r="C1" s="166"/>
      <c r="D1" s="167"/>
      <c r="E1" s="131"/>
      <c r="F1" s="180" t="s">
        <v>84</v>
      </c>
      <c r="G1" s="166"/>
      <c r="H1" s="167"/>
      <c r="I1" s="131"/>
      <c r="J1" s="180" t="s">
        <v>85</v>
      </c>
      <c r="K1" s="166"/>
      <c r="L1" s="167"/>
      <c r="M1" s="131"/>
      <c r="N1" s="180" t="s">
        <v>86</v>
      </c>
      <c r="O1" s="166"/>
      <c r="P1" s="167"/>
      <c r="Q1" s="131"/>
      <c r="R1" s="180" t="s">
        <v>87</v>
      </c>
      <c r="S1" s="166"/>
      <c r="T1" s="167"/>
      <c r="U1" s="131"/>
      <c r="V1" s="180" t="s">
        <v>88</v>
      </c>
      <c r="W1" s="166"/>
      <c r="X1" s="167"/>
      <c r="Y1" s="131"/>
      <c r="Z1" s="180" t="s">
        <v>89</v>
      </c>
      <c r="AA1" s="166"/>
      <c r="AB1" s="167"/>
      <c r="AC1" s="131"/>
      <c r="AD1" s="180" t="s">
        <v>90</v>
      </c>
      <c r="AE1" s="166"/>
      <c r="AF1" s="167"/>
      <c r="AG1" s="132"/>
      <c r="AH1" s="180" t="s">
        <v>91</v>
      </c>
      <c r="AI1" s="166"/>
      <c r="AJ1" s="167"/>
      <c r="AK1" s="131"/>
      <c r="AL1" s="180" t="s">
        <v>92</v>
      </c>
      <c r="AM1" s="166"/>
      <c r="AN1" s="167"/>
      <c r="AO1" s="132"/>
      <c r="AP1" s="180" t="s">
        <v>93</v>
      </c>
      <c r="AQ1" s="166"/>
      <c r="AR1" s="167"/>
      <c r="AS1" s="131"/>
      <c r="AT1" s="180" t="s">
        <v>94</v>
      </c>
      <c r="AU1" s="166"/>
      <c r="AV1" s="167"/>
      <c r="AW1" s="132"/>
    </row>
    <row r="2" spans="1:49" x14ac:dyDescent="0.2">
      <c r="A2" s="130" t="s">
        <v>68</v>
      </c>
      <c r="B2" s="133">
        <v>1</v>
      </c>
      <c r="C2" s="134">
        <v>2</v>
      </c>
      <c r="D2" s="134">
        <v>3</v>
      </c>
      <c r="E2" s="135"/>
      <c r="F2" s="134">
        <v>4</v>
      </c>
      <c r="G2" s="133">
        <v>5</v>
      </c>
      <c r="H2" s="133">
        <v>6</v>
      </c>
      <c r="I2" s="136"/>
      <c r="J2" s="134">
        <v>7</v>
      </c>
      <c r="K2" s="133">
        <v>8</v>
      </c>
      <c r="L2" s="133">
        <v>9</v>
      </c>
      <c r="M2" s="136"/>
      <c r="N2" s="134">
        <v>10</v>
      </c>
      <c r="O2" s="133">
        <v>11</v>
      </c>
      <c r="P2" s="133">
        <v>12</v>
      </c>
      <c r="Q2" s="136"/>
      <c r="R2" s="133">
        <v>13</v>
      </c>
      <c r="S2" s="134">
        <v>14</v>
      </c>
      <c r="T2" s="134">
        <v>15</v>
      </c>
      <c r="U2" s="135"/>
      <c r="V2" s="134">
        <v>16</v>
      </c>
      <c r="W2" s="133">
        <v>17</v>
      </c>
      <c r="X2" s="133">
        <v>18</v>
      </c>
      <c r="Y2" s="136"/>
      <c r="Z2" s="134">
        <v>19</v>
      </c>
      <c r="AA2" s="133">
        <v>20</v>
      </c>
      <c r="AB2" s="133">
        <v>21</v>
      </c>
      <c r="AC2" s="136"/>
      <c r="AD2" s="134">
        <v>22</v>
      </c>
      <c r="AE2" s="133">
        <v>23</v>
      </c>
      <c r="AF2" s="137">
        <v>24</v>
      </c>
      <c r="AG2" s="16"/>
      <c r="AH2" s="134">
        <v>25</v>
      </c>
      <c r="AI2" s="133">
        <v>26</v>
      </c>
      <c r="AJ2" s="133">
        <v>27</v>
      </c>
      <c r="AK2" s="136"/>
      <c r="AL2" s="134">
        <v>28</v>
      </c>
      <c r="AM2" s="133">
        <v>29</v>
      </c>
      <c r="AN2" s="137">
        <v>30</v>
      </c>
      <c r="AO2" s="16"/>
      <c r="AP2" s="134">
        <v>31</v>
      </c>
      <c r="AQ2" s="133">
        <v>32</v>
      </c>
      <c r="AR2" s="133">
        <v>33</v>
      </c>
      <c r="AS2" s="136"/>
      <c r="AT2" s="134">
        <v>34</v>
      </c>
      <c r="AU2" s="133">
        <v>35</v>
      </c>
      <c r="AV2" s="137">
        <v>36</v>
      </c>
      <c r="AW2" s="16"/>
    </row>
    <row r="3" spans="1:49" x14ac:dyDescent="0.2">
      <c r="A3" s="8" t="s">
        <v>95</v>
      </c>
      <c r="B3" s="8"/>
      <c r="C3" s="8"/>
      <c r="D3" s="8"/>
      <c r="E3" s="138"/>
      <c r="F3" s="8"/>
      <c r="G3" s="8"/>
      <c r="H3" s="8"/>
      <c r="I3" s="16"/>
      <c r="J3" s="8"/>
      <c r="K3" s="8"/>
      <c r="L3" s="8"/>
      <c r="M3" s="16"/>
      <c r="N3" s="8"/>
      <c r="O3" s="8"/>
      <c r="P3" s="8"/>
      <c r="Q3" s="16"/>
      <c r="R3" s="8"/>
      <c r="S3" s="8"/>
      <c r="T3" s="8"/>
      <c r="U3" s="138"/>
      <c r="V3" s="8"/>
      <c r="W3" s="8"/>
      <c r="X3" s="8"/>
      <c r="Y3" s="16"/>
      <c r="Z3" s="8"/>
      <c r="AA3" s="8"/>
      <c r="AB3" s="8"/>
      <c r="AC3" s="16"/>
      <c r="AD3" s="8"/>
      <c r="AE3" s="8"/>
      <c r="AF3" s="8"/>
      <c r="AG3" s="16"/>
      <c r="AH3" s="8"/>
      <c r="AI3" s="8"/>
      <c r="AJ3" s="8"/>
      <c r="AK3" s="16"/>
      <c r="AL3" s="8"/>
      <c r="AM3" s="8"/>
      <c r="AN3" s="8"/>
      <c r="AO3" s="16"/>
      <c r="AP3" s="8"/>
      <c r="AQ3" s="8"/>
      <c r="AR3" s="8"/>
      <c r="AS3" s="16"/>
      <c r="AT3" s="8"/>
      <c r="AU3" s="8"/>
      <c r="AV3" s="8"/>
      <c r="AW3" s="16"/>
    </row>
    <row r="4" spans="1:49" outlineLevel="1" x14ac:dyDescent="0.2">
      <c r="A4" s="8" t="s">
        <v>96</v>
      </c>
      <c r="B4" s="8"/>
      <c r="C4" s="8"/>
      <c r="D4" s="8"/>
      <c r="E4" s="16"/>
      <c r="F4" s="8"/>
      <c r="G4" s="8"/>
      <c r="H4" s="8"/>
      <c r="I4" s="16"/>
      <c r="J4" s="8"/>
      <c r="K4" s="8"/>
      <c r="L4" s="8"/>
      <c r="M4" s="16"/>
      <c r="N4" s="8"/>
      <c r="O4" s="8"/>
      <c r="P4" s="8"/>
      <c r="Q4" s="16"/>
      <c r="R4" s="8"/>
      <c r="S4" s="8"/>
      <c r="T4" s="8"/>
      <c r="U4" s="16"/>
      <c r="V4" s="8"/>
      <c r="W4" s="8"/>
      <c r="X4" s="8"/>
      <c r="Y4" s="16"/>
      <c r="Z4" s="8"/>
      <c r="AA4" s="8"/>
      <c r="AB4" s="8"/>
      <c r="AC4" s="16"/>
      <c r="AD4" s="8"/>
      <c r="AE4" s="8"/>
      <c r="AF4" s="8"/>
      <c r="AG4" s="16"/>
      <c r="AH4" s="8"/>
      <c r="AI4" s="8"/>
      <c r="AJ4" s="8"/>
      <c r="AK4" s="16"/>
      <c r="AL4" s="8"/>
      <c r="AM4" s="8"/>
      <c r="AN4" s="8"/>
      <c r="AO4" s="16"/>
      <c r="AP4" s="8"/>
      <c r="AQ4" s="8"/>
      <c r="AR4" s="8"/>
      <c r="AS4" s="16"/>
      <c r="AT4" s="8"/>
      <c r="AU4" s="8"/>
      <c r="AV4" s="8"/>
      <c r="AW4" s="16"/>
    </row>
    <row r="5" spans="1:49" outlineLevel="1" x14ac:dyDescent="0.2">
      <c r="A5" s="8" t="s">
        <v>97</v>
      </c>
      <c r="B5" s="139">
        <v>25000</v>
      </c>
      <c r="C5" s="139">
        <v>25000</v>
      </c>
      <c r="D5" s="139">
        <v>25000</v>
      </c>
      <c r="E5" s="22"/>
      <c r="F5" s="139">
        <v>25000</v>
      </c>
      <c r="G5" s="139">
        <v>25000</v>
      </c>
      <c r="H5" s="139">
        <v>25000</v>
      </c>
      <c r="I5" s="22"/>
      <c r="J5" s="139">
        <v>0</v>
      </c>
      <c r="K5" s="139">
        <v>0</v>
      </c>
      <c r="L5" s="139">
        <v>0</v>
      </c>
      <c r="M5" s="22"/>
      <c r="N5" s="139">
        <v>0</v>
      </c>
      <c r="O5" s="139">
        <v>0</v>
      </c>
      <c r="P5" s="139">
        <v>0</v>
      </c>
      <c r="Q5" s="22"/>
      <c r="R5" s="139">
        <v>0</v>
      </c>
      <c r="S5" s="139">
        <v>0</v>
      </c>
      <c r="T5" s="139">
        <v>0</v>
      </c>
      <c r="U5" s="22"/>
      <c r="V5" s="139">
        <v>0</v>
      </c>
      <c r="W5" s="139">
        <v>0</v>
      </c>
      <c r="X5" s="139">
        <v>0</v>
      </c>
      <c r="Y5" s="22"/>
      <c r="Z5" s="139">
        <v>0</v>
      </c>
      <c r="AA5" s="139">
        <v>0</v>
      </c>
      <c r="AB5" s="139">
        <v>0</v>
      </c>
      <c r="AC5" s="22"/>
      <c r="AD5" s="139">
        <v>0</v>
      </c>
      <c r="AE5" s="139">
        <v>0</v>
      </c>
      <c r="AF5" s="139">
        <v>0</v>
      </c>
      <c r="AG5" s="22"/>
      <c r="AH5" s="139">
        <v>0</v>
      </c>
      <c r="AI5" s="139">
        <v>0</v>
      </c>
      <c r="AJ5" s="139">
        <v>0</v>
      </c>
      <c r="AK5" s="22"/>
      <c r="AL5" s="139">
        <v>0</v>
      </c>
      <c r="AM5" s="139">
        <v>0</v>
      </c>
      <c r="AN5" s="139">
        <v>0</v>
      </c>
      <c r="AO5" s="22"/>
      <c r="AP5" s="139">
        <v>0</v>
      </c>
      <c r="AQ5" s="139">
        <v>0</v>
      </c>
      <c r="AR5" s="139">
        <v>0</v>
      </c>
      <c r="AS5" s="22"/>
      <c r="AT5" s="139">
        <v>0</v>
      </c>
      <c r="AU5" s="139">
        <v>0</v>
      </c>
      <c r="AV5" s="139">
        <v>0</v>
      </c>
      <c r="AW5" s="22"/>
    </row>
    <row r="6" spans="1:49" outlineLevel="1" x14ac:dyDescent="0.2">
      <c r="A6" s="8" t="s">
        <v>98</v>
      </c>
      <c r="B6" s="139">
        <v>20000</v>
      </c>
      <c r="C6" s="139">
        <v>20000</v>
      </c>
      <c r="D6" s="139">
        <v>20000</v>
      </c>
      <c r="E6" s="22"/>
      <c r="F6" s="139">
        <v>20000</v>
      </c>
      <c r="G6" s="139">
        <v>20000</v>
      </c>
      <c r="H6" s="139">
        <v>20000</v>
      </c>
      <c r="I6" s="22"/>
      <c r="J6" s="139">
        <v>0</v>
      </c>
      <c r="K6" s="139">
        <v>0</v>
      </c>
      <c r="L6" s="139">
        <v>0</v>
      </c>
      <c r="M6" s="22"/>
      <c r="N6" s="139">
        <v>0</v>
      </c>
      <c r="O6" s="139">
        <v>0</v>
      </c>
      <c r="P6" s="139">
        <v>0</v>
      </c>
      <c r="Q6" s="22"/>
      <c r="R6" s="139">
        <v>0</v>
      </c>
      <c r="S6" s="139">
        <v>0</v>
      </c>
      <c r="T6" s="139">
        <v>0</v>
      </c>
      <c r="U6" s="22"/>
      <c r="V6" s="139">
        <v>0</v>
      </c>
      <c r="W6" s="139">
        <v>0</v>
      </c>
      <c r="X6" s="139">
        <v>0</v>
      </c>
      <c r="Y6" s="22"/>
      <c r="Z6" s="139">
        <v>0</v>
      </c>
      <c r="AA6" s="139">
        <v>0</v>
      </c>
      <c r="AB6" s="139">
        <v>0</v>
      </c>
      <c r="AC6" s="22"/>
      <c r="AD6" s="139">
        <v>0</v>
      </c>
      <c r="AE6" s="139">
        <v>0</v>
      </c>
      <c r="AF6" s="139">
        <v>0</v>
      </c>
      <c r="AG6" s="22"/>
      <c r="AH6" s="139">
        <v>0</v>
      </c>
      <c r="AI6" s="139">
        <v>0</v>
      </c>
      <c r="AJ6" s="139">
        <v>0</v>
      </c>
      <c r="AK6" s="22"/>
      <c r="AL6" s="139">
        <v>0</v>
      </c>
      <c r="AM6" s="139">
        <v>0</v>
      </c>
      <c r="AN6" s="139">
        <v>0</v>
      </c>
      <c r="AO6" s="22"/>
      <c r="AP6" s="139">
        <v>0</v>
      </c>
      <c r="AQ6" s="139">
        <v>0</v>
      </c>
      <c r="AR6" s="139">
        <v>0</v>
      </c>
      <c r="AS6" s="22"/>
      <c r="AT6" s="139">
        <v>0</v>
      </c>
      <c r="AU6" s="139">
        <v>0</v>
      </c>
      <c r="AV6" s="139">
        <v>0</v>
      </c>
      <c r="AW6" s="22"/>
    </row>
    <row r="7" spans="1:49" outlineLevel="1" x14ac:dyDescent="0.2">
      <c r="A7" s="8" t="s">
        <v>99</v>
      </c>
      <c r="B7" s="139">
        <f t="shared" ref="B7:D7" si="0">SUM(B5:B6)</f>
        <v>45000</v>
      </c>
      <c r="C7" s="139">
        <f t="shared" si="0"/>
        <v>45000</v>
      </c>
      <c r="D7" s="139">
        <f t="shared" si="0"/>
        <v>45000</v>
      </c>
      <c r="E7" s="22"/>
      <c r="F7" s="139">
        <f t="shared" ref="F7:H7" si="1">SUM(F5:F6)</f>
        <v>45000</v>
      </c>
      <c r="G7" s="139">
        <f t="shared" si="1"/>
        <v>45000</v>
      </c>
      <c r="H7" s="139">
        <f t="shared" si="1"/>
        <v>45000</v>
      </c>
      <c r="I7" s="22"/>
      <c r="J7" s="139">
        <f t="shared" ref="J7:L7" si="2">SUM(J5:J6)</f>
        <v>0</v>
      </c>
      <c r="K7" s="139">
        <f t="shared" si="2"/>
        <v>0</v>
      </c>
      <c r="L7" s="139">
        <f t="shared" si="2"/>
        <v>0</v>
      </c>
      <c r="M7" s="22"/>
      <c r="N7" s="139">
        <f t="shared" ref="N7:P7" si="3">SUM(N5:N6)</f>
        <v>0</v>
      </c>
      <c r="O7" s="139">
        <f t="shared" si="3"/>
        <v>0</v>
      </c>
      <c r="P7" s="139">
        <f t="shared" si="3"/>
        <v>0</v>
      </c>
      <c r="Q7" s="22"/>
      <c r="R7" s="139">
        <f t="shared" ref="R7:T7" si="4">SUM(R5:R6)</f>
        <v>0</v>
      </c>
      <c r="S7" s="139">
        <f t="shared" si="4"/>
        <v>0</v>
      </c>
      <c r="T7" s="139">
        <f t="shared" si="4"/>
        <v>0</v>
      </c>
      <c r="U7" s="22"/>
      <c r="V7" s="139">
        <f t="shared" ref="V7:X7" si="5">SUM(V5:V6)</f>
        <v>0</v>
      </c>
      <c r="W7" s="139">
        <f t="shared" si="5"/>
        <v>0</v>
      </c>
      <c r="X7" s="139">
        <f t="shared" si="5"/>
        <v>0</v>
      </c>
      <c r="Y7" s="22"/>
      <c r="Z7" s="139">
        <f t="shared" ref="Z7:AB7" si="6">SUM(Z5:Z6)</f>
        <v>0</v>
      </c>
      <c r="AA7" s="139">
        <f t="shared" si="6"/>
        <v>0</v>
      </c>
      <c r="AB7" s="139">
        <f t="shared" si="6"/>
        <v>0</v>
      </c>
      <c r="AC7" s="22"/>
      <c r="AD7" s="139">
        <f t="shared" ref="AD7:AF7" si="7">SUM(AD5:AD6)</f>
        <v>0</v>
      </c>
      <c r="AE7" s="139">
        <f t="shared" si="7"/>
        <v>0</v>
      </c>
      <c r="AF7" s="139">
        <f t="shared" si="7"/>
        <v>0</v>
      </c>
      <c r="AG7" s="22"/>
      <c r="AH7" s="139">
        <f t="shared" ref="AH7:AJ7" si="8">SUM(AH5:AH6)</f>
        <v>0</v>
      </c>
      <c r="AI7" s="139">
        <f t="shared" si="8"/>
        <v>0</v>
      </c>
      <c r="AJ7" s="139">
        <f t="shared" si="8"/>
        <v>0</v>
      </c>
      <c r="AK7" s="22"/>
      <c r="AL7" s="139">
        <f t="shared" ref="AL7:AN7" si="9">SUM(AL5:AL6)</f>
        <v>0</v>
      </c>
      <c r="AM7" s="139">
        <f t="shared" si="9"/>
        <v>0</v>
      </c>
      <c r="AN7" s="139">
        <f t="shared" si="9"/>
        <v>0</v>
      </c>
      <c r="AO7" s="22"/>
      <c r="AP7" s="139">
        <f t="shared" ref="AP7:AR7" si="10">SUM(AP5:AP6)</f>
        <v>0</v>
      </c>
      <c r="AQ7" s="139">
        <f t="shared" si="10"/>
        <v>0</v>
      </c>
      <c r="AR7" s="139">
        <f t="shared" si="10"/>
        <v>0</v>
      </c>
      <c r="AS7" s="22"/>
      <c r="AT7" s="139">
        <f t="shared" ref="AT7:AV7" si="11">SUM(AT5:AT6)</f>
        <v>0</v>
      </c>
      <c r="AU7" s="139">
        <f t="shared" si="11"/>
        <v>0</v>
      </c>
      <c r="AV7" s="139">
        <f t="shared" si="11"/>
        <v>0</v>
      </c>
      <c r="AW7" s="22"/>
    </row>
    <row r="8" spans="1:49" x14ac:dyDescent="0.2">
      <c r="A8" s="8" t="s">
        <v>100</v>
      </c>
      <c r="B8" s="8"/>
      <c r="C8" s="8"/>
      <c r="D8" s="8"/>
      <c r="E8" s="140">
        <f>SUM(B7:D7)</f>
        <v>135000</v>
      </c>
      <c r="F8" s="8"/>
      <c r="G8" s="8"/>
      <c r="H8" s="8"/>
      <c r="I8" s="140">
        <f>SUM(B7:H7)</f>
        <v>270000</v>
      </c>
      <c r="J8" s="8"/>
      <c r="K8" s="8"/>
      <c r="L8" s="8"/>
      <c r="M8" s="140">
        <f>SUM(J7:L7)</f>
        <v>0</v>
      </c>
      <c r="N8" s="8"/>
      <c r="O8" s="8"/>
      <c r="P8" s="8"/>
      <c r="Q8" s="140">
        <f>SUM(J7:P7)</f>
        <v>0</v>
      </c>
      <c r="R8" s="8"/>
      <c r="S8" s="8"/>
      <c r="T8" s="8"/>
      <c r="U8" s="140">
        <f>SUM(R7:T7)</f>
        <v>0</v>
      </c>
      <c r="V8" s="8"/>
      <c r="W8" s="8"/>
      <c r="X8" s="8"/>
      <c r="Y8" s="140">
        <f>SUM(R7:X7)</f>
        <v>0</v>
      </c>
      <c r="Z8" s="8"/>
      <c r="AA8" s="8"/>
      <c r="AB8" s="8"/>
      <c r="AC8" s="140">
        <f>SUM(V7:AB7)</f>
        <v>0</v>
      </c>
      <c r="AD8" s="8"/>
      <c r="AE8" s="8"/>
      <c r="AF8" s="8"/>
      <c r="AG8" s="140">
        <f>SUM(Z7:AF7)</f>
        <v>0</v>
      </c>
      <c r="AH8" s="8"/>
      <c r="AI8" s="8"/>
      <c r="AJ8" s="8"/>
      <c r="AK8" s="140">
        <f>SUM(AD7:AJ7)</f>
        <v>0</v>
      </c>
      <c r="AL8" s="8"/>
      <c r="AM8" s="8"/>
      <c r="AN8" s="8"/>
      <c r="AO8" s="140">
        <f>SUM(AH7:AN7)</f>
        <v>0</v>
      </c>
      <c r="AP8" s="8"/>
      <c r="AQ8" s="8"/>
      <c r="AR8" s="8"/>
      <c r="AS8" s="140">
        <f>SUM(AL7:AR7)</f>
        <v>0</v>
      </c>
      <c r="AT8" s="8"/>
      <c r="AU8" s="8"/>
      <c r="AV8" s="8"/>
      <c r="AW8" s="140">
        <f>SUM(B8:AV8)</f>
        <v>405000</v>
      </c>
    </row>
    <row r="9" spans="1:49" x14ac:dyDescent="0.2">
      <c r="A9" s="8"/>
      <c r="B9" s="8"/>
      <c r="C9" s="8"/>
      <c r="D9" s="8"/>
      <c r="E9" s="16"/>
      <c r="F9" s="8"/>
      <c r="G9" s="8"/>
      <c r="H9" s="8"/>
      <c r="I9" s="16"/>
      <c r="J9" s="8"/>
      <c r="K9" s="8"/>
      <c r="L9" s="8"/>
      <c r="M9" s="16"/>
      <c r="N9" s="8"/>
      <c r="O9" s="8"/>
      <c r="P9" s="8"/>
      <c r="Q9" s="16"/>
      <c r="R9" s="8"/>
      <c r="S9" s="8"/>
      <c r="T9" s="8"/>
      <c r="U9" s="16"/>
      <c r="V9" s="8"/>
      <c r="W9" s="8"/>
      <c r="X9" s="8"/>
      <c r="Y9" s="16"/>
      <c r="Z9" s="8"/>
      <c r="AA9" s="8"/>
      <c r="AB9" s="8"/>
      <c r="AC9" s="16"/>
      <c r="AD9" s="8"/>
      <c r="AE9" s="8"/>
      <c r="AF9" s="8"/>
      <c r="AG9" s="16"/>
      <c r="AH9" s="8"/>
      <c r="AI9" s="8"/>
      <c r="AJ9" s="8"/>
      <c r="AK9" s="16"/>
      <c r="AL9" s="8"/>
      <c r="AM9" s="8"/>
      <c r="AN9" s="8"/>
      <c r="AO9" s="16"/>
      <c r="AP9" s="8"/>
      <c r="AQ9" s="8"/>
      <c r="AR9" s="8"/>
      <c r="AS9" s="16"/>
      <c r="AT9" s="8"/>
      <c r="AU9" s="8"/>
      <c r="AV9" s="8"/>
      <c r="AW9" s="16"/>
    </row>
    <row r="10" spans="1:49" x14ac:dyDescent="0.2">
      <c r="A10" s="8" t="s">
        <v>101</v>
      </c>
      <c r="B10" s="8"/>
      <c r="C10" s="8"/>
      <c r="D10" s="8"/>
      <c r="E10" s="16"/>
      <c r="F10" s="8"/>
      <c r="G10" s="8"/>
      <c r="H10" s="8"/>
      <c r="I10" s="16"/>
      <c r="J10" s="8"/>
      <c r="K10" s="8"/>
      <c r="L10" s="8"/>
      <c r="M10" s="16"/>
      <c r="N10" s="8"/>
      <c r="O10" s="8"/>
      <c r="P10" s="8"/>
      <c r="Q10" s="16"/>
      <c r="R10" s="8"/>
      <c r="S10" s="8"/>
      <c r="T10" s="8"/>
      <c r="U10" s="16"/>
      <c r="V10" s="8"/>
      <c r="W10" s="8"/>
      <c r="X10" s="8"/>
      <c r="Y10" s="16"/>
      <c r="Z10" s="8"/>
      <c r="AA10" s="8"/>
      <c r="AB10" s="8"/>
      <c r="AC10" s="16"/>
      <c r="AD10" s="8"/>
      <c r="AE10" s="8"/>
      <c r="AF10" s="8"/>
      <c r="AG10" s="16"/>
      <c r="AH10" s="8"/>
      <c r="AI10" s="8"/>
      <c r="AJ10" s="8"/>
      <c r="AK10" s="16"/>
      <c r="AL10" s="8"/>
      <c r="AM10" s="8"/>
      <c r="AN10" s="8"/>
      <c r="AO10" s="16"/>
      <c r="AP10" s="8"/>
      <c r="AQ10" s="8"/>
      <c r="AR10" s="8"/>
      <c r="AS10" s="16"/>
      <c r="AT10" s="8"/>
      <c r="AU10" s="8"/>
      <c r="AV10" s="8"/>
      <c r="AW10" s="16"/>
    </row>
    <row r="11" spans="1:49" outlineLevel="1" x14ac:dyDescent="0.2">
      <c r="A11" s="8" t="s">
        <v>102</v>
      </c>
      <c r="B11" s="20">
        <v>5000</v>
      </c>
      <c r="C11" s="20">
        <v>5000</v>
      </c>
      <c r="D11" s="20">
        <v>5000</v>
      </c>
      <c r="E11" s="16"/>
      <c r="F11" s="20">
        <v>5000</v>
      </c>
      <c r="G11" s="20">
        <v>5000</v>
      </c>
      <c r="H11" s="20">
        <v>5000</v>
      </c>
      <c r="I11" s="16"/>
      <c r="J11" s="20">
        <v>5000</v>
      </c>
      <c r="K11" s="20">
        <v>5000</v>
      </c>
      <c r="L11" s="20">
        <v>5000</v>
      </c>
      <c r="M11" s="16"/>
      <c r="N11" s="20">
        <v>5000</v>
      </c>
      <c r="O11" s="20">
        <v>5000</v>
      </c>
      <c r="P11" s="20">
        <v>5000</v>
      </c>
      <c r="Q11" s="16"/>
      <c r="R11" s="20">
        <v>5000</v>
      </c>
      <c r="S11" s="20">
        <v>5000</v>
      </c>
      <c r="T11" s="20">
        <v>5000</v>
      </c>
      <c r="U11" s="16"/>
      <c r="V11" s="20">
        <v>5000</v>
      </c>
      <c r="W11" s="20">
        <v>5000</v>
      </c>
      <c r="X11" s="20">
        <v>5000</v>
      </c>
      <c r="Y11" s="16"/>
      <c r="Z11" s="20">
        <v>5000</v>
      </c>
      <c r="AA11" s="20">
        <v>5000</v>
      </c>
      <c r="AB11" s="20">
        <v>5000</v>
      </c>
      <c r="AC11" s="16"/>
      <c r="AD11" s="20">
        <v>5000</v>
      </c>
      <c r="AE11" s="20">
        <v>5000</v>
      </c>
      <c r="AF11" s="20">
        <v>5000</v>
      </c>
      <c r="AG11" s="16"/>
      <c r="AH11" s="20">
        <v>5000</v>
      </c>
      <c r="AI11" s="20">
        <v>5000</v>
      </c>
      <c r="AJ11" s="20">
        <v>5000</v>
      </c>
      <c r="AK11" s="16"/>
      <c r="AL11" s="20">
        <v>5000</v>
      </c>
      <c r="AM11" s="20">
        <v>5000</v>
      </c>
      <c r="AN11" s="20">
        <v>5000</v>
      </c>
      <c r="AO11" s="16"/>
      <c r="AP11" s="20">
        <v>5000</v>
      </c>
      <c r="AQ11" s="20">
        <v>5000</v>
      </c>
      <c r="AR11" s="20">
        <v>5000</v>
      </c>
      <c r="AS11" s="16"/>
      <c r="AT11" s="20">
        <v>5000</v>
      </c>
      <c r="AU11" s="20">
        <v>5000</v>
      </c>
      <c r="AV11" s="20">
        <v>5000</v>
      </c>
      <c r="AW11" s="16"/>
    </row>
    <row r="12" spans="1:49" x14ac:dyDescent="0.2">
      <c r="A12" s="8" t="s">
        <v>103</v>
      </c>
      <c r="B12" s="8"/>
      <c r="C12" s="8"/>
      <c r="D12" s="8"/>
      <c r="E12" s="22">
        <f>SUM(B11:D11)</f>
        <v>15000</v>
      </c>
      <c r="F12" s="8"/>
      <c r="G12" s="8"/>
      <c r="H12" s="8"/>
      <c r="I12" s="22">
        <f>SUM(B11:H11)</f>
        <v>30000</v>
      </c>
      <c r="J12" s="8"/>
      <c r="K12" s="8"/>
      <c r="L12" s="8"/>
      <c r="M12" s="22">
        <f>SUM(B11:L11)</f>
        <v>45000</v>
      </c>
      <c r="N12" s="8"/>
      <c r="O12" s="8"/>
      <c r="P12" s="8"/>
      <c r="Q12" s="22">
        <f>SUM(B11:P11)</f>
        <v>60000</v>
      </c>
      <c r="R12" s="8"/>
      <c r="S12" s="8"/>
      <c r="T12" s="8"/>
      <c r="U12" s="22">
        <f>SUM(B11:T11)</f>
        <v>75000</v>
      </c>
      <c r="V12" s="8"/>
      <c r="W12" s="8"/>
      <c r="X12" s="8"/>
      <c r="Y12" s="22">
        <f>SUM(B11:X11)</f>
        <v>90000</v>
      </c>
      <c r="Z12" s="8"/>
      <c r="AA12" s="8"/>
      <c r="AB12" s="8"/>
      <c r="AC12" s="22">
        <f>SUM(B11:AB11)</f>
        <v>105000</v>
      </c>
      <c r="AD12" s="8"/>
      <c r="AE12" s="8"/>
      <c r="AF12" s="8"/>
      <c r="AG12" s="22">
        <f>SUM(B11:AF11)</f>
        <v>120000</v>
      </c>
      <c r="AH12" s="8"/>
      <c r="AI12" s="8"/>
      <c r="AJ12" s="8"/>
      <c r="AK12" s="22">
        <f>SUM(B11:AJ11)</f>
        <v>135000</v>
      </c>
      <c r="AL12" s="8"/>
      <c r="AM12" s="8"/>
      <c r="AN12" s="8"/>
      <c r="AO12" s="22">
        <f>SUM(B11:AN11)</f>
        <v>150000</v>
      </c>
      <c r="AP12" s="8"/>
      <c r="AQ12" s="8"/>
      <c r="AR12" s="8"/>
      <c r="AS12" s="22">
        <f>SUM(B11:AR11)</f>
        <v>165000</v>
      </c>
      <c r="AT12" s="8"/>
      <c r="AU12" s="8"/>
      <c r="AV12" s="8"/>
      <c r="AW12" s="22">
        <f>SUM(B11:AV11)</f>
        <v>180000</v>
      </c>
    </row>
    <row r="13" spans="1:49" x14ac:dyDescent="0.2">
      <c r="A13" s="8"/>
      <c r="B13" s="20"/>
      <c r="C13" s="20"/>
      <c r="D13" s="20"/>
      <c r="E13" s="16"/>
      <c r="F13" s="20"/>
      <c r="G13" s="20"/>
      <c r="H13" s="20"/>
      <c r="I13" s="16"/>
      <c r="J13" s="20"/>
      <c r="K13" s="20"/>
      <c r="L13" s="20"/>
      <c r="M13" s="16"/>
      <c r="N13" s="20"/>
      <c r="O13" s="20"/>
      <c r="P13" s="20"/>
      <c r="Q13" s="16"/>
      <c r="R13" s="20"/>
      <c r="S13" s="20"/>
      <c r="T13" s="20"/>
      <c r="U13" s="16"/>
      <c r="V13" s="20"/>
      <c r="W13" s="20"/>
      <c r="X13" s="20"/>
      <c r="Y13" s="16"/>
      <c r="Z13" s="20"/>
      <c r="AA13" s="20"/>
      <c r="AB13" s="20"/>
      <c r="AC13" s="16"/>
      <c r="AD13" s="20"/>
      <c r="AE13" s="20"/>
      <c r="AF13" s="20"/>
      <c r="AG13" s="16"/>
      <c r="AH13" s="20"/>
      <c r="AI13" s="20"/>
      <c r="AJ13" s="20"/>
      <c r="AK13" s="16"/>
      <c r="AL13" s="20"/>
      <c r="AM13" s="20"/>
      <c r="AN13" s="20"/>
      <c r="AO13" s="16"/>
      <c r="AP13" s="20"/>
      <c r="AQ13" s="20"/>
      <c r="AR13" s="20"/>
      <c r="AS13" s="16"/>
      <c r="AT13" s="20"/>
      <c r="AU13" s="20"/>
      <c r="AV13" s="20"/>
      <c r="AW13" s="16"/>
    </row>
    <row r="14" spans="1:49" x14ac:dyDescent="0.2">
      <c r="A14" s="8" t="s">
        <v>104</v>
      </c>
      <c r="B14" s="20"/>
      <c r="C14" s="20"/>
      <c r="D14" s="20"/>
      <c r="E14" s="16"/>
      <c r="F14" s="20"/>
      <c r="G14" s="20"/>
      <c r="H14" s="20"/>
      <c r="I14" s="16"/>
      <c r="J14" s="20"/>
      <c r="K14" s="20"/>
      <c r="L14" s="20"/>
      <c r="M14" s="16"/>
      <c r="N14" s="20"/>
      <c r="O14" s="20"/>
      <c r="P14" s="20"/>
      <c r="Q14" s="16"/>
      <c r="R14" s="20"/>
      <c r="S14" s="20"/>
      <c r="T14" s="20"/>
      <c r="U14" s="16"/>
      <c r="V14" s="20"/>
      <c r="W14" s="20"/>
      <c r="X14" s="20"/>
      <c r="Y14" s="16"/>
      <c r="Z14" s="20"/>
      <c r="AA14" s="20"/>
      <c r="AB14" s="20"/>
      <c r="AC14" s="16"/>
      <c r="AD14" s="20"/>
      <c r="AE14" s="20"/>
      <c r="AF14" s="20"/>
      <c r="AG14" s="16"/>
      <c r="AH14" s="20"/>
      <c r="AI14" s="20"/>
      <c r="AJ14" s="20"/>
      <c r="AK14" s="16"/>
      <c r="AL14" s="20"/>
      <c r="AM14" s="20"/>
      <c r="AN14" s="20"/>
      <c r="AO14" s="16"/>
      <c r="AP14" s="20"/>
      <c r="AQ14" s="20"/>
      <c r="AR14" s="20"/>
      <c r="AS14" s="16"/>
      <c r="AT14" s="20"/>
      <c r="AU14" s="20"/>
      <c r="AV14" s="20"/>
      <c r="AW14" s="16"/>
    </row>
    <row r="15" spans="1:49" outlineLevel="1" x14ac:dyDescent="0.2">
      <c r="A15" s="8" t="s">
        <v>105</v>
      </c>
      <c r="B15" s="20">
        <v>3000</v>
      </c>
      <c r="C15" s="20">
        <v>3000</v>
      </c>
      <c r="D15" s="20">
        <v>3000</v>
      </c>
      <c r="E15" s="16"/>
      <c r="F15" s="20">
        <v>3000</v>
      </c>
      <c r="G15" s="20">
        <v>3000</v>
      </c>
      <c r="H15" s="20">
        <v>3000</v>
      </c>
      <c r="I15" s="16"/>
      <c r="J15" s="20">
        <v>3000</v>
      </c>
      <c r="K15" s="20">
        <v>3000</v>
      </c>
      <c r="L15" s="20">
        <v>3000</v>
      </c>
      <c r="M15" s="16"/>
      <c r="N15" s="20">
        <v>3000</v>
      </c>
      <c r="O15" s="20">
        <v>3000</v>
      </c>
      <c r="P15" s="20">
        <v>3000</v>
      </c>
      <c r="Q15" s="16"/>
      <c r="R15" s="20">
        <v>3000</v>
      </c>
      <c r="S15" s="20">
        <v>3000</v>
      </c>
      <c r="T15" s="20">
        <v>3000</v>
      </c>
      <c r="U15" s="16"/>
      <c r="V15" s="20">
        <v>3000</v>
      </c>
      <c r="W15" s="20">
        <v>3000</v>
      </c>
      <c r="X15" s="20">
        <v>3000</v>
      </c>
      <c r="Y15" s="16"/>
      <c r="Z15" s="20">
        <v>3000</v>
      </c>
      <c r="AA15" s="20">
        <v>3000</v>
      </c>
      <c r="AB15" s="20">
        <v>3000</v>
      </c>
      <c r="AC15" s="16"/>
      <c r="AD15" s="20">
        <v>3000</v>
      </c>
      <c r="AE15" s="20">
        <v>3000</v>
      </c>
      <c r="AF15" s="20">
        <v>3000</v>
      </c>
      <c r="AG15" s="16"/>
      <c r="AH15" s="20">
        <v>3000</v>
      </c>
      <c r="AI15" s="20">
        <v>3000</v>
      </c>
      <c r="AJ15" s="20">
        <v>3000</v>
      </c>
      <c r="AK15" s="16"/>
      <c r="AL15" s="20">
        <v>3000</v>
      </c>
      <c r="AM15" s="20">
        <v>3000</v>
      </c>
      <c r="AN15" s="20">
        <v>3000</v>
      </c>
      <c r="AO15" s="16"/>
      <c r="AP15" s="20">
        <v>3000</v>
      </c>
      <c r="AQ15" s="20">
        <v>3000</v>
      </c>
      <c r="AR15" s="20">
        <v>3000</v>
      </c>
      <c r="AS15" s="16"/>
      <c r="AT15" s="20">
        <v>3000</v>
      </c>
      <c r="AU15" s="20">
        <v>3000</v>
      </c>
      <c r="AV15" s="20">
        <v>3000</v>
      </c>
      <c r="AW15" s="16"/>
    </row>
    <row r="16" spans="1:49" x14ac:dyDescent="0.2">
      <c r="A16" s="8"/>
      <c r="B16" s="8"/>
      <c r="C16" s="8"/>
      <c r="D16" s="8"/>
      <c r="E16" s="22">
        <f>SUM(B15:D15)</f>
        <v>9000</v>
      </c>
      <c r="F16" s="8"/>
      <c r="G16" s="8"/>
      <c r="H16" s="8"/>
      <c r="I16" s="22">
        <f>SUM(B15:H15)</f>
        <v>18000</v>
      </c>
      <c r="J16" s="8"/>
      <c r="K16" s="8"/>
      <c r="L16" s="8"/>
      <c r="M16" s="22">
        <f>SUM(B15:L15)</f>
        <v>27000</v>
      </c>
      <c r="N16" s="8"/>
      <c r="O16" s="8"/>
      <c r="P16" s="8"/>
      <c r="Q16" s="22">
        <f>SUM(B15:P15)</f>
        <v>36000</v>
      </c>
      <c r="R16" s="8"/>
      <c r="S16" s="8"/>
      <c r="T16" s="8"/>
      <c r="U16" s="22">
        <f>SUM(B15:T15)</f>
        <v>45000</v>
      </c>
      <c r="V16" s="8"/>
      <c r="W16" s="8"/>
      <c r="X16" s="8"/>
      <c r="Y16" s="22">
        <f>SUM(B15:X15)</f>
        <v>54000</v>
      </c>
      <c r="Z16" s="8"/>
      <c r="AA16" s="8"/>
      <c r="AB16" s="8"/>
      <c r="AC16" s="22">
        <f>SUM(B15:AB15)</f>
        <v>63000</v>
      </c>
      <c r="AD16" s="8"/>
      <c r="AE16" s="8"/>
      <c r="AF16" s="8"/>
      <c r="AG16" s="22">
        <f>SUM(B15:AF15)</f>
        <v>72000</v>
      </c>
      <c r="AH16" s="8"/>
      <c r="AI16" s="8"/>
      <c r="AJ16" s="8"/>
      <c r="AK16" s="22">
        <f>SUM(B15:AJ15)</f>
        <v>81000</v>
      </c>
      <c r="AL16" s="8"/>
      <c r="AM16" s="8"/>
      <c r="AN16" s="8"/>
      <c r="AO16" s="22">
        <f>SUM(B15:AN15)</f>
        <v>90000</v>
      </c>
      <c r="AP16" s="8"/>
      <c r="AQ16" s="8"/>
      <c r="AR16" s="8"/>
      <c r="AS16" s="22">
        <f>SUM(B15:AR15)</f>
        <v>99000</v>
      </c>
      <c r="AT16" s="8"/>
      <c r="AU16" s="8"/>
      <c r="AV16" s="8"/>
      <c r="AW16" s="22">
        <f>SUM(B15:AV15)</f>
        <v>108000</v>
      </c>
    </row>
    <row r="17" spans="1:49" x14ac:dyDescent="0.2">
      <c r="A17" s="8" t="s">
        <v>106</v>
      </c>
      <c r="B17" s="20">
        <v>40000</v>
      </c>
      <c r="C17" s="139">
        <v>0</v>
      </c>
      <c r="D17" s="139">
        <v>0</v>
      </c>
      <c r="E17" s="16"/>
      <c r="F17" s="139">
        <v>0</v>
      </c>
      <c r="G17" s="139">
        <v>0</v>
      </c>
      <c r="H17" s="139">
        <v>0</v>
      </c>
      <c r="I17" s="16"/>
      <c r="J17" s="139">
        <v>0</v>
      </c>
      <c r="K17" s="139">
        <v>0</v>
      </c>
      <c r="L17" s="139">
        <v>0</v>
      </c>
      <c r="M17" s="16"/>
      <c r="N17" s="139">
        <v>0</v>
      </c>
      <c r="O17" s="139">
        <v>0</v>
      </c>
      <c r="P17" s="139">
        <v>0</v>
      </c>
      <c r="Q17" s="16"/>
      <c r="R17" s="139">
        <v>0</v>
      </c>
      <c r="S17" s="139">
        <v>0</v>
      </c>
      <c r="T17" s="139">
        <v>0</v>
      </c>
      <c r="U17" s="16"/>
      <c r="V17" s="139">
        <v>0</v>
      </c>
      <c r="W17" s="139">
        <v>0</v>
      </c>
      <c r="X17" s="139">
        <v>0</v>
      </c>
      <c r="Y17" s="16"/>
      <c r="Z17" s="139">
        <v>0</v>
      </c>
      <c r="AA17" s="139">
        <v>0</v>
      </c>
      <c r="AB17" s="139">
        <v>0</v>
      </c>
      <c r="AC17" s="16"/>
      <c r="AD17" s="139">
        <v>0</v>
      </c>
      <c r="AE17" s="139">
        <v>0</v>
      </c>
      <c r="AF17" s="139">
        <v>0</v>
      </c>
      <c r="AG17" s="16"/>
      <c r="AH17" s="139">
        <v>0</v>
      </c>
      <c r="AI17" s="139">
        <v>0</v>
      </c>
      <c r="AJ17" s="139">
        <v>0</v>
      </c>
      <c r="AK17" s="16"/>
      <c r="AL17" s="139">
        <v>0</v>
      </c>
      <c r="AM17" s="139">
        <v>0</v>
      </c>
      <c r="AN17" s="139">
        <v>0</v>
      </c>
      <c r="AO17" s="16"/>
      <c r="AP17" s="139">
        <v>0</v>
      </c>
      <c r="AQ17" s="139">
        <v>0</v>
      </c>
      <c r="AR17" s="139">
        <v>0</v>
      </c>
      <c r="AS17" s="16"/>
      <c r="AT17" s="139">
        <v>0</v>
      </c>
      <c r="AU17" s="139">
        <v>0</v>
      </c>
      <c r="AV17" s="139">
        <v>0</v>
      </c>
      <c r="AW17" s="16"/>
    </row>
    <row r="18" spans="1:49" x14ac:dyDescent="0.2">
      <c r="A18" s="8"/>
      <c r="B18" s="8"/>
      <c r="C18" s="8"/>
      <c r="D18" s="8"/>
      <c r="E18" s="22">
        <f>SUM(B17:D17)</f>
        <v>40000</v>
      </c>
      <c r="F18" s="8"/>
      <c r="G18" s="8"/>
      <c r="H18" s="8"/>
      <c r="I18" s="22">
        <f>SUM(F17:H17)</f>
        <v>0</v>
      </c>
      <c r="J18" s="8"/>
      <c r="K18" s="8"/>
      <c r="L18" s="8"/>
      <c r="M18" s="22">
        <f>SUM(F17:L17)</f>
        <v>0</v>
      </c>
      <c r="N18" s="8"/>
      <c r="O18" s="8"/>
      <c r="P18" s="8"/>
      <c r="Q18" s="22">
        <f>SUM(J17:P17)</f>
        <v>0</v>
      </c>
      <c r="R18" s="8"/>
      <c r="S18" s="8"/>
      <c r="T18" s="8"/>
      <c r="U18" s="22">
        <f>SUM(R17:T17)</f>
        <v>0</v>
      </c>
      <c r="V18" s="8"/>
      <c r="W18" s="8"/>
      <c r="X18" s="8"/>
      <c r="Y18" s="22">
        <f>SUM(R17:X17)</f>
        <v>0</v>
      </c>
      <c r="Z18" s="8"/>
      <c r="AA18" s="8"/>
      <c r="AB18" s="8"/>
      <c r="AC18" s="22">
        <f>SUM(V17:AB17)</f>
        <v>0</v>
      </c>
      <c r="AD18" s="8"/>
      <c r="AE18" s="8"/>
      <c r="AF18" s="8"/>
      <c r="AG18" s="22">
        <f>SUM(Z17:AF17)</f>
        <v>0</v>
      </c>
      <c r="AH18" s="8"/>
      <c r="AI18" s="8"/>
      <c r="AJ18" s="8"/>
      <c r="AK18" s="22">
        <f>SUM(AD17:AJ17)</f>
        <v>0</v>
      </c>
      <c r="AL18" s="8"/>
      <c r="AM18" s="8"/>
      <c r="AN18" s="8"/>
      <c r="AO18" s="22">
        <f>SUM(AH17:AN17)</f>
        <v>0</v>
      </c>
      <c r="AP18" s="8"/>
      <c r="AQ18" s="8"/>
      <c r="AR18" s="8"/>
      <c r="AS18" s="22">
        <f>SUM(AL17:AR17)</f>
        <v>0</v>
      </c>
      <c r="AT18" s="8"/>
      <c r="AU18" s="8"/>
      <c r="AV18" s="8"/>
      <c r="AW18" s="138">
        <f>SUM(B18:AV18)</f>
        <v>40000</v>
      </c>
    </row>
    <row r="19" spans="1:49" x14ac:dyDescent="0.2">
      <c r="A19" s="8" t="s">
        <v>107</v>
      </c>
      <c r="B19" s="8"/>
      <c r="C19" s="8"/>
      <c r="D19" s="8"/>
      <c r="E19" s="16"/>
      <c r="F19" s="8"/>
      <c r="G19" s="8"/>
      <c r="H19" s="8"/>
      <c r="I19" s="16"/>
      <c r="J19" s="8"/>
      <c r="K19" s="8"/>
      <c r="L19" s="8"/>
      <c r="M19" s="16"/>
      <c r="N19" s="8"/>
      <c r="O19" s="8"/>
      <c r="P19" s="8"/>
      <c r="Q19" s="16"/>
      <c r="R19" s="8"/>
      <c r="S19" s="8"/>
      <c r="T19" s="8"/>
      <c r="U19" s="16"/>
      <c r="V19" s="8"/>
      <c r="W19" s="8"/>
      <c r="X19" s="8"/>
      <c r="Y19" s="16"/>
      <c r="Z19" s="8"/>
      <c r="AA19" s="8"/>
      <c r="AB19" s="8"/>
      <c r="AC19" s="16"/>
      <c r="AD19" s="8"/>
      <c r="AE19" s="8"/>
      <c r="AF19" s="8"/>
      <c r="AG19" s="16"/>
      <c r="AH19" s="8"/>
      <c r="AI19" s="8"/>
      <c r="AJ19" s="8"/>
      <c r="AK19" s="16"/>
      <c r="AL19" s="8"/>
      <c r="AM19" s="8"/>
      <c r="AN19" s="8"/>
      <c r="AO19" s="16"/>
      <c r="AP19" s="8"/>
      <c r="AQ19" s="8"/>
      <c r="AR19" s="8"/>
      <c r="AS19" s="16"/>
      <c r="AT19" s="8"/>
      <c r="AU19" s="8"/>
      <c r="AV19" s="8"/>
      <c r="AW19" s="16"/>
    </row>
    <row r="20" spans="1:49" outlineLevel="1" x14ac:dyDescent="0.2">
      <c r="A20" s="8" t="s">
        <v>108</v>
      </c>
      <c r="B20" s="139">
        <v>100000</v>
      </c>
      <c r="C20" s="139">
        <v>0</v>
      </c>
      <c r="D20" s="139">
        <v>0</v>
      </c>
      <c r="E20" s="16"/>
      <c r="F20" s="139">
        <v>0</v>
      </c>
      <c r="G20" s="139">
        <v>0</v>
      </c>
      <c r="H20" s="139">
        <v>0</v>
      </c>
      <c r="I20" s="16"/>
      <c r="J20" s="139">
        <v>0</v>
      </c>
      <c r="K20" s="139">
        <v>0</v>
      </c>
      <c r="L20" s="139">
        <v>0</v>
      </c>
      <c r="M20" s="16"/>
      <c r="N20" s="139">
        <v>0</v>
      </c>
      <c r="O20" s="139">
        <v>0</v>
      </c>
      <c r="P20" s="139">
        <v>0</v>
      </c>
      <c r="Q20" s="16"/>
      <c r="R20" s="139">
        <v>0</v>
      </c>
      <c r="S20" s="139">
        <v>0</v>
      </c>
      <c r="T20" s="139">
        <v>0</v>
      </c>
      <c r="U20" s="16"/>
      <c r="V20" s="139">
        <v>0</v>
      </c>
      <c r="W20" s="139">
        <v>0</v>
      </c>
      <c r="X20" s="139">
        <v>0</v>
      </c>
      <c r="Y20" s="16"/>
      <c r="Z20" s="139">
        <v>0</v>
      </c>
      <c r="AA20" s="139">
        <v>0</v>
      </c>
      <c r="AB20" s="139">
        <v>0</v>
      </c>
      <c r="AC20" s="16"/>
      <c r="AD20" s="139">
        <v>0</v>
      </c>
      <c r="AE20" s="139">
        <v>0</v>
      </c>
      <c r="AF20" s="139">
        <v>0</v>
      </c>
      <c r="AG20" s="16"/>
      <c r="AH20" s="139">
        <v>0</v>
      </c>
      <c r="AI20" s="139">
        <v>0</v>
      </c>
      <c r="AJ20" s="139">
        <v>0</v>
      </c>
      <c r="AK20" s="16"/>
      <c r="AL20" s="139">
        <v>0</v>
      </c>
      <c r="AM20" s="139">
        <v>0</v>
      </c>
      <c r="AN20" s="139">
        <v>0</v>
      </c>
      <c r="AO20" s="16"/>
      <c r="AP20" s="139">
        <v>0</v>
      </c>
      <c r="AQ20" s="139">
        <v>0</v>
      </c>
      <c r="AR20" s="139">
        <v>0</v>
      </c>
      <c r="AS20" s="16"/>
      <c r="AT20" s="139">
        <v>0</v>
      </c>
      <c r="AU20" s="139">
        <v>0</v>
      </c>
      <c r="AV20" s="139">
        <v>0</v>
      </c>
      <c r="AW20" s="16"/>
    </row>
    <row r="21" spans="1:49" outlineLevel="1" x14ac:dyDescent="0.2">
      <c r="A21" s="8" t="s">
        <v>108</v>
      </c>
      <c r="B21" s="139">
        <v>100000</v>
      </c>
      <c r="C21" s="139">
        <v>0</v>
      </c>
      <c r="D21" s="139">
        <v>0</v>
      </c>
      <c r="E21" s="16"/>
      <c r="F21" s="139">
        <v>0</v>
      </c>
      <c r="G21" s="139">
        <v>0</v>
      </c>
      <c r="H21" s="139">
        <v>0</v>
      </c>
      <c r="I21" s="16"/>
      <c r="J21" s="139">
        <v>0</v>
      </c>
      <c r="K21" s="139">
        <v>0</v>
      </c>
      <c r="L21" s="139">
        <v>0</v>
      </c>
      <c r="M21" s="16"/>
      <c r="N21" s="139">
        <v>0</v>
      </c>
      <c r="O21" s="139">
        <v>0</v>
      </c>
      <c r="P21" s="139">
        <v>0</v>
      </c>
      <c r="Q21" s="16"/>
      <c r="R21" s="139">
        <v>0</v>
      </c>
      <c r="S21" s="139">
        <v>0</v>
      </c>
      <c r="T21" s="139">
        <v>0</v>
      </c>
      <c r="U21" s="16"/>
      <c r="V21" s="139">
        <v>0</v>
      </c>
      <c r="W21" s="139">
        <v>0</v>
      </c>
      <c r="X21" s="139">
        <v>0</v>
      </c>
      <c r="Y21" s="16"/>
      <c r="Z21" s="139">
        <v>0</v>
      </c>
      <c r="AA21" s="139">
        <v>0</v>
      </c>
      <c r="AB21" s="139">
        <v>0</v>
      </c>
      <c r="AC21" s="16"/>
      <c r="AD21" s="139">
        <v>0</v>
      </c>
      <c r="AE21" s="139">
        <v>0</v>
      </c>
      <c r="AF21" s="139">
        <v>0</v>
      </c>
      <c r="AG21" s="16"/>
      <c r="AH21" s="139">
        <v>0</v>
      </c>
      <c r="AI21" s="139">
        <v>0</v>
      </c>
      <c r="AJ21" s="139">
        <v>0</v>
      </c>
      <c r="AK21" s="16"/>
      <c r="AL21" s="139">
        <v>0</v>
      </c>
      <c r="AM21" s="139">
        <v>0</v>
      </c>
      <c r="AN21" s="139">
        <v>0</v>
      </c>
      <c r="AO21" s="16"/>
      <c r="AP21" s="139">
        <v>0</v>
      </c>
      <c r="AQ21" s="139">
        <v>0</v>
      </c>
      <c r="AR21" s="139">
        <v>0</v>
      </c>
      <c r="AS21" s="16"/>
      <c r="AT21" s="139">
        <v>0</v>
      </c>
      <c r="AU21" s="139">
        <v>0</v>
      </c>
      <c r="AV21" s="139">
        <v>0</v>
      </c>
      <c r="AW21" s="16"/>
    </row>
    <row r="22" spans="1:49" x14ac:dyDescent="0.2">
      <c r="A22" s="8" t="s">
        <v>109</v>
      </c>
      <c r="B22" s="139">
        <f t="shared" ref="B22:D22" si="12">SUM(B20:B21)</f>
        <v>200000</v>
      </c>
      <c r="C22" s="139">
        <f t="shared" si="12"/>
        <v>0</v>
      </c>
      <c r="D22" s="139">
        <f t="shared" si="12"/>
        <v>0</v>
      </c>
      <c r="E22" s="16"/>
      <c r="F22" s="139">
        <f t="shared" ref="F22:H22" si="13">SUM(F20:F21)</f>
        <v>0</v>
      </c>
      <c r="G22" s="139">
        <f t="shared" si="13"/>
        <v>0</v>
      </c>
      <c r="H22" s="139">
        <f t="shared" si="13"/>
        <v>0</v>
      </c>
      <c r="I22" s="16"/>
      <c r="J22" s="139">
        <f t="shared" ref="J22:L22" si="14">SUM(J20:J21)</f>
        <v>0</v>
      </c>
      <c r="K22" s="139">
        <f t="shared" si="14"/>
        <v>0</v>
      </c>
      <c r="L22" s="139">
        <f t="shared" si="14"/>
        <v>0</v>
      </c>
      <c r="M22" s="16"/>
      <c r="N22" s="139">
        <f t="shared" ref="N22:P22" si="15">SUM(N20:N21)</f>
        <v>0</v>
      </c>
      <c r="O22" s="139">
        <f t="shared" si="15"/>
        <v>0</v>
      </c>
      <c r="P22" s="139">
        <f t="shared" si="15"/>
        <v>0</v>
      </c>
      <c r="Q22" s="16"/>
      <c r="R22" s="139">
        <f t="shared" ref="R22:T22" si="16">SUM(R20:R21)</f>
        <v>0</v>
      </c>
      <c r="S22" s="139">
        <f t="shared" si="16"/>
        <v>0</v>
      </c>
      <c r="T22" s="139">
        <f t="shared" si="16"/>
        <v>0</v>
      </c>
      <c r="U22" s="16"/>
      <c r="V22" s="139">
        <f t="shared" ref="V22:X22" si="17">SUM(V20:V21)</f>
        <v>0</v>
      </c>
      <c r="W22" s="139">
        <f t="shared" si="17"/>
        <v>0</v>
      </c>
      <c r="X22" s="139">
        <f t="shared" si="17"/>
        <v>0</v>
      </c>
      <c r="Y22" s="16"/>
      <c r="Z22" s="139">
        <f t="shared" ref="Z22:AB22" si="18">SUM(Z20:Z21)</f>
        <v>0</v>
      </c>
      <c r="AA22" s="139">
        <f t="shared" si="18"/>
        <v>0</v>
      </c>
      <c r="AB22" s="139">
        <f t="shared" si="18"/>
        <v>0</v>
      </c>
      <c r="AC22" s="16"/>
      <c r="AD22" s="139">
        <f t="shared" ref="AD22:AF22" si="19">SUM(AD20:AD21)</f>
        <v>0</v>
      </c>
      <c r="AE22" s="139">
        <f t="shared" si="19"/>
        <v>0</v>
      </c>
      <c r="AF22" s="139">
        <f t="shared" si="19"/>
        <v>0</v>
      </c>
      <c r="AG22" s="16"/>
      <c r="AH22" s="139">
        <f t="shared" ref="AH22:AJ22" si="20">SUM(AH20:AH21)</f>
        <v>0</v>
      </c>
      <c r="AI22" s="139">
        <f t="shared" si="20"/>
        <v>0</v>
      </c>
      <c r="AJ22" s="139">
        <f t="shared" si="20"/>
        <v>0</v>
      </c>
      <c r="AK22" s="16"/>
      <c r="AL22" s="139">
        <f t="shared" ref="AL22:AN22" si="21">SUM(AL20:AL21)</f>
        <v>0</v>
      </c>
      <c r="AM22" s="139">
        <f t="shared" si="21"/>
        <v>0</v>
      </c>
      <c r="AN22" s="139">
        <f t="shared" si="21"/>
        <v>0</v>
      </c>
      <c r="AO22" s="16"/>
      <c r="AP22" s="139">
        <f t="shared" ref="AP22:AR22" si="22">SUM(AP20:AP21)</f>
        <v>0</v>
      </c>
      <c r="AQ22" s="139">
        <f t="shared" si="22"/>
        <v>0</v>
      </c>
      <c r="AR22" s="139">
        <f t="shared" si="22"/>
        <v>0</v>
      </c>
      <c r="AS22" s="16"/>
      <c r="AT22" s="139">
        <f t="shared" ref="AT22:AV22" si="23">SUM(AT20:AT21)</f>
        <v>0</v>
      </c>
      <c r="AU22" s="139">
        <f t="shared" si="23"/>
        <v>0</v>
      </c>
      <c r="AV22" s="139">
        <f t="shared" si="23"/>
        <v>0</v>
      </c>
      <c r="AW22" s="16"/>
    </row>
    <row r="23" spans="1:49" x14ac:dyDescent="0.2">
      <c r="A23" s="8"/>
      <c r="B23" s="8"/>
      <c r="C23" s="8"/>
      <c r="D23" s="8"/>
      <c r="E23" s="140">
        <f>SUM(B22:D22)</f>
        <v>200000</v>
      </c>
      <c r="F23" s="8"/>
      <c r="G23" s="8"/>
      <c r="H23" s="8"/>
      <c r="I23" s="140">
        <f>SUM(F22:H22)</f>
        <v>0</v>
      </c>
      <c r="J23" s="8"/>
      <c r="K23" s="8"/>
      <c r="L23" s="8"/>
      <c r="M23" s="140">
        <f>SUM(F22:L22)</f>
        <v>0</v>
      </c>
      <c r="N23" s="8"/>
      <c r="O23" s="8"/>
      <c r="P23" s="8"/>
      <c r="Q23" s="140">
        <f>SUM(B22:P22)</f>
        <v>200000</v>
      </c>
      <c r="R23" s="8"/>
      <c r="S23" s="8"/>
      <c r="T23" s="8"/>
      <c r="U23" s="140">
        <f>SUM(R22:T22)</f>
        <v>0</v>
      </c>
      <c r="V23" s="8"/>
      <c r="W23" s="8"/>
      <c r="X23" s="8"/>
      <c r="Y23" s="140">
        <f>SUM(R22:X22)</f>
        <v>0</v>
      </c>
      <c r="Z23" s="8"/>
      <c r="AA23" s="8"/>
      <c r="AB23" s="8"/>
      <c r="AC23" s="140">
        <f>SUM(V22:AB22)</f>
        <v>0</v>
      </c>
      <c r="AD23" s="8"/>
      <c r="AE23" s="8"/>
      <c r="AF23" s="8"/>
      <c r="AG23" s="140">
        <f>SUM(Z22:AF22)</f>
        <v>0</v>
      </c>
      <c r="AH23" s="8"/>
      <c r="AI23" s="8"/>
      <c r="AJ23" s="8"/>
      <c r="AK23" s="140">
        <f>SUM(AD22:AJ22)</f>
        <v>0</v>
      </c>
      <c r="AL23" s="8"/>
      <c r="AM23" s="8"/>
      <c r="AN23" s="8"/>
      <c r="AO23" s="140">
        <f>SUM(AH22:AN22)</f>
        <v>0</v>
      </c>
      <c r="AP23" s="8"/>
      <c r="AQ23" s="8"/>
      <c r="AR23" s="8"/>
      <c r="AS23" s="140">
        <f>SUM(AL22:AR22)</f>
        <v>0</v>
      </c>
      <c r="AT23" s="8"/>
      <c r="AU23" s="8"/>
      <c r="AV23" s="8"/>
      <c r="AW23" s="140">
        <f>SUM(B22:AV22)</f>
        <v>200000</v>
      </c>
    </row>
    <row r="24" spans="1:49" x14ac:dyDescent="0.2">
      <c r="A24" s="141" t="s">
        <v>110</v>
      </c>
      <c r="B24" s="141"/>
      <c r="C24" s="141"/>
      <c r="D24" s="141"/>
      <c r="E24" s="119">
        <f>SUM(E3:E23)</f>
        <v>399000</v>
      </c>
      <c r="F24" s="141"/>
      <c r="G24" s="141"/>
      <c r="H24" s="141"/>
      <c r="I24" s="121">
        <f>SUM(I5:I23)</f>
        <v>318000</v>
      </c>
      <c r="J24" s="141"/>
      <c r="K24" s="141"/>
      <c r="L24" s="141"/>
      <c r="M24" s="121">
        <f>SUM(M5:M23)</f>
        <v>72000</v>
      </c>
      <c r="N24" s="141"/>
      <c r="O24" s="141"/>
      <c r="P24" s="141"/>
      <c r="Q24" s="121">
        <f>SUM(Q23+Q12+Q16)</f>
        <v>296000</v>
      </c>
      <c r="R24" s="141"/>
      <c r="S24" s="141"/>
      <c r="T24" s="141"/>
      <c r="U24" s="119">
        <f>SUM(U3:U23)</f>
        <v>120000</v>
      </c>
      <c r="V24" s="141"/>
      <c r="W24" s="141"/>
      <c r="X24" s="141"/>
      <c r="Y24" s="121">
        <f>SUM(Y5:Y23)</f>
        <v>144000</v>
      </c>
      <c r="Z24" s="141"/>
      <c r="AA24" s="141"/>
      <c r="AB24" s="141"/>
      <c r="AC24" s="121">
        <f>SUM(AC5:AC23)</f>
        <v>168000</v>
      </c>
      <c r="AD24" s="141"/>
      <c r="AE24" s="141"/>
      <c r="AF24" s="141"/>
      <c r="AG24" s="121">
        <f>SUM(AG5:AG23)</f>
        <v>192000</v>
      </c>
      <c r="AH24" s="141"/>
      <c r="AI24" s="141"/>
      <c r="AJ24" s="141"/>
      <c r="AK24" s="121">
        <f>SUM(AK5:AK23)</f>
        <v>216000</v>
      </c>
      <c r="AL24" s="141"/>
      <c r="AM24" s="141"/>
      <c r="AN24" s="141"/>
      <c r="AO24" s="121">
        <f>SUM(AO5:AO23)</f>
        <v>240000</v>
      </c>
      <c r="AP24" s="141"/>
      <c r="AQ24" s="141"/>
      <c r="AR24" s="141"/>
      <c r="AS24" s="121">
        <f>SUM(AS5:AS23)</f>
        <v>264000</v>
      </c>
      <c r="AT24" s="141"/>
      <c r="AU24" s="141"/>
      <c r="AV24" s="141"/>
      <c r="AW24" s="121">
        <f>SUM(AW5:AW23)</f>
        <v>933000</v>
      </c>
    </row>
    <row r="25" spans="1:49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">
      <c r="A26" s="8"/>
      <c r="B26" s="20">
        <f t="shared" ref="B26:D26" si="24">B22+B17+B15+B11+B7</f>
        <v>293000</v>
      </c>
      <c r="C26" s="20">
        <f t="shared" si="24"/>
        <v>53000</v>
      </c>
      <c r="D26" s="20">
        <f t="shared" si="24"/>
        <v>53000</v>
      </c>
      <c r="E26" s="8"/>
      <c r="F26" s="20">
        <f t="shared" ref="F26:H26" si="25">F22+F17+F15+F11+F7</f>
        <v>53000</v>
      </c>
      <c r="G26" s="20">
        <f t="shared" si="25"/>
        <v>53000</v>
      </c>
      <c r="H26" s="20">
        <f t="shared" si="25"/>
        <v>53000</v>
      </c>
      <c r="I26" s="8"/>
      <c r="J26" s="20">
        <f t="shared" ref="J26:L26" si="26">J22+J17+J15+J11+J7</f>
        <v>8000</v>
      </c>
      <c r="K26" s="20">
        <f t="shared" si="26"/>
        <v>8000</v>
      </c>
      <c r="L26" s="20">
        <f t="shared" si="26"/>
        <v>8000</v>
      </c>
      <c r="M26" s="8"/>
      <c r="N26" s="20">
        <f t="shared" ref="N26:P26" si="27">N22+N17+N15+N11+N7</f>
        <v>8000</v>
      </c>
      <c r="O26" s="20">
        <f t="shared" si="27"/>
        <v>8000</v>
      </c>
      <c r="P26" s="20">
        <f t="shared" si="27"/>
        <v>8000</v>
      </c>
      <c r="Q26" s="8"/>
      <c r="R26" s="20">
        <f t="shared" ref="R26:T26" si="28">R22+R17+R15+R11+R7</f>
        <v>8000</v>
      </c>
      <c r="S26" s="20">
        <f t="shared" si="28"/>
        <v>8000</v>
      </c>
      <c r="T26" s="20">
        <f t="shared" si="28"/>
        <v>8000</v>
      </c>
      <c r="U26" s="8"/>
      <c r="V26" s="20">
        <f t="shared" ref="V26:X26" si="29">V22+V17+V15+V11+V7</f>
        <v>8000</v>
      </c>
      <c r="W26" s="20">
        <f t="shared" si="29"/>
        <v>8000</v>
      </c>
      <c r="X26" s="20">
        <f t="shared" si="29"/>
        <v>8000</v>
      </c>
      <c r="Y26" s="8"/>
      <c r="Z26" s="20">
        <f t="shared" ref="Z26:AB26" si="30">Z22+Z17+Z15+Z11+Z7</f>
        <v>8000</v>
      </c>
      <c r="AA26" s="20">
        <f t="shared" si="30"/>
        <v>8000</v>
      </c>
      <c r="AB26" s="20">
        <f t="shared" si="30"/>
        <v>8000</v>
      </c>
      <c r="AC26" s="8"/>
      <c r="AD26" s="20">
        <f t="shared" ref="AD26:AF26" si="31">AD22+AD17+AD15+AD11+AD7</f>
        <v>8000</v>
      </c>
      <c r="AE26" s="20">
        <f t="shared" si="31"/>
        <v>8000</v>
      </c>
      <c r="AF26" s="20">
        <f t="shared" si="31"/>
        <v>8000</v>
      </c>
      <c r="AG26" s="8"/>
      <c r="AH26" s="20">
        <f t="shared" ref="AH26:AJ26" si="32">AH22+AH17+AH15+AH11+AH7</f>
        <v>8000</v>
      </c>
      <c r="AI26" s="20">
        <f t="shared" si="32"/>
        <v>8000</v>
      </c>
      <c r="AJ26" s="20">
        <f t="shared" si="32"/>
        <v>8000</v>
      </c>
      <c r="AK26" s="8"/>
      <c r="AL26" s="20">
        <f t="shared" ref="AL26:AN26" si="33">AL22+AL17+AL15+AL11+AL7</f>
        <v>8000</v>
      </c>
      <c r="AM26" s="20">
        <f t="shared" si="33"/>
        <v>8000</v>
      </c>
      <c r="AN26" s="20">
        <f t="shared" si="33"/>
        <v>8000</v>
      </c>
      <c r="AO26" s="8"/>
      <c r="AP26" s="20">
        <f t="shared" ref="AP26:AR26" si="34">AP22+AP17+AP15+AP11+AP7</f>
        <v>8000</v>
      </c>
      <c r="AQ26" s="20">
        <f t="shared" si="34"/>
        <v>8000</v>
      </c>
      <c r="AR26" s="20">
        <f t="shared" si="34"/>
        <v>8000</v>
      </c>
      <c r="AS26" s="8"/>
      <c r="AT26" s="20">
        <f t="shared" ref="AT26:AV26" si="35">AT22+AT17+AT15+AT11+AT7</f>
        <v>8000</v>
      </c>
      <c r="AU26" s="20">
        <f t="shared" si="35"/>
        <v>8000</v>
      </c>
      <c r="AV26" s="20">
        <f t="shared" si="35"/>
        <v>8000</v>
      </c>
      <c r="AW26" s="8"/>
    </row>
    <row r="27" spans="1:49" x14ac:dyDescent="0.2">
      <c r="A27" s="8"/>
      <c r="B27" s="8"/>
      <c r="C27" s="8"/>
      <c r="D27" s="8"/>
      <c r="E27" s="20">
        <f>SUM(B26:D26)</f>
        <v>399000</v>
      </c>
      <c r="F27" s="8"/>
      <c r="G27" s="8"/>
      <c r="H27" s="8"/>
      <c r="I27" s="20">
        <f>SUM(F26:H26)</f>
        <v>159000</v>
      </c>
      <c r="J27" s="8"/>
      <c r="K27" s="8"/>
      <c r="L27" s="8"/>
      <c r="M27" s="20">
        <f>SUM(J26:L26)</f>
        <v>24000</v>
      </c>
      <c r="N27" s="8"/>
      <c r="O27" s="8"/>
      <c r="P27" s="8"/>
      <c r="Q27" s="20">
        <f>SUM(N26:P26)</f>
        <v>24000</v>
      </c>
      <c r="R27" s="8"/>
      <c r="S27" s="8"/>
      <c r="T27" s="8"/>
      <c r="U27" s="20">
        <f>SUM(R26:T26)</f>
        <v>24000</v>
      </c>
      <c r="V27" s="8"/>
      <c r="W27" s="8"/>
      <c r="X27" s="8"/>
      <c r="Y27" s="20">
        <f>SUM(V26:X26)</f>
        <v>24000</v>
      </c>
      <c r="Z27" s="8"/>
      <c r="AA27" s="8"/>
      <c r="AB27" s="8"/>
      <c r="AC27" s="20">
        <f>SUM(Z26:AB26)</f>
        <v>24000</v>
      </c>
      <c r="AD27" s="8"/>
      <c r="AE27" s="8"/>
      <c r="AF27" s="8"/>
      <c r="AG27" s="20">
        <f>SUM(AD26:AF26)</f>
        <v>24000</v>
      </c>
      <c r="AH27" s="8"/>
      <c r="AI27" s="8"/>
      <c r="AJ27" s="8"/>
      <c r="AK27" s="20">
        <f>SUM(AH26:AJ26)</f>
        <v>24000</v>
      </c>
      <c r="AL27" s="8"/>
      <c r="AM27" s="8"/>
      <c r="AN27" s="8"/>
      <c r="AO27" s="20">
        <f>SUM(AL26:AN26)</f>
        <v>24000</v>
      </c>
      <c r="AP27" s="8"/>
      <c r="AQ27" s="8"/>
      <c r="AR27" s="8"/>
      <c r="AS27" s="20">
        <f>SUM(AP26:AR26)</f>
        <v>24000</v>
      </c>
      <c r="AT27" s="8"/>
      <c r="AU27" s="8"/>
      <c r="AV27" s="8"/>
      <c r="AW27" s="20">
        <f>SUM(AT26:AV26)</f>
        <v>24000</v>
      </c>
    </row>
    <row r="28" spans="1:49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142">
        <f>SUM(B27:AW27)</f>
        <v>798000</v>
      </c>
    </row>
    <row r="29" spans="1:49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 spans="1:49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 spans="1:49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 spans="1:49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 spans="1:49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 spans="1:49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 spans="1:49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 spans="1:49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 spans="1:49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 spans="1:49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 spans="1:49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 spans="1:49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 spans="1:49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 spans="1:49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 spans="1:49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 spans="1:49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 spans="1:49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 spans="1:49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 spans="1:49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 spans="1:49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 spans="1:49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 spans="1:49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 spans="1:49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 spans="1:49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 spans="1:49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 spans="1:49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 spans="1:49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 spans="1:49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 spans="1:49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 spans="1:49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 spans="1:49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 spans="1:49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 spans="1:49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 spans="1:49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 spans="1:49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 spans="1:49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 spans="1:49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 spans="1:49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 spans="1:49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 spans="1:49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 spans="1:49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 spans="1:49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 spans="1:49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 spans="1:49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 spans="1:49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 spans="1:49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 spans="1:49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 spans="1:49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 spans="1:49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 spans="1:49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 spans="1:49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 spans="1:49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 spans="1:49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 spans="1:49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 spans="1:49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 spans="1:49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 spans="1:49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 spans="1:49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 spans="1:49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 spans="1:49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 spans="1:49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 spans="1:49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 spans="1:49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 spans="1:49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 spans="1:49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 spans="1:49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 spans="1:49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 spans="1:49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 spans="1:49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 spans="1:49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 spans="1:49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 spans="1:49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 spans="1:49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 spans="1:49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 spans="1:49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 spans="1:49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 spans="1:49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 spans="1:49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 spans="1:49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 spans="1:49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 spans="1:49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 spans="1:49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 spans="1:49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 spans="1:49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 spans="1:49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 spans="1:49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 spans="1:49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 spans="1:49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 spans="1:49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 spans="1:49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 spans="1:49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 spans="1:49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 spans="1:49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 spans="1:49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 spans="1:49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 spans="1:49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 spans="1:49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 spans="1:49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 spans="1:49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 spans="1:49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 spans="1:49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 spans="1:49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 spans="1:49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 spans="1:49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 spans="1:49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 spans="1:49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 spans="1:49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 spans="1:49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 spans="1:49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 spans="1:49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 spans="1:49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 spans="1:49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 spans="1:49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 spans="1:49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 spans="1:49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 spans="1:49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 spans="1:49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 spans="1:49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 spans="1:49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 spans="1:49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 spans="1:49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 spans="1:49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 spans="1:49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 spans="1:49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 spans="1:49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 spans="1:49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 spans="1:49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 spans="1:49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 spans="1:49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 spans="1:49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 spans="1:49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 spans="1:49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 spans="1:49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 spans="1:49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 spans="1:49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 spans="1:49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 spans="1:49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 spans="1:49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 spans="1:49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 spans="1:49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 spans="1:49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 spans="1:49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 spans="1:49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 spans="1:49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 spans="1:49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 spans="1:49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 spans="1:49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 spans="1:49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 spans="1:49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 spans="1:49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 spans="1:49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 spans="1:49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 spans="1:49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 spans="1:49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 spans="1:49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 spans="1:49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 spans="1:49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 spans="1:49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 spans="1:49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 spans="1:49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 spans="1:49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 spans="1:49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 spans="1:49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 spans="1:49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 spans="1:49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 spans="1:49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 spans="1:49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 spans="1:49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 spans="1:49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 spans="1:49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 spans="1:49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 spans="1:49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 spans="1:49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 spans="1:49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 spans="1:49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 spans="1:49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 spans="1:49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 spans="1:49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 spans="1:49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 spans="1:49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 spans="1:49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 spans="1:49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 spans="1:49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 spans="1:49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 spans="1:49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 spans="1:49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spans="1:49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spans="1:49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 spans="1:49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 spans="1:49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 spans="1:49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 spans="1:49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 spans="1:49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 spans="1:49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 spans="1:49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 spans="1:49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 spans="1:49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 spans="1:49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 spans="1:49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 spans="1:49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 spans="1:49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 spans="1:49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 spans="1:49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 spans="1:49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 spans="1:49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 spans="1:49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 spans="1:49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 spans="1:49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 spans="1:49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 spans="1:49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 spans="1:49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 spans="1:49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 spans="1:49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 spans="1:49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 spans="1:49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 spans="1:49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 spans="1:49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 spans="1:49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 spans="1:49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 spans="1:49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 spans="1:49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 spans="1:49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 spans="1:49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 spans="1:49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 spans="1:49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 spans="1:49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 spans="1:49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 spans="1:49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 spans="1:49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 spans="1:49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 spans="1:49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 spans="1:49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 spans="1:49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 spans="1:49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 spans="1:49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 spans="1:49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 spans="1:49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 spans="1:49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 spans="1:49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 spans="1:49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 spans="1:49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 spans="1:49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 spans="1:49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 spans="1:49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 spans="1:49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 spans="1:49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 spans="1:49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 spans="1:49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 spans="1:49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 spans="1:49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 spans="1:49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 spans="1:49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 spans="1:49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 spans="1:49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 spans="1:49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 spans="1:49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 spans="1:49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 spans="1:49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 spans="1:49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 spans="1:49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 spans="1:49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 spans="1:49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 spans="1:49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 spans="1:49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 spans="1:49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 spans="1:49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 spans="1:49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 spans="1:49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 spans="1:49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 spans="1:49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 spans="1:49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 spans="1:49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 spans="1:49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 spans="1:49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 spans="1:49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 spans="1:49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 spans="1:49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 spans="1:49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 spans="1:49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 spans="1:49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 spans="1:49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 spans="1:49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 spans="1:49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 spans="1:49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 spans="1:49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 spans="1:49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 spans="1:49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 spans="1:49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 spans="1:49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 spans="1:49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 spans="1:49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 spans="1:49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 spans="1:49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 spans="1:49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 spans="1:49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 spans="1:49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 spans="1:49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 spans="1:49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 spans="1:49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 spans="1:49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 spans="1:49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 spans="1:49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 spans="1:49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 spans="1:49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 spans="1:49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 spans="1:49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 spans="1:49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 spans="1:49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 spans="1:49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 spans="1:49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 spans="1:49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 spans="1:49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 spans="1:49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 spans="1:49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 spans="1:49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 spans="1:49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 spans="1:49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 spans="1:49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 spans="1:49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 spans="1:49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 spans="1:49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 spans="1:49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 spans="1:49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 spans="1:49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 spans="1:49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 spans="1:49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 spans="1:49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 spans="1:49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 spans="1:49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 spans="1:49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 spans="1:49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 spans="1:49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 spans="1:49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 spans="1:49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 spans="1:49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 spans="1:49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 spans="1:49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 spans="1:49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 spans="1:49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 spans="1:49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 spans="1:49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 spans="1:49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 spans="1:49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 spans="1:49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 spans="1:49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 spans="1:49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 spans="1:49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 spans="1:49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 spans="1:49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 spans="1:49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 spans="1:49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 spans="1:49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 spans="1:49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 spans="1:49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 spans="1:49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 spans="1:49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 spans="1:49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 spans="1:49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 spans="1:49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 spans="1:49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 spans="1:49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 spans="1:49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 spans="1:49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 spans="1:49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 spans="1:49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 spans="1:49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 spans="1:49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 spans="1:49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 spans="1:49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 spans="1:49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 spans="1:49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 spans="1:49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 spans="1:49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 spans="1:49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 spans="1:49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 spans="1:49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 spans="1:49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 spans="1:49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 spans="1:49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 spans="1:49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 spans="1:49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 spans="1:49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 spans="1:49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 spans="1:49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 spans="1:49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 spans="1:49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 spans="1:49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 spans="1:49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 spans="1:49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 spans="1:49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 spans="1:49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 spans="1:49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 spans="1:49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 spans="1:49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 spans="1:49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 spans="1:49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 spans="1:49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 spans="1:49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 spans="1:49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 spans="1:49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 spans="1:49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 spans="1:49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 spans="1:49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 spans="1:49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 spans="1:49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 spans="1:49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 spans="1:49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 spans="1:49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 spans="1:49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 spans="1:49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 spans="1:49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 spans="1:49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 spans="1:49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 spans="1:49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 spans="1:49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 spans="1:49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 spans="1:49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 spans="1:49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 spans="1:49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 spans="1:49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 spans="1:49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 spans="1:49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 spans="1:49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 spans="1:49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 spans="1:49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 spans="1:49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 spans="1:49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 spans="1:49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 spans="1:49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 spans="1:49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 spans="1:49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 spans="1:49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 spans="1:49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 spans="1:49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 spans="1:49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 spans="1:49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 spans="1:49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 spans="1:49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 spans="1:49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 spans="1:49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 spans="1:49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 spans="1:49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 spans="1:49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 spans="1:49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 spans="1:49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 spans="1:49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 spans="1:49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 spans="1:49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 spans="1:49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 spans="1:49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 spans="1:49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 spans="1:49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 spans="1:49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 spans="1:49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 spans="1:49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 spans="1:49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 spans="1:49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 spans="1:49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 spans="1:49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 spans="1:49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 spans="1:49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 spans="1:49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 spans="1:49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 spans="1:49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 spans="1:49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 spans="1:49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 spans="1:49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 spans="1:49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 spans="1:49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 spans="1:49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 spans="1:49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 spans="1:49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 spans="1:49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 spans="1:49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 spans="1:49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 spans="1:49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 spans="1:49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 spans="1:49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 spans="1:49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 spans="1:49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spans="1:49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spans="1:49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spans="1:49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 spans="1:49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 spans="1:49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 spans="1:49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 spans="1:49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 spans="1:49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 spans="1:49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 spans="1:49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 spans="1:49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 spans="1:49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 spans="1:49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 spans="1:49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 spans="1:49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 spans="1:49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 spans="1:49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 spans="1:49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 spans="1:49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 spans="1:49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 spans="1:49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  <row r="1001" spans="1:49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</row>
    <row r="1002" spans="1:49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</row>
    <row r="1003" spans="1:49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</row>
    <row r="1004" spans="1:49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</row>
    <row r="1005" spans="1:49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</row>
    <row r="1006" spans="1:49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</row>
    <row r="1007" spans="1:49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</row>
    <row r="1008" spans="1:49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</row>
    <row r="1009" spans="1:49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</row>
    <row r="1010" spans="1:49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</row>
    <row r="1011" spans="1:49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</row>
  </sheetData>
  <mergeCells count="12">
    <mergeCell ref="V1:X1"/>
    <mergeCell ref="Z1:AB1"/>
    <mergeCell ref="B1:D1"/>
    <mergeCell ref="F1:H1"/>
    <mergeCell ref="J1:L1"/>
    <mergeCell ref="N1:P1"/>
    <mergeCell ref="R1:T1"/>
    <mergeCell ref="AD1:AF1"/>
    <mergeCell ref="AH1:AJ1"/>
    <mergeCell ref="AL1:AN1"/>
    <mergeCell ref="AP1:AR1"/>
    <mergeCell ref="AT1:A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A100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outlineLevelRow="1" x14ac:dyDescent="0.15"/>
  <cols>
    <col min="1" max="1" width="25.83203125" customWidth="1"/>
  </cols>
  <sheetData>
    <row r="1" spans="1:53" ht="14" x14ac:dyDescent="0.2">
      <c r="A1" s="130" t="s">
        <v>82</v>
      </c>
      <c r="B1" s="180" t="s">
        <v>83</v>
      </c>
      <c r="C1" s="166"/>
      <c r="D1" s="167"/>
      <c r="E1" s="131"/>
      <c r="F1" s="180" t="s">
        <v>84</v>
      </c>
      <c r="G1" s="166"/>
      <c r="H1" s="167"/>
      <c r="I1" s="131"/>
      <c r="J1" s="180" t="s">
        <v>85</v>
      </c>
      <c r="K1" s="166"/>
      <c r="L1" s="167"/>
      <c r="M1" s="131"/>
      <c r="N1" s="180" t="s">
        <v>86</v>
      </c>
      <c r="O1" s="166"/>
      <c r="P1" s="167"/>
      <c r="Q1" s="131"/>
      <c r="R1" s="180" t="s">
        <v>87</v>
      </c>
      <c r="S1" s="166"/>
      <c r="T1" s="167"/>
      <c r="U1" s="180" t="s">
        <v>88</v>
      </c>
      <c r="V1" s="166"/>
      <c r="W1" s="167"/>
      <c r="X1" s="130"/>
      <c r="Y1" s="180" t="s">
        <v>89</v>
      </c>
      <c r="Z1" s="166"/>
      <c r="AA1" s="167"/>
      <c r="AB1" s="130"/>
      <c r="AC1" s="180" t="s">
        <v>90</v>
      </c>
      <c r="AD1" s="166"/>
      <c r="AE1" s="167"/>
      <c r="AF1" s="143"/>
      <c r="AG1" s="180" t="s">
        <v>91</v>
      </c>
      <c r="AH1" s="166"/>
      <c r="AI1" s="167"/>
      <c r="AJ1" s="143"/>
      <c r="AK1" s="180" t="s">
        <v>92</v>
      </c>
      <c r="AL1" s="166"/>
      <c r="AM1" s="167"/>
      <c r="AN1" s="143"/>
      <c r="AO1" s="180" t="s">
        <v>93</v>
      </c>
      <c r="AP1" s="166"/>
      <c r="AQ1" s="167"/>
      <c r="AR1" s="143"/>
      <c r="AS1" s="180" t="s">
        <v>94</v>
      </c>
      <c r="AT1" s="166"/>
      <c r="AU1" s="167"/>
      <c r="AV1" s="144"/>
      <c r="AW1" s="8"/>
      <c r="AX1" s="8"/>
      <c r="AY1" s="8"/>
      <c r="AZ1" s="8"/>
      <c r="BA1" s="8"/>
    </row>
    <row r="2" spans="1:53" ht="14" x14ac:dyDescent="0.2">
      <c r="A2" s="7"/>
      <c r="B2" s="145">
        <v>1</v>
      </c>
      <c r="C2" s="146">
        <v>2</v>
      </c>
      <c r="D2" s="146">
        <v>3</v>
      </c>
      <c r="E2" s="22"/>
      <c r="F2" s="146">
        <v>4</v>
      </c>
      <c r="G2" s="145">
        <v>5</v>
      </c>
      <c r="H2" s="145">
        <v>6</v>
      </c>
      <c r="I2" s="16"/>
      <c r="J2" s="145">
        <v>7</v>
      </c>
      <c r="K2" s="145">
        <v>8</v>
      </c>
      <c r="L2" s="145">
        <v>9</v>
      </c>
      <c r="M2" s="16"/>
      <c r="N2" s="145">
        <v>10</v>
      </c>
      <c r="O2" s="145">
        <v>11</v>
      </c>
      <c r="P2" s="145">
        <v>12</v>
      </c>
      <c r="Q2" s="30"/>
      <c r="R2" s="145">
        <v>13</v>
      </c>
      <c r="S2" s="145">
        <v>14</v>
      </c>
      <c r="T2" s="145">
        <v>15</v>
      </c>
      <c r="U2" s="145">
        <v>16</v>
      </c>
      <c r="V2" s="145">
        <v>17</v>
      </c>
      <c r="W2" s="145">
        <v>18</v>
      </c>
      <c r="X2" s="30"/>
      <c r="Y2" s="147">
        <v>19</v>
      </c>
      <c r="Z2" s="147">
        <v>20</v>
      </c>
      <c r="AA2" s="147">
        <v>21</v>
      </c>
      <c r="AB2" s="16"/>
      <c r="AC2" s="147">
        <v>22</v>
      </c>
      <c r="AD2" s="147">
        <v>23</v>
      </c>
      <c r="AE2" s="147">
        <v>24</v>
      </c>
      <c r="AF2" s="30"/>
      <c r="AG2" s="147">
        <v>25</v>
      </c>
      <c r="AH2" s="147">
        <v>26</v>
      </c>
      <c r="AI2" s="147">
        <v>27</v>
      </c>
      <c r="AJ2" s="30"/>
      <c r="AK2" s="147">
        <v>28</v>
      </c>
      <c r="AL2" s="147">
        <v>29</v>
      </c>
      <c r="AM2" s="147">
        <v>30</v>
      </c>
      <c r="AN2" s="30"/>
      <c r="AO2" s="147">
        <v>31</v>
      </c>
      <c r="AP2" s="147">
        <v>32</v>
      </c>
      <c r="AQ2" s="147">
        <v>33</v>
      </c>
      <c r="AR2" s="30"/>
      <c r="AS2" s="147">
        <v>34</v>
      </c>
      <c r="AT2" s="147">
        <v>35</v>
      </c>
      <c r="AU2" s="147">
        <v>36</v>
      </c>
      <c r="AV2" s="30"/>
      <c r="AW2" s="8"/>
      <c r="AX2" s="8"/>
      <c r="AY2" s="8"/>
      <c r="AZ2" s="8"/>
      <c r="BA2" s="8"/>
    </row>
    <row r="3" spans="1:53" ht="14" x14ac:dyDescent="0.2">
      <c r="A3" s="148" t="s">
        <v>111</v>
      </c>
      <c r="B3" s="20"/>
      <c r="C3" s="20"/>
      <c r="D3" s="20"/>
      <c r="E3" s="22"/>
      <c r="F3" s="20"/>
      <c r="G3" s="20"/>
      <c r="H3" s="20"/>
      <c r="I3" s="22"/>
      <c r="J3" s="20"/>
      <c r="K3" s="20"/>
      <c r="L3" s="20"/>
      <c r="M3" s="22"/>
      <c r="N3" s="20"/>
      <c r="O3" s="20"/>
      <c r="P3" s="20"/>
      <c r="Q3" s="22"/>
      <c r="R3" s="20"/>
      <c r="S3" s="20"/>
      <c r="T3" s="20"/>
      <c r="U3" s="20"/>
      <c r="V3" s="20"/>
      <c r="W3" s="20"/>
      <c r="X3" s="16"/>
      <c r="Y3" s="8"/>
      <c r="Z3" s="8"/>
      <c r="AA3" s="8"/>
      <c r="AB3" s="16"/>
      <c r="AC3" s="8"/>
      <c r="AD3" s="8"/>
      <c r="AE3" s="8"/>
      <c r="AF3" s="16"/>
      <c r="AG3" s="8"/>
      <c r="AH3" s="8"/>
      <c r="AI3" s="8"/>
      <c r="AJ3" s="16"/>
      <c r="AK3" s="8"/>
      <c r="AL3" s="8"/>
      <c r="AM3" s="8"/>
      <c r="AN3" s="16"/>
      <c r="AO3" s="8"/>
      <c r="AP3" s="8"/>
      <c r="AQ3" s="8"/>
      <c r="AR3" s="16"/>
      <c r="AS3" s="8"/>
      <c r="AT3" s="8"/>
      <c r="AU3" s="8"/>
      <c r="AV3" s="16"/>
      <c r="AW3" s="8"/>
      <c r="AX3" s="8"/>
      <c r="AY3" s="8"/>
      <c r="AZ3" s="8"/>
      <c r="BA3" s="8"/>
    </row>
    <row r="4" spans="1:53" ht="14" outlineLevel="1" x14ac:dyDescent="0.2">
      <c r="A4" s="16" t="s">
        <v>112</v>
      </c>
      <c r="B4" s="139">
        <f t="shared" ref="B4:D4" si="0">250000/12</f>
        <v>20833.333333333332</v>
      </c>
      <c r="C4" s="139">
        <f t="shared" si="0"/>
        <v>20833.333333333332</v>
      </c>
      <c r="D4" s="139">
        <f t="shared" si="0"/>
        <v>20833.333333333332</v>
      </c>
      <c r="E4" s="22"/>
      <c r="F4" s="139">
        <f t="shared" ref="F4:H4" si="1">250000/12</f>
        <v>20833.333333333332</v>
      </c>
      <c r="G4" s="139">
        <f t="shared" si="1"/>
        <v>20833.333333333332</v>
      </c>
      <c r="H4" s="139">
        <f t="shared" si="1"/>
        <v>20833.333333333332</v>
      </c>
      <c r="I4" s="22"/>
      <c r="J4" s="139">
        <f t="shared" ref="J4:L4" si="2">250000/12</f>
        <v>20833.333333333332</v>
      </c>
      <c r="K4" s="139">
        <f t="shared" si="2"/>
        <v>20833.333333333332</v>
      </c>
      <c r="L4" s="139">
        <f t="shared" si="2"/>
        <v>20833.333333333332</v>
      </c>
      <c r="M4" s="22"/>
      <c r="N4" s="139">
        <f t="shared" ref="N4:P4" si="3">250000/12</f>
        <v>20833.333333333332</v>
      </c>
      <c r="O4" s="139">
        <f t="shared" si="3"/>
        <v>20833.333333333332</v>
      </c>
      <c r="P4" s="139">
        <f t="shared" si="3"/>
        <v>20833.333333333332</v>
      </c>
      <c r="Q4" s="22"/>
      <c r="R4" s="139">
        <f t="shared" ref="R4:W4" si="4">250000/12+(250000/12)*(5%)</f>
        <v>21875</v>
      </c>
      <c r="S4" s="139">
        <f t="shared" si="4"/>
        <v>21875</v>
      </c>
      <c r="T4" s="139">
        <f t="shared" si="4"/>
        <v>21875</v>
      </c>
      <c r="U4" s="139">
        <f t="shared" si="4"/>
        <v>21875</v>
      </c>
      <c r="V4" s="139">
        <f t="shared" si="4"/>
        <v>21875</v>
      </c>
      <c r="W4" s="139">
        <f t="shared" si="4"/>
        <v>21875</v>
      </c>
      <c r="X4" s="16"/>
      <c r="Y4" s="139">
        <f t="shared" ref="Y4:AA4" si="5">250000/12+(250000/12)*(5%)</f>
        <v>21875</v>
      </c>
      <c r="Z4" s="139">
        <f t="shared" si="5"/>
        <v>21875</v>
      </c>
      <c r="AA4" s="139">
        <f t="shared" si="5"/>
        <v>21875</v>
      </c>
      <c r="AB4" s="16"/>
      <c r="AC4" s="139">
        <f t="shared" ref="AC4:AE4" si="6">250000/12+(250000/12)*(5%)</f>
        <v>21875</v>
      </c>
      <c r="AD4" s="139">
        <f t="shared" si="6"/>
        <v>21875</v>
      </c>
      <c r="AE4" s="139">
        <f t="shared" si="6"/>
        <v>21875</v>
      </c>
      <c r="AF4" s="22"/>
      <c r="AG4" s="139">
        <f t="shared" ref="AG4:AI4" si="7">21875+21875*5%</f>
        <v>22968.75</v>
      </c>
      <c r="AH4" s="139">
        <f t="shared" si="7"/>
        <v>22968.75</v>
      </c>
      <c r="AI4" s="139">
        <f t="shared" si="7"/>
        <v>22968.75</v>
      </c>
      <c r="AJ4" s="22"/>
      <c r="AK4" s="139">
        <f t="shared" ref="AK4:AM4" si="8">21875+21875*5%</f>
        <v>22968.75</v>
      </c>
      <c r="AL4" s="139">
        <f t="shared" si="8"/>
        <v>22968.75</v>
      </c>
      <c r="AM4" s="139">
        <f t="shared" si="8"/>
        <v>22968.75</v>
      </c>
      <c r="AN4" s="22"/>
      <c r="AO4" s="139">
        <f t="shared" ref="AO4:AQ4" si="9">21875+21875*5%</f>
        <v>22968.75</v>
      </c>
      <c r="AP4" s="139">
        <f t="shared" si="9"/>
        <v>22968.75</v>
      </c>
      <c r="AQ4" s="139">
        <f t="shared" si="9"/>
        <v>22968.75</v>
      </c>
      <c r="AR4" s="22"/>
      <c r="AS4" s="139">
        <f t="shared" ref="AS4:AU4" si="10">21875+21875*5%</f>
        <v>22968.75</v>
      </c>
      <c r="AT4" s="139">
        <f t="shared" si="10"/>
        <v>22968.75</v>
      </c>
      <c r="AU4" s="139">
        <f t="shared" si="10"/>
        <v>22968.75</v>
      </c>
      <c r="AV4" s="16"/>
      <c r="AW4" s="8"/>
      <c r="AX4" s="8"/>
      <c r="AY4" s="8"/>
      <c r="AZ4" s="8"/>
      <c r="BA4" s="8"/>
    </row>
    <row r="5" spans="1:53" ht="14" outlineLevel="1" x14ac:dyDescent="0.2">
      <c r="A5" s="16" t="s">
        <v>113</v>
      </c>
      <c r="B5" s="139">
        <f t="shared" ref="B5:D5" si="11">250000/12</f>
        <v>20833.333333333332</v>
      </c>
      <c r="C5" s="139">
        <f t="shared" si="11"/>
        <v>20833.333333333332</v>
      </c>
      <c r="D5" s="139">
        <f t="shared" si="11"/>
        <v>20833.333333333332</v>
      </c>
      <c r="E5" s="22"/>
      <c r="F5" s="139">
        <f t="shared" ref="F5:H5" si="12">250000/12</f>
        <v>20833.333333333332</v>
      </c>
      <c r="G5" s="139">
        <f t="shared" si="12"/>
        <v>20833.333333333332</v>
      </c>
      <c r="H5" s="139">
        <f t="shared" si="12"/>
        <v>20833.333333333332</v>
      </c>
      <c r="I5" s="22"/>
      <c r="J5" s="139">
        <f t="shared" ref="J5:L5" si="13">250000/12</f>
        <v>20833.333333333332</v>
      </c>
      <c r="K5" s="139">
        <f t="shared" si="13"/>
        <v>20833.333333333332</v>
      </c>
      <c r="L5" s="139">
        <f t="shared" si="13"/>
        <v>20833.333333333332</v>
      </c>
      <c r="M5" s="22"/>
      <c r="N5" s="139">
        <f t="shared" ref="N5:P5" si="14">250000/12</f>
        <v>20833.333333333332</v>
      </c>
      <c r="O5" s="139">
        <f t="shared" si="14"/>
        <v>20833.333333333332</v>
      </c>
      <c r="P5" s="139">
        <f t="shared" si="14"/>
        <v>20833.333333333332</v>
      </c>
      <c r="Q5" s="22"/>
      <c r="R5" s="139">
        <f t="shared" ref="R5:W5" si="15">250000/12+(250000/12)*(5%)</f>
        <v>21875</v>
      </c>
      <c r="S5" s="139">
        <f t="shared" si="15"/>
        <v>21875</v>
      </c>
      <c r="T5" s="139">
        <f t="shared" si="15"/>
        <v>21875</v>
      </c>
      <c r="U5" s="139">
        <f t="shared" si="15"/>
        <v>21875</v>
      </c>
      <c r="V5" s="139">
        <f t="shared" si="15"/>
        <v>21875</v>
      </c>
      <c r="W5" s="139">
        <f t="shared" si="15"/>
        <v>21875</v>
      </c>
      <c r="X5" s="16"/>
      <c r="Y5" s="139">
        <f t="shared" ref="Y5:AA5" si="16">250000/12+(250000/12)*(5%)</f>
        <v>21875</v>
      </c>
      <c r="Z5" s="139">
        <f t="shared" si="16"/>
        <v>21875</v>
      </c>
      <c r="AA5" s="139">
        <f t="shared" si="16"/>
        <v>21875</v>
      </c>
      <c r="AB5" s="16"/>
      <c r="AC5" s="139">
        <f t="shared" ref="AC5:AE5" si="17">250000/12+(250000/12)*(5%)</f>
        <v>21875</v>
      </c>
      <c r="AD5" s="139">
        <f t="shared" si="17"/>
        <v>21875</v>
      </c>
      <c r="AE5" s="139">
        <f t="shared" si="17"/>
        <v>21875</v>
      </c>
      <c r="AF5" s="22"/>
      <c r="AG5" s="139">
        <f t="shared" ref="AG5:AI5" si="18">21875+21875*5%</f>
        <v>22968.75</v>
      </c>
      <c r="AH5" s="139">
        <f t="shared" si="18"/>
        <v>22968.75</v>
      </c>
      <c r="AI5" s="139">
        <f t="shared" si="18"/>
        <v>22968.75</v>
      </c>
      <c r="AJ5" s="22"/>
      <c r="AK5" s="139">
        <f t="shared" ref="AK5:AM5" si="19">21875+21875*5%</f>
        <v>22968.75</v>
      </c>
      <c r="AL5" s="139">
        <f t="shared" si="19"/>
        <v>22968.75</v>
      </c>
      <c r="AM5" s="139">
        <f t="shared" si="19"/>
        <v>22968.75</v>
      </c>
      <c r="AN5" s="22"/>
      <c r="AO5" s="139">
        <f t="shared" ref="AO5:AQ5" si="20">21875+21875*5%</f>
        <v>22968.75</v>
      </c>
      <c r="AP5" s="139">
        <f t="shared" si="20"/>
        <v>22968.75</v>
      </c>
      <c r="AQ5" s="139">
        <f t="shared" si="20"/>
        <v>22968.75</v>
      </c>
      <c r="AR5" s="22"/>
      <c r="AS5" s="139">
        <f t="shared" ref="AS5:AU5" si="21">21875+21875*5%</f>
        <v>22968.75</v>
      </c>
      <c r="AT5" s="139">
        <f t="shared" si="21"/>
        <v>22968.75</v>
      </c>
      <c r="AU5" s="139">
        <f t="shared" si="21"/>
        <v>22968.75</v>
      </c>
      <c r="AV5" s="16"/>
      <c r="AW5" s="8"/>
      <c r="AX5" s="8"/>
      <c r="AY5" s="8"/>
      <c r="AZ5" s="8"/>
      <c r="BA5" s="8"/>
    </row>
    <row r="6" spans="1:53" ht="14" outlineLevel="1" x14ac:dyDescent="0.2">
      <c r="A6" s="16" t="s">
        <v>114</v>
      </c>
      <c r="B6" s="139">
        <f t="shared" ref="B6:D6" si="22">250000/12</f>
        <v>20833.333333333332</v>
      </c>
      <c r="C6" s="139">
        <f t="shared" si="22"/>
        <v>20833.333333333332</v>
      </c>
      <c r="D6" s="139">
        <f t="shared" si="22"/>
        <v>20833.333333333332</v>
      </c>
      <c r="E6" s="22"/>
      <c r="F6" s="139">
        <f t="shared" ref="F6:H6" si="23">250000/12</f>
        <v>20833.333333333332</v>
      </c>
      <c r="G6" s="139">
        <f t="shared" si="23"/>
        <v>20833.333333333332</v>
      </c>
      <c r="H6" s="139">
        <f t="shared" si="23"/>
        <v>20833.333333333332</v>
      </c>
      <c r="I6" s="22"/>
      <c r="J6" s="139">
        <f t="shared" ref="J6:L6" si="24">250000/12</f>
        <v>20833.333333333332</v>
      </c>
      <c r="K6" s="139">
        <f t="shared" si="24"/>
        <v>20833.333333333332</v>
      </c>
      <c r="L6" s="139">
        <f t="shared" si="24"/>
        <v>20833.333333333332</v>
      </c>
      <c r="M6" s="22"/>
      <c r="N6" s="139">
        <f t="shared" ref="N6:P6" si="25">250000/12</f>
        <v>20833.333333333332</v>
      </c>
      <c r="O6" s="139">
        <f t="shared" si="25"/>
        <v>20833.333333333332</v>
      </c>
      <c r="P6" s="139">
        <f t="shared" si="25"/>
        <v>20833.333333333332</v>
      </c>
      <c r="Q6" s="22"/>
      <c r="R6" s="139">
        <f t="shared" ref="R6:W6" si="26">250000/12+(250000/12)*(5%)</f>
        <v>21875</v>
      </c>
      <c r="S6" s="139">
        <f t="shared" si="26"/>
        <v>21875</v>
      </c>
      <c r="T6" s="139">
        <f t="shared" si="26"/>
        <v>21875</v>
      </c>
      <c r="U6" s="139">
        <f t="shared" si="26"/>
        <v>21875</v>
      </c>
      <c r="V6" s="139">
        <f t="shared" si="26"/>
        <v>21875</v>
      </c>
      <c r="W6" s="139">
        <f t="shared" si="26"/>
        <v>21875</v>
      </c>
      <c r="X6" s="16"/>
      <c r="Y6" s="139">
        <f t="shared" ref="Y6:AA6" si="27">250000/12+(250000/12)*(5%)</f>
        <v>21875</v>
      </c>
      <c r="Z6" s="139">
        <f t="shared" si="27"/>
        <v>21875</v>
      </c>
      <c r="AA6" s="139">
        <f t="shared" si="27"/>
        <v>21875</v>
      </c>
      <c r="AB6" s="16"/>
      <c r="AC6" s="139">
        <f t="shared" ref="AC6:AE6" si="28">250000/12+(250000/12)*(5%)</f>
        <v>21875</v>
      </c>
      <c r="AD6" s="139">
        <f t="shared" si="28"/>
        <v>21875</v>
      </c>
      <c r="AE6" s="139">
        <f t="shared" si="28"/>
        <v>21875</v>
      </c>
      <c r="AF6" s="22"/>
      <c r="AG6" s="139">
        <f t="shared" ref="AG6:AI6" si="29">21875+21875*5%</f>
        <v>22968.75</v>
      </c>
      <c r="AH6" s="139">
        <f t="shared" si="29"/>
        <v>22968.75</v>
      </c>
      <c r="AI6" s="139">
        <f t="shared" si="29"/>
        <v>22968.75</v>
      </c>
      <c r="AJ6" s="22"/>
      <c r="AK6" s="139">
        <f t="shared" ref="AK6:AM6" si="30">21875+21875*5%</f>
        <v>22968.75</v>
      </c>
      <c r="AL6" s="139">
        <f t="shared" si="30"/>
        <v>22968.75</v>
      </c>
      <c r="AM6" s="139">
        <f t="shared" si="30"/>
        <v>22968.75</v>
      </c>
      <c r="AN6" s="22"/>
      <c r="AO6" s="139">
        <f t="shared" ref="AO6:AQ6" si="31">21875+21875*5%</f>
        <v>22968.75</v>
      </c>
      <c r="AP6" s="139">
        <f t="shared" si="31"/>
        <v>22968.75</v>
      </c>
      <c r="AQ6" s="139">
        <f t="shared" si="31"/>
        <v>22968.75</v>
      </c>
      <c r="AR6" s="22"/>
      <c r="AS6" s="139">
        <f t="shared" ref="AS6:AU6" si="32">21875+21875*5%</f>
        <v>22968.75</v>
      </c>
      <c r="AT6" s="139">
        <f t="shared" si="32"/>
        <v>22968.75</v>
      </c>
      <c r="AU6" s="139">
        <f t="shared" si="32"/>
        <v>22968.75</v>
      </c>
      <c r="AV6" s="16"/>
      <c r="AW6" s="8"/>
      <c r="AX6" s="8"/>
      <c r="AY6" s="8"/>
      <c r="AZ6" s="8"/>
      <c r="BA6" s="8"/>
    </row>
    <row r="7" spans="1:53" ht="14" outlineLevel="1" x14ac:dyDescent="0.2">
      <c r="A7" s="16" t="s">
        <v>115</v>
      </c>
      <c r="B7" s="139">
        <v>5000</v>
      </c>
      <c r="C7" s="139">
        <v>5000</v>
      </c>
      <c r="D7" s="139">
        <v>5000</v>
      </c>
      <c r="E7" s="22"/>
      <c r="F7" s="139">
        <v>5000</v>
      </c>
      <c r="G7" s="139">
        <v>5000</v>
      </c>
      <c r="H7" s="139">
        <v>5000</v>
      </c>
      <c r="I7" s="22"/>
      <c r="J7" s="139">
        <v>15000</v>
      </c>
      <c r="K7" s="139">
        <v>15000</v>
      </c>
      <c r="L7" s="139">
        <v>15000</v>
      </c>
      <c r="M7" s="22"/>
      <c r="N7" s="139">
        <v>15000</v>
      </c>
      <c r="O7" s="139">
        <v>15000</v>
      </c>
      <c r="P7" s="139">
        <v>15000</v>
      </c>
      <c r="Q7" s="22"/>
      <c r="R7" s="139">
        <f t="shared" ref="R7:W7" si="33">15000+15000*5%</f>
        <v>15750</v>
      </c>
      <c r="S7" s="139">
        <f t="shared" si="33"/>
        <v>15750</v>
      </c>
      <c r="T7" s="139">
        <f t="shared" si="33"/>
        <v>15750</v>
      </c>
      <c r="U7" s="139">
        <f t="shared" si="33"/>
        <v>15750</v>
      </c>
      <c r="V7" s="139">
        <f t="shared" si="33"/>
        <v>15750</v>
      </c>
      <c r="W7" s="139">
        <f t="shared" si="33"/>
        <v>15750</v>
      </c>
      <c r="X7" s="16"/>
      <c r="Y7" s="139">
        <f t="shared" ref="Y7:AA7" si="34">15000+15000*5%</f>
        <v>15750</v>
      </c>
      <c r="Z7" s="139">
        <f t="shared" si="34"/>
        <v>15750</v>
      </c>
      <c r="AA7" s="139">
        <f t="shared" si="34"/>
        <v>15750</v>
      </c>
      <c r="AB7" s="16"/>
      <c r="AC7" s="139">
        <f t="shared" ref="AC7:AE7" si="35">15000+15000*5%</f>
        <v>15750</v>
      </c>
      <c r="AD7" s="139">
        <f t="shared" si="35"/>
        <v>15750</v>
      </c>
      <c r="AE7" s="139">
        <f t="shared" si="35"/>
        <v>15750</v>
      </c>
      <c r="AF7" s="22"/>
      <c r="AG7" s="139">
        <f t="shared" ref="AG7:AI7" si="36">15750+15750*5%</f>
        <v>16537.5</v>
      </c>
      <c r="AH7" s="139">
        <f t="shared" si="36"/>
        <v>16537.5</v>
      </c>
      <c r="AI7" s="139">
        <f t="shared" si="36"/>
        <v>16537.5</v>
      </c>
      <c r="AJ7" s="22"/>
      <c r="AK7" s="139">
        <f t="shared" ref="AK7:AM7" si="37">15750+15750*5%</f>
        <v>16537.5</v>
      </c>
      <c r="AL7" s="139">
        <f t="shared" si="37"/>
        <v>16537.5</v>
      </c>
      <c r="AM7" s="139">
        <f t="shared" si="37"/>
        <v>16537.5</v>
      </c>
      <c r="AN7" s="22"/>
      <c r="AO7" s="139">
        <f t="shared" ref="AO7:AQ7" si="38">15750+15750*5%</f>
        <v>16537.5</v>
      </c>
      <c r="AP7" s="139">
        <f t="shared" si="38"/>
        <v>16537.5</v>
      </c>
      <c r="AQ7" s="139">
        <f t="shared" si="38"/>
        <v>16537.5</v>
      </c>
      <c r="AR7" s="22"/>
      <c r="AS7" s="139">
        <f t="shared" ref="AS7:AU7" si="39">15750+15750*5%</f>
        <v>16537.5</v>
      </c>
      <c r="AT7" s="139">
        <f t="shared" si="39"/>
        <v>16537.5</v>
      </c>
      <c r="AU7" s="139">
        <f t="shared" si="39"/>
        <v>16537.5</v>
      </c>
      <c r="AV7" s="16"/>
      <c r="AW7" s="8"/>
      <c r="AX7" s="8"/>
      <c r="AY7" s="8"/>
      <c r="AZ7" s="8"/>
      <c r="BA7" s="8"/>
    </row>
    <row r="8" spans="1:53" ht="14" outlineLevel="1" x14ac:dyDescent="0.2">
      <c r="A8" s="16" t="s">
        <v>116</v>
      </c>
      <c r="B8" s="139">
        <v>0</v>
      </c>
      <c r="C8" s="139">
        <v>15000</v>
      </c>
      <c r="D8" s="139">
        <v>15000</v>
      </c>
      <c r="E8" s="22"/>
      <c r="F8" s="139">
        <v>15000</v>
      </c>
      <c r="G8" s="139">
        <v>15000</v>
      </c>
      <c r="H8" s="139">
        <v>15000</v>
      </c>
      <c r="I8" s="22"/>
      <c r="J8" s="139">
        <v>15000</v>
      </c>
      <c r="K8" s="139">
        <v>15000</v>
      </c>
      <c r="L8" s="139">
        <v>15000</v>
      </c>
      <c r="M8" s="22"/>
      <c r="N8" s="139">
        <v>15000</v>
      </c>
      <c r="O8" s="139">
        <v>15000</v>
      </c>
      <c r="P8" s="139">
        <v>15000</v>
      </c>
      <c r="Q8" s="22"/>
      <c r="R8" s="139">
        <f t="shared" ref="R8:W8" si="40">15000+15000*5%</f>
        <v>15750</v>
      </c>
      <c r="S8" s="139">
        <f t="shared" si="40"/>
        <v>15750</v>
      </c>
      <c r="T8" s="139">
        <f t="shared" si="40"/>
        <v>15750</v>
      </c>
      <c r="U8" s="139">
        <f t="shared" si="40"/>
        <v>15750</v>
      </c>
      <c r="V8" s="139">
        <f t="shared" si="40"/>
        <v>15750</v>
      </c>
      <c r="W8" s="139">
        <f t="shared" si="40"/>
        <v>15750</v>
      </c>
      <c r="X8" s="16"/>
      <c r="Y8" s="139">
        <f t="shared" ref="Y8:AA8" si="41">15000+15000*5%</f>
        <v>15750</v>
      </c>
      <c r="Z8" s="139">
        <f t="shared" si="41"/>
        <v>15750</v>
      </c>
      <c r="AA8" s="139">
        <f t="shared" si="41"/>
        <v>15750</v>
      </c>
      <c r="AB8" s="16"/>
      <c r="AC8" s="139">
        <f t="shared" ref="AC8:AE8" si="42">15000+15000*5%</f>
        <v>15750</v>
      </c>
      <c r="AD8" s="139">
        <f t="shared" si="42"/>
        <v>15750</v>
      </c>
      <c r="AE8" s="139">
        <f t="shared" si="42"/>
        <v>15750</v>
      </c>
      <c r="AF8" s="22"/>
      <c r="AG8" s="139">
        <f t="shared" ref="AG8:AI8" si="43">15750+15750*5%</f>
        <v>16537.5</v>
      </c>
      <c r="AH8" s="139">
        <f t="shared" si="43"/>
        <v>16537.5</v>
      </c>
      <c r="AI8" s="139">
        <f t="shared" si="43"/>
        <v>16537.5</v>
      </c>
      <c r="AJ8" s="22"/>
      <c r="AK8" s="139">
        <f t="shared" ref="AK8:AM8" si="44">15750+15750*5%</f>
        <v>16537.5</v>
      </c>
      <c r="AL8" s="139">
        <f t="shared" si="44"/>
        <v>16537.5</v>
      </c>
      <c r="AM8" s="139">
        <f t="shared" si="44"/>
        <v>16537.5</v>
      </c>
      <c r="AN8" s="22"/>
      <c r="AO8" s="139">
        <f t="shared" ref="AO8:AQ8" si="45">15750+15750*5%</f>
        <v>16537.5</v>
      </c>
      <c r="AP8" s="139">
        <f t="shared" si="45"/>
        <v>16537.5</v>
      </c>
      <c r="AQ8" s="139">
        <f t="shared" si="45"/>
        <v>16537.5</v>
      </c>
      <c r="AR8" s="22"/>
      <c r="AS8" s="139">
        <f t="shared" ref="AS8:AU8" si="46">15750+15750*5%</f>
        <v>16537.5</v>
      </c>
      <c r="AT8" s="139">
        <f t="shared" si="46"/>
        <v>16537.5</v>
      </c>
      <c r="AU8" s="139">
        <f t="shared" si="46"/>
        <v>16537.5</v>
      </c>
      <c r="AV8" s="16"/>
      <c r="AW8" s="8"/>
      <c r="AX8" s="8"/>
      <c r="AY8" s="8"/>
      <c r="AZ8" s="8"/>
      <c r="BA8" s="8"/>
    </row>
    <row r="9" spans="1:53" ht="14" outlineLevel="1" x14ac:dyDescent="0.2">
      <c r="A9" s="16" t="s">
        <v>117</v>
      </c>
      <c r="B9" s="139">
        <v>0</v>
      </c>
      <c r="C9" s="139">
        <v>15000</v>
      </c>
      <c r="D9" s="139">
        <v>15000</v>
      </c>
      <c r="E9" s="22"/>
      <c r="F9" s="139">
        <v>15000</v>
      </c>
      <c r="G9" s="139">
        <v>15000</v>
      </c>
      <c r="H9" s="139">
        <v>15000</v>
      </c>
      <c r="I9" s="22"/>
      <c r="J9" s="139">
        <v>15000</v>
      </c>
      <c r="K9" s="139">
        <v>15000</v>
      </c>
      <c r="L9" s="139">
        <v>15000</v>
      </c>
      <c r="M9" s="22"/>
      <c r="N9" s="139">
        <v>15000</v>
      </c>
      <c r="O9" s="139">
        <v>15000</v>
      </c>
      <c r="P9" s="139">
        <v>15000</v>
      </c>
      <c r="Q9" s="22"/>
      <c r="R9" s="139">
        <f t="shared" ref="R9:W9" si="47">15000+15000*5%</f>
        <v>15750</v>
      </c>
      <c r="S9" s="139">
        <f t="shared" si="47"/>
        <v>15750</v>
      </c>
      <c r="T9" s="139">
        <f t="shared" si="47"/>
        <v>15750</v>
      </c>
      <c r="U9" s="139">
        <f t="shared" si="47"/>
        <v>15750</v>
      </c>
      <c r="V9" s="139">
        <f t="shared" si="47"/>
        <v>15750</v>
      </c>
      <c r="W9" s="139">
        <f t="shared" si="47"/>
        <v>15750</v>
      </c>
      <c r="X9" s="16"/>
      <c r="Y9" s="139">
        <f t="shared" ref="Y9:AA9" si="48">15000+15000*5%</f>
        <v>15750</v>
      </c>
      <c r="Z9" s="139">
        <f t="shared" si="48"/>
        <v>15750</v>
      </c>
      <c r="AA9" s="139">
        <f t="shared" si="48"/>
        <v>15750</v>
      </c>
      <c r="AB9" s="16"/>
      <c r="AC9" s="139">
        <f t="shared" ref="AC9:AE9" si="49">15000+15000*5%</f>
        <v>15750</v>
      </c>
      <c r="AD9" s="139">
        <f t="shared" si="49"/>
        <v>15750</v>
      </c>
      <c r="AE9" s="139">
        <f t="shared" si="49"/>
        <v>15750</v>
      </c>
      <c r="AF9" s="22"/>
      <c r="AG9" s="139">
        <f t="shared" ref="AG9:AI9" si="50">15750+15750*5%</f>
        <v>16537.5</v>
      </c>
      <c r="AH9" s="139">
        <f t="shared" si="50"/>
        <v>16537.5</v>
      </c>
      <c r="AI9" s="139">
        <f t="shared" si="50"/>
        <v>16537.5</v>
      </c>
      <c r="AJ9" s="22"/>
      <c r="AK9" s="139">
        <f t="shared" ref="AK9:AM9" si="51">15750+15750*5%</f>
        <v>16537.5</v>
      </c>
      <c r="AL9" s="139">
        <f t="shared" si="51"/>
        <v>16537.5</v>
      </c>
      <c r="AM9" s="139">
        <f t="shared" si="51"/>
        <v>16537.5</v>
      </c>
      <c r="AN9" s="22"/>
      <c r="AO9" s="139">
        <f t="shared" ref="AO9:AQ9" si="52">15750+15750*5%</f>
        <v>16537.5</v>
      </c>
      <c r="AP9" s="139">
        <f t="shared" si="52"/>
        <v>16537.5</v>
      </c>
      <c r="AQ9" s="139">
        <f t="shared" si="52"/>
        <v>16537.5</v>
      </c>
      <c r="AR9" s="22"/>
      <c r="AS9" s="139">
        <f t="shared" ref="AS9:AU9" si="53">15750+15750*5%</f>
        <v>16537.5</v>
      </c>
      <c r="AT9" s="139">
        <f t="shared" si="53"/>
        <v>16537.5</v>
      </c>
      <c r="AU9" s="139">
        <f t="shared" si="53"/>
        <v>16537.5</v>
      </c>
      <c r="AV9" s="16"/>
      <c r="AW9" s="8"/>
      <c r="AX9" s="8"/>
      <c r="AY9" s="8"/>
      <c r="AZ9" s="8"/>
      <c r="BA9" s="8"/>
    </row>
    <row r="10" spans="1:53" ht="14" outlineLevel="1" x14ac:dyDescent="0.2">
      <c r="A10" s="16" t="s">
        <v>118</v>
      </c>
      <c r="B10" s="139">
        <v>0</v>
      </c>
      <c r="C10" s="139">
        <v>10000</v>
      </c>
      <c r="D10" s="139">
        <v>10000</v>
      </c>
      <c r="E10" s="22"/>
      <c r="F10" s="139">
        <v>10000</v>
      </c>
      <c r="G10" s="139">
        <v>10000</v>
      </c>
      <c r="H10" s="139">
        <v>10000</v>
      </c>
      <c r="I10" s="22"/>
      <c r="J10" s="139">
        <v>10000</v>
      </c>
      <c r="K10" s="139">
        <v>10000</v>
      </c>
      <c r="L10" s="139">
        <v>10000</v>
      </c>
      <c r="M10" s="22"/>
      <c r="N10" s="139">
        <v>10000</v>
      </c>
      <c r="O10" s="139">
        <v>10000</v>
      </c>
      <c r="P10" s="139">
        <v>10000</v>
      </c>
      <c r="Q10" s="22"/>
      <c r="R10" s="139">
        <f t="shared" ref="R10:W10" si="54">10000+10000*5%</f>
        <v>10500</v>
      </c>
      <c r="S10" s="139">
        <f t="shared" si="54"/>
        <v>10500</v>
      </c>
      <c r="T10" s="139">
        <f t="shared" si="54"/>
        <v>10500</v>
      </c>
      <c r="U10" s="139">
        <f t="shared" si="54"/>
        <v>10500</v>
      </c>
      <c r="V10" s="139">
        <f t="shared" si="54"/>
        <v>10500</v>
      </c>
      <c r="W10" s="139">
        <f t="shared" si="54"/>
        <v>10500</v>
      </c>
      <c r="X10" s="16"/>
      <c r="Y10" s="139">
        <f t="shared" ref="Y10:AA10" si="55">10000+10000*5%</f>
        <v>10500</v>
      </c>
      <c r="Z10" s="139">
        <f t="shared" si="55"/>
        <v>10500</v>
      </c>
      <c r="AA10" s="139">
        <f t="shared" si="55"/>
        <v>10500</v>
      </c>
      <c r="AB10" s="16"/>
      <c r="AC10" s="139">
        <f t="shared" ref="AC10:AE10" si="56">10000+10000*5%</f>
        <v>10500</v>
      </c>
      <c r="AD10" s="139">
        <f t="shared" si="56"/>
        <v>10500</v>
      </c>
      <c r="AE10" s="139">
        <f t="shared" si="56"/>
        <v>10500</v>
      </c>
      <c r="AF10" s="22"/>
      <c r="AG10" s="139">
        <f t="shared" ref="AG10:AI10" si="57">10500+10500*5%</f>
        <v>11025</v>
      </c>
      <c r="AH10" s="139">
        <f t="shared" si="57"/>
        <v>11025</v>
      </c>
      <c r="AI10" s="139">
        <f t="shared" si="57"/>
        <v>11025</v>
      </c>
      <c r="AJ10" s="22"/>
      <c r="AK10" s="139">
        <f t="shared" ref="AK10:AM10" si="58">10500+10500*5%</f>
        <v>11025</v>
      </c>
      <c r="AL10" s="139">
        <f t="shared" si="58"/>
        <v>11025</v>
      </c>
      <c r="AM10" s="139">
        <f t="shared" si="58"/>
        <v>11025</v>
      </c>
      <c r="AN10" s="22"/>
      <c r="AO10" s="139">
        <f t="shared" ref="AO10:AQ10" si="59">10500+10500*5%</f>
        <v>11025</v>
      </c>
      <c r="AP10" s="139">
        <f t="shared" si="59"/>
        <v>11025</v>
      </c>
      <c r="AQ10" s="139">
        <f t="shared" si="59"/>
        <v>11025</v>
      </c>
      <c r="AR10" s="22"/>
      <c r="AS10" s="139">
        <f t="shared" ref="AS10:AU10" si="60">10500+10500*5%</f>
        <v>11025</v>
      </c>
      <c r="AT10" s="139">
        <f t="shared" si="60"/>
        <v>11025</v>
      </c>
      <c r="AU10" s="139">
        <f t="shared" si="60"/>
        <v>11025</v>
      </c>
      <c r="AV10" s="16"/>
      <c r="AW10" s="8"/>
      <c r="AX10" s="8"/>
      <c r="AY10" s="8"/>
      <c r="AZ10" s="8"/>
      <c r="BA10" s="8"/>
    </row>
    <row r="11" spans="1:53" ht="14" outlineLevel="1" x14ac:dyDescent="0.2">
      <c r="A11" s="16" t="s">
        <v>119</v>
      </c>
      <c r="B11" s="139">
        <v>0</v>
      </c>
      <c r="C11" s="139">
        <v>10000</v>
      </c>
      <c r="D11" s="139">
        <v>10000</v>
      </c>
      <c r="E11" s="22"/>
      <c r="F11" s="139">
        <v>10000</v>
      </c>
      <c r="G11" s="139">
        <v>10000</v>
      </c>
      <c r="H11" s="139">
        <v>10000</v>
      </c>
      <c r="I11" s="22"/>
      <c r="J11" s="139">
        <v>10000</v>
      </c>
      <c r="K11" s="139">
        <v>10000</v>
      </c>
      <c r="L11" s="139">
        <v>10000</v>
      </c>
      <c r="M11" s="22"/>
      <c r="N11" s="139">
        <v>10000</v>
      </c>
      <c r="O11" s="139">
        <v>10000</v>
      </c>
      <c r="P11" s="139">
        <v>10000</v>
      </c>
      <c r="Q11" s="22"/>
      <c r="R11" s="139">
        <f t="shared" ref="R11:W11" si="61">10000+10000*5%</f>
        <v>10500</v>
      </c>
      <c r="S11" s="139">
        <f t="shared" si="61"/>
        <v>10500</v>
      </c>
      <c r="T11" s="139">
        <f t="shared" si="61"/>
        <v>10500</v>
      </c>
      <c r="U11" s="139">
        <f t="shared" si="61"/>
        <v>10500</v>
      </c>
      <c r="V11" s="139">
        <f t="shared" si="61"/>
        <v>10500</v>
      </c>
      <c r="W11" s="139">
        <f t="shared" si="61"/>
        <v>10500</v>
      </c>
      <c r="X11" s="16"/>
      <c r="Y11" s="139">
        <f t="shared" ref="Y11:AA11" si="62">10000+10000*5%</f>
        <v>10500</v>
      </c>
      <c r="Z11" s="139">
        <f t="shared" si="62"/>
        <v>10500</v>
      </c>
      <c r="AA11" s="139">
        <f t="shared" si="62"/>
        <v>10500</v>
      </c>
      <c r="AB11" s="16"/>
      <c r="AC11" s="139">
        <f t="shared" ref="AC11:AE11" si="63">10000+10000*5%</f>
        <v>10500</v>
      </c>
      <c r="AD11" s="139">
        <f t="shared" si="63"/>
        <v>10500</v>
      </c>
      <c r="AE11" s="139">
        <f t="shared" si="63"/>
        <v>10500</v>
      </c>
      <c r="AF11" s="22"/>
      <c r="AG11" s="139">
        <f t="shared" ref="AG11:AI11" si="64">10500+10500*5%</f>
        <v>11025</v>
      </c>
      <c r="AH11" s="139">
        <f t="shared" si="64"/>
        <v>11025</v>
      </c>
      <c r="AI11" s="139">
        <f t="shared" si="64"/>
        <v>11025</v>
      </c>
      <c r="AJ11" s="22"/>
      <c r="AK11" s="139">
        <f t="shared" ref="AK11:AM11" si="65">10500+10500*5%</f>
        <v>11025</v>
      </c>
      <c r="AL11" s="139">
        <f t="shared" si="65"/>
        <v>11025</v>
      </c>
      <c r="AM11" s="139">
        <f t="shared" si="65"/>
        <v>11025</v>
      </c>
      <c r="AN11" s="22"/>
      <c r="AO11" s="139">
        <f t="shared" ref="AO11:AQ11" si="66">10500+10500*5%</f>
        <v>11025</v>
      </c>
      <c r="AP11" s="139">
        <f t="shared" si="66"/>
        <v>11025</v>
      </c>
      <c r="AQ11" s="139">
        <f t="shared" si="66"/>
        <v>11025</v>
      </c>
      <c r="AR11" s="22"/>
      <c r="AS11" s="139">
        <f t="shared" ref="AS11:AU11" si="67">10500+10500*5%</f>
        <v>11025</v>
      </c>
      <c r="AT11" s="139">
        <f t="shared" si="67"/>
        <v>11025</v>
      </c>
      <c r="AU11" s="139">
        <f t="shared" si="67"/>
        <v>11025</v>
      </c>
      <c r="AV11" s="16"/>
      <c r="AW11" s="8"/>
      <c r="AX11" s="8"/>
      <c r="AY11" s="8"/>
      <c r="AZ11" s="8"/>
      <c r="BA11" s="8"/>
    </row>
    <row r="12" spans="1:53" ht="14" outlineLevel="1" x14ac:dyDescent="0.2">
      <c r="A12" s="16" t="s">
        <v>120</v>
      </c>
      <c r="B12" s="139">
        <v>0</v>
      </c>
      <c r="C12" s="139">
        <v>10000</v>
      </c>
      <c r="D12" s="139">
        <v>10000</v>
      </c>
      <c r="E12" s="22"/>
      <c r="F12" s="139">
        <v>10000</v>
      </c>
      <c r="G12" s="139">
        <v>10000</v>
      </c>
      <c r="H12" s="139">
        <v>10000</v>
      </c>
      <c r="I12" s="22"/>
      <c r="J12" s="139">
        <v>10000</v>
      </c>
      <c r="K12" s="139">
        <v>10000</v>
      </c>
      <c r="L12" s="139">
        <v>10000</v>
      </c>
      <c r="M12" s="22"/>
      <c r="N12" s="139">
        <v>10000</v>
      </c>
      <c r="O12" s="139">
        <v>10000</v>
      </c>
      <c r="P12" s="139">
        <v>10000</v>
      </c>
      <c r="Q12" s="22"/>
      <c r="R12" s="139">
        <f t="shared" ref="R12:W12" si="68">10000+10000*5%</f>
        <v>10500</v>
      </c>
      <c r="S12" s="139">
        <f t="shared" si="68"/>
        <v>10500</v>
      </c>
      <c r="T12" s="139">
        <f t="shared" si="68"/>
        <v>10500</v>
      </c>
      <c r="U12" s="139">
        <f t="shared" si="68"/>
        <v>10500</v>
      </c>
      <c r="V12" s="139">
        <f t="shared" si="68"/>
        <v>10500</v>
      </c>
      <c r="W12" s="139">
        <f t="shared" si="68"/>
        <v>10500</v>
      </c>
      <c r="X12" s="16"/>
      <c r="Y12" s="139">
        <f t="shared" ref="Y12:AA12" si="69">10000+10000*5%</f>
        <v>10500</v>
      </c>
      <c r="Z12" s="139">
        <f t="shared" si="69"/>
        <v>10500</v>
      </c>
      <c r="AA12" s="139">
        <f t="shared" si="69"/>
        <v>10500</v>
      </c>
      <c r="AB12" s="16"/>
      <c r="AC12" s="139">
        <f t="shared" ref="AC12:AE12" si="70">10000+10000*5%</f>
        <v>10500</v>
      </c>
      <c r="AD12" s="139">
        <f t="shared" si="70"/>
        <v>10500</v>
      </c>
      <c r="AE12" s="139">
        <f t="shared" si="70"/>
        <v>10500</v>
      </c>
      <c r="AF12" s="22"/>
      <c r="AG12" s="139">
        <f t="shared" ref="AG12:AI12" si="71">10500+10500*5%</f>
        <v>11025</v>
      </c>
      <c r="AH12" s="139">
        <f t="shared" si="71"/>
        <v>11025</v>
      </c>
      <c r="AI12" s="139">
        <f t="shared" si="71"/>
        <v>11025</v>
      </c>
      <c r="AJ12" s="22"/>
      <c r="AK12" s="139">
        <f t="shared" ref="AK12:AM12" si="72">10500+10500*5%</f>
        <v>11025</v>
      </c>
      <c r="AL12" s="139">
        <f t="shared" si="72"/>
        <v>11025</v>
      </c>
      <c r="AM12" s="139">
        <f t="shared" si="72"/>
        <v>11025</v>
      </c>
      <c r="AN12" s="22"/>
      <c r="AO12" s="139">
        <f t="shared" ref="AO12:AQ12" si="73">10500+10500*5%</f>
        <v>11025</v>
      </c>
      <c r="AP12" s="139">
        <f t="shared" si="73"/>
        <v>11025</v>
      </c>
      <c r="AQ12" s="139">
        <f t="shared" si="73"/>
        <v>11025</v>
      </c>
      <c r="AR12" s="22"/>
      <c r="AS12" s="139">
        <f t="shared" ref="AS12:AU12" si="74">10500+10500*5%</f>
        <v>11025</v>
      </c>
      <c r="AT12" s="139">
        <f t="shared" si="74"/>
        <v>11025</v>
      </c>
      <c r="AU12" s="139">
        <f t="shared" si="74"/>
        <v>11025</v>
      </c>
      <c r="AV12" s="16"/>
      <c r="AW12" s="8"/>
      <c r="AX12" s="8"/>
      <c r="AY12" s="8"/>
      <c r="AZ12" s="8"/>
      <c r="BA12" s="8"/>
    </row>
    <row r="13" spans="1:53" ht="14" outlineLevel="1" x14ac:dyDescent="0.2">
      <c r="A13" s="16" t="s">
        <v>121</v>
      </c>
      <c r="B13" s="139">
        <v>0</v>
      </c>
      <c r="C13" s="139">
        <v>0</v>
      </c>
      <c r="D13" s="139">
        <v>0</v>
      </c>
      <c r="E13" s="22"/>
      <c r="F13" s="139">
        <v>0</v>
      </c>
      <c r="G13" s="139">
        <v>0</v>
      </c>
      <c r="H13" s="139">
        <v>15000</v>
      </c>
      <c r="I13" s="22"/>
      <c r="J13" s="139">
        <v>15000</v>
      </c>
      <c r="K13" s="139">
        <v>15000</v>
      </c>
      <c r="L13" s="139">
        <v>15000</v>
      </c>
      <c r="M13" s="22"/>
      <c r="N13" s="139">
        <v>15000</v>
      </c>
      <c r="O13" s="139">
        <v>15000</v>
      </c>
      <c r="P13" s="139">
        <v>15000</v>
      </c>
      <c r="Q13" s="22"/>
      <c r="R13" s="139">
        <f t="shared" ref="R13:W13" si="75">15000+15000*5%</f>
        <v>15750</v>
      </c>
      <c r="S13" s="139">
        <f t="shared" si="75"/>
        <v>15750</v>
      </c>
      <c r="T13" s="139">
        <f t="shared" si="75"/>
        <v>15750</v>
      </c>
      <c r="U13" s="139">
        <f t="shared" si="75"/>
        <v>15750</v>
      </c>
      <c r="V13" s="139">
        <f t="shared" si="75"/>
        <v>15750</v>
      </c>
      <c r="W13" s="139">
        <f t="shared" si="75"/>
        <v>15750</v>
      </c>
      <c r="X13" s="16"/>
      <c r="Y13" s="139">
        <f t="shared" ref="Y13:AA13" si="76">15000+15000*5%</f>
        <v>15750</v>
      </c>
      <c r="Z13" s="139">
        <f t="shared" si="76"/>
        <v>15750</v>
      </c>
      <c r="AA13" s="139">
        <f t="shared" si="76"/>
        <v>15750</v>
      </c>
      <c r="AB13" s="16"/>
      <c r="AC13" s="139">
        <f t="shared" ref="AC13:AE13" si="77">15000+15000*5%</f>
        <v>15750</v>
      </c>
      <c r="AD13" s="139">
        <f t="shared" si="77"/>
        <v>15750</v>
      </c>
      <c r="AE13" s="139">
        <f t="shared" si="77"/>
        <v>15750</v>
      </c>
      <c r="AF13" s="22"/>
      <c r="AG13" s="139">
        <f t="shared" ref="AG13:AI13" si="78">15750+15750*5%</f>
        <v>16537.5</v>
      </c>
      <c r="AH13" s="139">
        <f t="shared" si="78"/>
        <v>16537.5</v>
      </c>
      <c r="AI13" s="139">
        <f t="shared" si="78"/>
        <v>16537.5</v>
      </c>
      <c r="AJ13" s="22"/>
      <c r="AK13" s="139">
        <f t="shared" ref="AK13:AM13" si="79">15750+15750*5%</f>
        <v>16537.5</v>
      </c>
      <c r="AL13" s="139">
        <f t="shared" si="79"/>
        <v>16537.5</v>
      </c>
      <c r="AM13" s="139">
        <f t="shared" si="79"/>
        <v>16537.5</v>
      </c>
      <c r="AN13" s="22"/>
      <c r="AO13" s="139">
        <f t="shared" ref="AO13:AQ13" si="80">15750+15750*5%</f>
        <v>16537.5</v>
      </c>
      <c r="AP13" s="139">
        <f t="shared" si="80"/>
        <v>16537.5</v>
      </c>
      <c r="AQ13" s="139">
        <f t="shared" si="80"/>
        <v>16537.5</v>
      </c>
      <c r="AR13" s="22"/>
      <c r="AS13" s="139">
        <f t="shared" ref="AS13:AU13" si="81">15750+15750*5%</f>
        <v>16537.5</v>
      </c>
      <c r="AT13" s="139">
        <f t="shared" si="81"/>
        <v>16537.5</v>
      </c>
      <c r="AU13" s="139">
        <f t="shared" si="81"/>
        <v>16537.5</v>
      </c>
      <c r="AV13" s="16"/>
      <c r="AW13" s="8"/>
      <c r="AX13" s="8"/>
      <c r="AY13" s="8"/>
      <c r="AZ13" s="8"/>
      <c r="BA13" s="8"/>
    </row>
    <row r="14" spans="1:53" ht="14" outlineLevel="1" x14ac:dyDescent="0.2">
      <c r="A14" s="16" t="s">
        <v>122</v>
      </c>
      <c r="B14" s="139">
        <v>1500</v>
      </c>
      <c r="C14" s="139">
        <v>1500</v>
      </c>
      <c r="D14" s="139">
        <v>1500</v>
      </c>
      <c r="E14" s="22"/>
      <c r="F14" s="139">
        <v>1500</v>
      </c>
      <c r="G14" s="139">
        <v>1500</v>
      </c>
      <c r="H14" s="139">
        <v>1500</v>
      </c>
      <c r="I14" s="22"/>
      <c r="J14" s="139">
        <v>6500</v>
      </c>
      <c r="K14" s="139">
        <v>6500</v>
      </c>
      <c r="L14" s="139">
        <v>6500</v>
      </c>
      <c r="M14" s="22"/>
      <c r="N14" s="139">
        <v>6500</v>
      </c>
      <c r="O14" s="139">
        <v>6500</v>
      </c>
      <c r="P14" s="139">
        <v>6500</v>
      </c>
      <c r="Q14" s="22"/>
      <c r="R14" s="139">
        <f t="shared" ref="R14:W14" si="82">6500+6500*5%</f>
        <v>6825</v>
      </c>
      <c r="S14" s="139">
        <f t="shared" si="82"/>
        <v>6825</v>
      </c>
      <c r="T14" s="139">
        <f t="shared" si="82"/>
        <v>6825</v>
      </c>
      <c r="U14" s="139">
        <f t="shared" si="82"/>
        <v>6825</v>
      </c>
      <c r="V14" s="139">
        <f t="shared" si="82"/>
        <v>6825</v>
      </c>
      <c r="W14" s="139">
        <f t="shared" si="82"/>
        <v>6825</v>
      </c>
      <c r="X14" s="16"/>
      <c r="Y14" s="139">
        <f t="shared" ref="Y14:AA14" si="83">6500+6500*5%</f>
        <v>6825</v>
      </c>
      <c r="Z14" s="139">
        <f t="shared" si="83"/>
        <v>6825</v>
      </c>
      <c r="AA14" s="139">
        <f t="shared" si="83"/>
        <v>6825</v>
      </c>
      <c r="AB14" s="16"/>
      <c r="AC14" s="139">
        <f t="shared" ref="AC14:AE14" si="84">6500+6500*5%</f>
        <v>6825</v>
      </c>
      <c r="AD14" s="139">
        <f t="shared" si="84"/>
        <v>6825</v>
      </c>
      <c r="AE14" s="139">
        <f t="shared" si="84"/>
        <v>6825</v>
      </c>
      <c r="AF14" s="22"/>
      <c r="AG14" s="139">
        <f t="shared" ref="AG14:AI14" si="85">6825+6825*5%</f>
        <v>7166.25</v>
      </c>
      <c r="AH14" s="139">
        <f t="shared" si="85"/>
        <v>7166.25</v>
      </c>
      <c r="AI14" s="139">
        <f t="shared" si="85"/>
        <v>7166.25</v>
      </c>
      <c r="AJ14" s="22"/>
      <c r="AK14" s="139">
        <f t="shared" ref="AK14:AM14" si="86">6825+6825*5%</f>
        <v>7166.25</v>
      </c>
      <c r="AL14" s="139">
        <f t="shared" si="86"/>
        <v>7166.25</v>
      </c>
      <c r="AM14" s="139">
        <f t="shared" si="86"/>
        <v>7166.25</v>
      </c>
      <c r="AN14" s="22"/>
      <c r="AO14" s="139">
        <f t="shared" ref="AO14:AQ14" si="87">6825+6825*5%</f>
        <v>7166.25</v>
      </c>
      <c r="AP14" s="139">
        <f t="shared" si="87"/>
        <v>7166.25</v>
      </c>
      <c r="AQ14" s="139">
        <f t="shared" si="87"/>
        <v>7166.25</v>
      </c>
      <c r="AR14" s="22"/>
      <c r="AS14" s="139">
        <f t="shared" ref="AS14:AU14" si="88">4500+4500*5%</f>
        <v>4725</v>
      </c>
      <c r="AT14" s="139">
        <f t="shared" si="88"/>
        <v>4725</v>
      </c>
      <c r="AU14" s="139">
        <f t="shared" si="88"/>
        <v>4725</v>
      </c>
      <c r="AV14" s="16"/>
      <c r="AW14" s="8"/>
      <c r="AX14" s="8"/>
      <c r="AY14" s="8"/>
      <c r="AZ14" s="8"/>
      <c r="BA14" s="8"/>
    </row>
    <row r="15" spans="1:53" ht="14" outlineLevel="1" x14ac:dyDescent="0.2">
      <c r="A15" s="16" t="s">
        <v>123</v>
      </c>
      <c r="B15" s="139">
        <v>3000</v>
      </c>
      <c r="C15" s="139">
        <v>3000</v>
      </c>
      <c r="D15" s="139">
        <v>3000</v>
      </c>
      <c r="E15" s="22"/>
      <c r="F15" s="139">
        <v>3000</v>
      </c>
      <c r="G15" s="139">
        <v>3000</v>
      </c>
      <c r="H15" s="139">
        <v>3000</v>
      </c>
      <c r="I15" s="22"/>
      <c r="J15" s="139">
        <v>3000</v>
      </c>
      <c r="K15" s="139">
        <v>3000</v>
      </c>
      <c r="L15" s="139">
        <v>3000</v>
      </c>
      <c r="M15" s="22"/>
      <c r="N15" s="139">
        <v>3000</v>
      </c>
      <c r="O15" s="139">
        <v>3000</v>
      </c>
      <c r="P15" s="139">
        <v>3000</v>
      </c>
      <c r="Q15" s="22"/>
      <c r="R15" s="139">
        <v>3000</v>
      </c>
      <c r="S15" s="139">
        <f t="shared" ref="S15:W15" si="89">3000+3000*5%</f>
        <v>3150</v>
      </c>
      <c r="T15" s="139">
        <f t="shared" si="89"/>
        <v>3150</v>
      </c>
      <c r="U15" s="139">
        <f t="shared" si="89"/>
        <v>3150</v>
      </c>
      <c r="V15" s="139">
        <f t="shared" si="89"/>
        <v>3150</v>
      </c>
      <c r="W15" s="139">
        <f t="shared" si="89"/>
        <v>3150</v>
      </c>
      <c r="X15" s="16"/>
      <c r="Y15" s="139">
        <f t="shared" ref="Y15:AA15" si="90">3000+3000*5%</f>
        <v>3150</v>
      </c>
      <c r="Z15" s="139">
        <f t="shared" si="90"/>
        <v>3150</v>
      </c>
      <c r="AA15" s="139">
        <f t="shared" si="90"/>
        <v>3150</v>
      </c>
      <c r="AB15" s="16"/>
      <c r="AC15" s="139">
        <f t="shared" ref="AC15:AE15" si="91">3000+3000*5%</f>
        <v>3150</v>
      </c>
      <c r="AD15" s="139">
        <f t="shared" si="91"/>
        <v>3150</v>
      </c>
      <c r="AE15" s="139">
        <f t="shared" si="91"/>
        <v>3150</v>
      </c>
      <c r="AF15" s="22"/>
      <c r="AG15" s="139">
        <f t="shared" ref="AG15:AI15" si="92">3150+3150*5%</f>
        <v>3307.5</v>
      </c>
      <c r="AH15" s="139">
        <f t="shared" si="92"/>
        <v>3307.5</v>
      </c>
      <c r="AI15" s="139">
        <f t="shared" si="92"/>
        <v>3307.5</v>
      </c>
      <c r="AJ15" s="22"/>
      <c r="AK15" s="139">
        <f t="shared" ref="AK15:AM15" si="93">3150+3150*5%</f>
        <v>3307.5</v>
      </c>
      <c r="AL15" s="139">
        <f t="shared" si="93"/>
        <v>3307.5</v>
      </c>
      <c r="AM15" s="139">
        <f t="shared" si="93"/>
        <v>3307.5</v>
      </c>
      <c r="AN15" s="22"/>
      <c r="AO15" s="139">
        <f t="shared" ref="AO15:AQ15" si="94">3150+3150*5%</f>
        <v>3307.5</v>
      </c>
      <c r="AP15" s="139">
        <f t="shared" si="94"/>
        <v>3307.5</v>
      </c>
      <c r="AQ15" s="139">
        <f t="shared" si="94"/>
        <v>3307.5</v>
      </c>
      <c r="AR15" s="22"/>
      <c r="AS15" s="139">
        <f t="shared" ref="AS15:AU15" si="95">3150+3150*5%</f>
        <v>3307.5</v>
      </c>
      <c r="AT15" s="139">
        <f t="shared" si="95"/>
        <v>3307.5</v>
      </c>
      <c r="AU15" s="139">
        <f t="shared" si="95"/>
        <v>3307.5</v>
      </c>
      <c r="AV15" s="16"/>
      <c r="AW15" s="8"/>
      <c r="AX15" s="8"/>
      <c r="AY15" s="8"/>
      <c r="AZ15" s="8"/>
      <c r="BA15" s="8"/>
    </row>
    <row r="16" spans="1:53" ht="14" outlineLevel="1" x14ac:dyDescent="0.2">
      <c r="A16" s="16" t="s">
        <v>124</v>
      </c>
      <c r="B16" s="139">
        <v>3000</v>
      </c>
      <c r="C16" s="139">
        <v>3000</v>
      </c>
      <c r="D16" s="139">
        <v>3000</v>
      </c>
      <c r="E16" s="22"/>
      <c r="F16" s="139">
        <v>3000</v>
      </c>
      <c r="G16" s="139">
        <v>3000</v>
      </c>
      <c r="H16" s="139">
        <v>3000</v>
      </c>
      <c r="I16" s="22"/>
      <c r="J16" s="139">
        <v>3000</v>
      </c>
      <c r="K16" s="139">
        <v>3000</v>
      </c>
      <c r="L16" s="139">
        <v>3000</v>
      </c>
      <c r="M16" s="22"/>
      <c r="N16" s="139">
        <v>3000</v>
      </c>
      <c r="O16" s="139">
        <v>3000</v>
      </c>
      <c r="P16" s="139">
        <v>3000</v>
      </c>
      <c r="Q16" s="22"/>
      <c r="R16" s="139">
        <v>3000</v>
      </c>
      <c r="S16" s="139">
        <f t="shared" ref="S16:W16" si="96">3000+3000*5%</f>
        <v>3150</v>
      </c>
      <c r="T16" s="139">
        <f t="shared" si="96"/>
        <v>3150</v>
      </c>
      <c r="U16" s="139">
        <f t="shared" si="96"/>
        <v>3150</v>
      </c>
      <c r="V16" s="139">
        <f t="shared" si="96"/>
        <v>3150</v>
      </c>
      <c r="W16" s="139">
        <f t="shared" si="96"/>
        <v>3150</v>
      </c>
      <c r="X16" s="138"/>
      <c r="Y16" s="139">
        <f t="shared" ref="Y16:AA16" si="97">3000+3000*5%</f>
        <v>3150</v>
      </c>
      <c r="Z16" s="139">
        <f t="shared" si="97"/>
        <v>3150</v>
      </c>
      <c r="AA16" s="139">
        <f t="shared" si="97"/>
        <v>3150</v>
      </c>
      <c r="AB16" s="138"/>
      <c r="AC16" s="139">
        <f t="shared" ref="AC16:AE16" si="98">3000+3000*5%</f>
        <v>3150</v>
      </c>
      <c r="AD16" s="139">
        <f t="shared" si="98"/>
        <v>3150</v>
      </c>
      <c r="AE16" s="139">
        <f t="shared" si="98"/>
        <v>3150</v>
      </c>
      <c r="AF16" s="22"/>
      <c r="AG16" s="139">
        <f t="shared" ref="AG16:AI16" si="99">3150+3150*5%</f>
        <v>3307.5</v>
      </c>
      <c r="AH16" s="139">
        <f t="shared" si="99"/>
        <v>3307.5</v>
      </c>
      <c r="AI16" s="139">
        <f t="shared" si="99"/>
        <v>3307.5</v>
      </c>
      <c r="AJ16" s="22"/>
      <c r="AK16" s="139">
        <f t="shared" ref="AK16:AM16" si="100">3150+3150*5%</f>
        <v>3307.5</v>
      </c>
      <c r="AL16" s="139">
        <f t="shared" si="100"/>
        <v>3307.5</v>
      </c>
      <c r="AM16" s="139">
        <f t="shared" si="100"/>
        <v>3307.5</v>
      </c>
      <c r="AN16" s="22"/>
      <c r="AO16" s="139">
        <f t="shared" ref="AO16:AQ16" si="101">3150+3150*5%</f>
        <v>3307.5</v>
      </c>
      <c r="AP16" s="139">
        <f t="shared" si="101"/>
        <v>3307.5</v>
      </c>
      <c r="AQ16" s="139">
        <f t="shared" si="101"/>
        <v>3307.5</v>
      </c>
      <c r="AR16" s="22"/>
      <c r="AS16" s="139">
        <f t="shared" ref="AS16:AU16" si="102">3150+3150*5%</f>
        <v>3307.5</v>
      </c>
      <c r="AT16" s="139">
        <f t="shared" si="102"/>
        <v>3307.5</v>
      </c>
      <c r="AU16" s="139">
        <f t="shared" si="102"/>
        <v>3307.5</v>
      </c>
      <c r="AV16" s="138"/>
      <c r="AW16" s="17"/>
      <c r="AX16" s="8"/>
      <c r="AY16" s="8"/>
      <c r="AZ16" s="8"/>
      <c r="BA16" s="8"/>
    </row>
    <row r="17" spans="1:53" ht="14" outlineLevel="1" x14ac:dyDescent="0.2">
      <c r="A17" s="16" t="s">
        <v>125</v>
      </c>
      <c r="B17" s="139">
        <v>0</v>
      </c>
      <c r="C17" s="149">
        <v>5500</v>
      </c>
      <c r="D17" s="149">
        <v>5500</v>
      </c>
      <c r="E17" s="138"/>
      <c r="F17" s="149">
        <v>5500</v>
      </c>
      <c r="G17" s="149">
        <v>5500</v>
      </c>
      <c r="H17" s="149">
        <v>5500</v>
      </c>
      <c r="I17" s="138"/>
      <c r="J17" s="149">
        <v>5500</v>
      </c>
      <c r="K17" s="149">
        <v>5500</v>
      </c>
      <c r="L17" s="149">
        <v>5500</v>
      </c>
      <c r="M17" s="138"/>
      <c r="N17" s="149">
        <v>5500</v>
      </c>
      <c r="O17" s="149">
        <v>5500</v>
      </c>
      <c r="P17" s="149">
        <v>5500</v>
      </c>
      <c r="Q17" s="16"/>
      <c r="R17" s="149">
        <f t="shared" ref="R17:W17" si="103">5500+5500*5%</f>
        <v>5775</v>
      </c>
      <c r="S17" s="149">
        <f t="shared" si="103"/>
        <v>5775</v>
      </c>
      <c r="T17" s="149">
        <f t="shared" si="103"/>
        <v>5775</v>
      </c>
      <c r="U17" s="149">
        <f t="shared" si="103"/>
        <v>5775</v>
      </c>
      <c r="V17" s="149">
        <f t="shared" si="103"/>
        <v>5775</v>
      </c>
      <c r="W17" s="149">
        <f t="shared" si="103"/>
        <v>5775</v>
      </c>
      <c r="X17" s="138"/>
      <c r="Y17" s="149">
        <f t="shared" ref="Y17:AA17" si="104">5500+5500*5%</f>
        <v>5775</v>
      </c>
      <c r="Z17" s="149">
        <f t="shared" si="104"/>
        <v>5775</v>
      </c>
      <c r="AA17" s="149">
        <f t="shared" si="104"/>
        <v>5775</v>
      </c>
      <c r="AB17" s="138"/>
      <c r="AC17" s="149">
        <f t="shared" ref="AC17:AE17" si="105">5500+5500*5%</f>
        <v>5775</v>
      </c>
      <c r="AD17" s="149">
        <f t="shared" si="105"/>
        <v>5775</v>
      </c>
      <c r="AE17" s="149">
        <f t="shared" si="105"/>
        <v>5775</v>
      </c>
      <c r="AF17" s="138"/>
      <c r="AG17" s="149">
        <f t="shared" ref="AG17:AI17" si="106">5775+5775*5%</f>
        <v>6063.75</v>
      </c>
      <c r="AH17" s="149">
        <f t="shared" si="106"/>
        <v>6063.75</v>
      </c>
      <c r="AI17" s="149">
        <f t="shared" si="106"/>
        <v>6063.75</v>
      </c>
      <c r="AJ17" s="138"/>
      <c r="AK17" s="149">
        <f t="shared" ref="AK17:AM17" si="107">5775+5775*5%</f>
        <v>6063.75</v>
      </c>
      <c r="AL17" s="149">
        <f t="shared" si="107"/>
        <v>6063.75</v>
      </c>
      <c r="AM17" s="149">
        <f t="shared" si="107"/>
        <v>6063.75</v>
      </c>
      <c r="AN17" s="138"/>
      <c r="AO17" s="149">
        <f t="shared" ref="AO17:AQ17" si="108">5775+5775*5%</f>
        <v>6063.75</v>
      </c>
      <c r="AP17" s="149">
        <f t="shared" si="108"/>
        <v>6063.75</v>
      </c>
      <c r="AQ17" s="149">
        <f t="shared" si="108"/>
        <v>6063.75</v>
      </c>
      <c r="AR17" s="138"/>
      <c r="AS17" s="149">
        <f t="shared" ref="AS17:AU17" si="109">5775+5775*5%</f>
        <v>6063.75</v>
      </c>
      <c r="AT17" s="149">
        <f t="shared" si="109"/>
        <v>6063.75</v>
      </c>
      <c r="AU17" s="149">
        <f t="shared" si="109"/>
        <v>6063.75</v>
      </c>
      <c r="AV17" s="138"/>
      <c r="AW17" s="17"/>
      <c r="AX17" s="8"/>
      <c r="AY17" s="8"/>
      <c r="AZ17" s="8"/>
      <c r="BA17" s="8"/>
    </row>
    <row r="18" spans="1:53" ht="14" outlineLevel="1" x14ac:dyDescent="0.2">
      <c r="A18" s="16" t="s">
        <v>126</v>
      </c>
      <c r="B18" s="139">
        <v>0</v>
      </c>
      <c r="C18" s="139">
        <v>0</v>
      </c>
      <c r="D18" s="139">
        <v>0</v>
      </c>
      <c r="E18" s="138"/>
      <c r="F18" s="139">
        <v>0</v>
      </c>
      <c r="G18" s="139">
        <v>0</v>
      </c>
      <c r="H18" s="139">
        <v>0</v>
      </c>
      <c r="I18" s="138"/>
      <c r="J18" s="149">
        <v>5500</v>
      </c>
      <c r="K18" s="149">
        <v>5500</v>
      </c>
      <c r="L18" s="149">
        <v>5500</v>
      </c>
      <c r="M18" s="138"/>
      <c r="N18" s="149">
        <v>5500</v>
      </c>
      <c r="O18" s="149">
        <v>5500</v>
      </c>
      <c r="P18" s="149">
        <v>5500</v>
      </c>
      <c r="Q18" s="16"/>
      <c r="R18" s="149">
        <f t="shared" ref="R18:W18" si="110">5500+5500*5%</f>
        <v>5775</v>
      </c>
      <c r="S18" s="149">
        <f t="shared" si="110"/>
        <v>5775</v>
      </c>
      <c r="T18" s="149">
        <f t="shared" si="110"/>
        <v>5775</v>
      </c>
      <c r="U18" s="149">
        <f t="shared" si="110"/>
        <v>5775</v>
      </c>
      <c r="V18" s="149">
        <f t="shared" si="110"/>
        <v>5775</v>
      </c>
      <c r="W18" s="149">
        <f t="shared" si="110"/>
        <v>5775</v>
      </c>
      <c r="X18" s="16"/>
      <c r="Y18" s="149">
        <f t="shared" ref="Y18:AA18" si="111">5500+5500*5%</f>
        <v>5775</v>
      </c>
      <c r="Z18" s="149">
        <f t="shared" si="111"/>
        <v>5775</v>
      </c>
      <c r="AA18" s="149">
        <f t="shared" si="111"/>
        <v>5775</v>
      </c>
      <c r="AB18" s="138"/>
      <c r="AC18" s="149">
        <f t="shared" ref="AC18:AE18" si="112">5500+5500*5%</f>
        <v>5775</v>
      </c>
      <c r="AD18" s="149">
        <f t="shared" si="112"/>
        <v>5775</v>
      </c>
      <c r="AE18" s="149">
        <f t="shared" si="112"/>
        <v>5775</v>
      </c>
      <c r="AF18" s="138"/>
      <c r="AG18" s="149">
        <f t="shared" ref="AG18:AI18" si="113">5775+5775*5%</f>
        <v>6063.75</v>
      </c>
      <c r="AH18" s="149">
        <f t="shared" si="113"/>
        <v>6063.75</v>
      </c>
      <c r="AI18" s="149">
        <f t="shared" si="113"/>
        <v>6063.75</v>
      </c>
      <c r="AJ18" s="138"/>
      <c r="AK18" s="149">
        <f t="shared" ref="AK18:AM18" si="114">5775+5775*5%</f>
        <v>6063.75</v>
      </c>
      <c r="AL18" s="149">
        <f t="shared" si="114"/>
        <v>6063.75</v>
      </c>
      <c r="AM18" s="149">
        <f t="shared" si="114"/>
        <v>6063.75</v>
      </c>
      <c r="AN18" s="138"/>
      <c r="AO18" s="149">
        <f t="shared" ref="AO18:AQ18" si="115">5775+5775*5%</f>
        <v>6063.75</v>
      </c>
      <c r="AP18" s="149">
        <f t="shared" si="115"/>
        <v>6063.75</v>
      </c>
      <c r="AQ18" s="149">
        <f t="shared" si="115"/>
        <v>6063.75</v>
      </c>
      <c r="AR18" s="138"/>
      <c r="AS18" s="149">
        <f t="shared" ref="AS18:AU18" si="116">5775+5775*5%</f>
        <v>6063.75</v>
      </c>
      <c r="AT18" s="149">
        <f t="shared" si="116"/>
        <v>6063.75</v>
      </c>
      <c r="AU18" s="149">
        <f t="shared" si="116"/>
        <v>6063.75</v>
      </c>
      <c r="AV18" s="138"/>
      <c r="AW18" s="17"/>
      <c r="AX18" s="8"/>
      <c r="AY18" s="8"/>
      <c r="AZ18" s="8"/>
      <c r="BA18" s="8"/>
    </row>
    <row r="19" spans="1:53" ht="14" x14ac:dyDescent="0.2">
      <c r="A19" s="148" t="s">
        <v>127</v>
      </c>
      <c r="B19" s="149">
        <f t="shared" ref="B19:D19" si="117">SUM(B3:B17)</f>
        <v>75000</v>
      </c>
      <c r="C19" s="149">
        <f t="shared" si="117"/>
        <v>140500</v>
      </c>
      <c r="D19" s="149">
        <f t="shared" si="117"/>
        <v>140500</v>
      </c>
      <c r="E19" s="138"/>
      <c r="F19" s="149">
        <f t="shared" ref="F19:H19" si="118">SUM(F3:F17)</f>
        <v>140500</v>
      </c>
      <c r="G19" s="149">
        <f t="shared" si="118"/>
        <v>140500</v>
      </c>
      <c r="H19" s="149">
        <f t="shared" si="118"/>
        <v>155500</v>
      </c>
      <c r="I19" s="138"/>
      <c r="J19" s="149">
        <f t="shared" ref="J19:L19" si="119">SUM(J3:J17)</f>
        <v>170500</v>
      </c>
      <c r="K19" s="149">
        <f t="shared" si="119"/>
        <v>170500</v>
      </c>
      <c r="L19" s="149">
        <f t="shared" si="119"/>
        <v>170500</v>
      </c>
      <c r="M19" s="138"/>
      <c r="N19" s="149">
        <f t="shared" ref="N19:P19" si="120">SUM(N3:N17)</f>
        <v>170500</v>
      </c>
      <c r="O19" s="149">
        <f t="shared" si="120"/>
        <v>170500</v>
      </c>
      <c r="P19" s="149">
        <f t="shared" si="120"/>
        <v>170500</v>
      </c>
      <c r="Q19" s="16"/>
      <c r="R19" s="149">
        <f t="shared" ref="R19:W19" si="121">SUM(R3:R17)</f>
        <v>178725</v>
      </c>
      <c r="S19" s="149">
        <f t="shared" si="121"/>
        <v>179025</v>
      </c>
      <c r="T19" s="149">
        <f t="shared" si="121"/>
        <v>179025</v>
      </c>
      <c r="U19" s="149">
        <f t="shared" si="121"/>
        <v>179025</v>
      </c>
      <c r="V19" s="149">
        <f t="shared" si="121"/>
        <v>179025</v>
      </c>
      <c r="W19" s="149">
        <f t="shared" si="121"/>
        <v>179025</v>
      </c>
      <c r="X19" s="16"/>
      <c r="Y19" s="149">
        <f t="shared" ref="Y19:AA19" si="122">SUM(Y3:Y17)</f>
        <v>179025</v>
      </c>
      <c r="Z19" s="149">
        <f t="shared" si="122"/>
        <v>179025</v>
      </c>
      <c r="AA19" s="149">
        <f t="shared" si="122"/>
        <v>179025</v>
      </c>
      <c r="AB19" s="138"/>
      <c r="AC19" s="149">
        <f t="shared" ref="AC19:AE19" si="123">SUM(AC3:AC17)</f>
        <v>179025</v>
      </c>
      <c r="AD19" s="149">
        <f t="shared" si="123"/>
        <v>179025</v>
      </c>
      <c r="AE19" s="149">
        <f t="shared" si="123"/>
        <v>179025</v>
      </c>
      <c r="AF19" s="138"/>
      <c r="AG19" s="149">
        <f t="shared" ref="AG19:AI19" si="124">SUM(AG3:AG17)</f>
        <v>187976.25</v>
      </c>
      <c r="AH19" s="149">
        <f t="shared" si="124"/>
        <v>187976.25</v>
      </c>
      <c r="AI19" s="149">
        <f t="shared" si="124"/>
        <v>187976.25</v>
      </c>
      <c r="AJ19" s="138"/>
      <c r="AK19" s="149">
        <f t="shared" ref="AK19:AM19" si="125">SUM(AK3:AK17)</f>
        <v>187976.25</v>
      </c>
      <c r="AL19" s="149">
        <f t="shared" si="125"/>
        <v>187976.25</v>
      </c>
      <c r="AM19" s="149">
        <f t="shared" si="125"/>
        <v>187976.25</v>
      </c>
      <c r="AN19" s="138"/>
      <c r="AO19" s="149">
        <f t="shared" ref="AO19:AQ19" si="126">SUM(AO3:AO17)</f>
        <v>187976.25</v>
      </c>
      <c r="AP19" s="149">
        <f t="shared" si="126"/>
        <v>187976.25</v>
      </c>
      <c r="AQ19" s="149">
        <f t="shared" si="126"/>
        <v>187976.25</v>
      </c>
      <c r="AR19" s="138"/>
      <c r="AS19" s="149">
        <f t="shared" ref="AS19:AU19" si="127">SUM(AS3:AS17)</f>
        <v>185535</v>
      </c>
      <c r="AT19" s="149">
        <f t="shared" si="127"/>
        <v>185535</v>
      </c>
      <c r="AU19" s="149">
        <f t="shared" si="127"/>
        <v>185535</v>
      </c>
      <c r="AV19" s="138"/>
      <c r="AW19" s="17"/>
      <c r="AX19" s="8"/>
      <c r="AY19" s="8"/>
      <c r="AZ19" s="8"/>
      <c r="BA19" s="8"/>
    </row>
    <row r="20" spans="1:53" ht="14" x14ac:dyDescent="0.2">
      <c r="A20" s="16"/>
      <c r="B20" s="8"/>
      <c r="C20" s="8"/>
      <c r="D20" s="8"/>
      <c r="E20" s="150">
        <f>SUM(B19:D19)</f>
        <v>356000</v>
      </c>
      <c r="F20" s="8"/>
      <c r="G20" s="8"/>
      <c r="H20" s="8"/>
      <c r="I20" s="150">
        <f>SUM(B19:H19)</f>
        <v>792500</v>
      </c>
      <c r="J20" s="8"/>
      <c r="K20" s="8"/>
      <c r="L20" s="8"/>
      <c r="M20" s="150">
        <f>SUM(B19:L19)</f>
        <v>1304000</v>
      </c>
      <c r="N20" s="8"/>
      <c r="O20" s="8"/>
      <c r="P20" s="8"/>
      <c r="Q20" s="150">
        <f>SUM(B19:P19)</f>
        <v>1815500</v>
      </c>
      <c r="R20" s="8"/>
      <c r="S20" s="8"/>
      <c r="T20" s="8"/>
      <c r="U20" s="8"/>
      <c r="V20" s="8"/>
      <c r="W20" s="8"/>
      <c r="X20" s="150">
        <f>SUM(B19:W19)</f>
        <v>2889350</v>
      </c>
      <c r="Y20" s="8"/>
      <c r="Z20" s="8"/>
      <c r="AA20" s="8"/>
      <c r="AB20" s="150">
        <f>SUM(B19:AA19)</f>
        <v>3426425</v>
      </c>
      <c r="AC20" s="8"/>
      <c r="AD20" s="8"/>
      <c r="AE20" s="8"/>
      <c r="AF20" s="150">
        <f>SUM(B19:AE19)</f>
        <v>3963500</v>
      </c>
      <c r="AG20" s="8"/>
      <c r="AH20" s="8"/>
      <c r="AI20" s="8"/>
      <c r="AJ20" s="150">
        <f>SUM(B19:AI19)</f>
        <v>4527428.75</v>
      </c>
      <c r="AK20" s="8"/>
      <c r="AL20" s="8"/>
      <c r="AM20" s="8"/>
      <c r="AN20" s="150">
        <f>SUM(B19:AM19)</f>
        <v>5091357.5</v>
      </c>
      <c r="AO20" s="8"/>
      <c r="AP20" s="8"/>
      <c r="AQ20" s="8"/>
      <c r="AR20" s="150">
        <f>SUM(B19:AQ19)</f>
        <v>5655286.25</v>
      </c>
      <c r="AS20" s="8"/>
      <c r="AT20" s="8"/>
      <c r="AU20" s="8"/>
      <c r="AV20" s="150">
        <f>SUM(B19:AU19)</f>
        <v>6211891.25</v>
      </c>
      <c r="AW20" s="8"/>
      <c r="AX20" s="8"/>
      <c r="AY20" s="8"/>
      <c r="AZ20" s="8"/>
      <c r="BA20" s="8"/>
    </row>
    <row r="21" spans="1:53" ht="14" collapsed="1" x14ac:dyDescent="0.2">
      <c r="A21" s="148" t="s">
        <v>96</v>
      </c>
      <c r="B21" s="8"/>
      <c r="C21" s="8"/>
      <c r="D21" s="8"/>
      <c r="E21" s="16"/>
      <c r="F21" s="8"/>
      <c r="G21" s="8"/>
      <c r="H21" s="8"/>
      <c r="I21" s="16"/>
      <c r="J21" s="8"/>
      <c r="K21" s="8"/>
      <c r="L21" s="8"/>
      <c r="M21" s="16"/>
      <c r="N21" s="8"/>
      <c r="O21" s="8"/>
      <c r="P21" s="8"/>
      <c r="Q21" s="16"/>
      <c r="R21" s="8"/>
      <c r="S21" s="8"/>
      <c r="T21" s="8"/>
      <c r="U21" s="8"/>
      <c r="V21" s="8"/>
      <c r="W21" s="8"/>
      <c r="X21" s="16"/>
      <c r="Y21" s="8"/>
      <c r="Z21" s="8"/>
      <c r="AA21" s="8"/>
      <c r="AB21" s="16"/>
      <c r="AC21" s="8"/>
      <c r="AD21" s="8"/>
      <c r="AE21" s="8"/>
      <c r="AF21" s="16"/>
      <c r="AG21" s="8"/>
      <c r="AH21" s="8"/>
      <c r="AI21" s="8"/>
      <c r="AJ21" s="16"/>
      <c r="AK21" s="8"/>
      <c r="AL21" s="8"/>
      <c r="AM21" s="8"/>
      <c r="AN21" s="16"/>
      <c r="AO21" s="8"/>
      <c r="AP21" s="8"/>
      <c r="AQ21" s="8"/>
      <c r="AR21" s="16"/>
      <c r="AS21" s="8"/>
      <c r="AT21" s="8"/>
      <c r="AU21" s="8"/>
      <c r="AV21" s="16"/>
      <c r="AW21" s="8"/>
      <c r="AX21" s="8"/>
      <c r="AY21" s="8"/>
      <c r="AZ21" s="8"/>
      <c r="BA21" s="8"/>
    </row>
    <row r="22" spans="1:53" ht="14" hidden="1" outlineLevel="1" x14ac:dyDescent="0.2">
      <c r="A22" s="16" t="s">
        <v>97</v>
      </c>
      <c r="B22" s="151">
        <v>0</v>
      </c>
      <c r="C22" s="151">
        <v>0</v>
      </c>
      <c r="D22" s="151">
        <v>0</v>
      </c>
      <c r="E22" s="22"/>
      <c r="F22" s="151">
        <v>0</v>
      </c>
      <c r="G22" s="151">
        <v>0</v>
      </c>
      <c r="H22" s="151">
        <v>0</v>
      </c>
      <c r="I22" s="22"/>
      <c r="J22" s="139">
        <v>5000</v>
      </c>
      <c r="K22" s="139">
        <v>5000</v>
      </c>
      <c r="L22" s="139">
        <v>5000</v>
      </c>
      <c r="M22" s="22"/>
      <c r="N22" s="139">
        <v>5000</v>
      </c>
      <c r="O22" s="139">
        <v>5000</v>
      </c>
      <c r="P22" s="139">
        <v>5000</v>
      </c>
      <c r="Q22" s="22"/>
      <c r="R22" s="139">
        <v>5000</v>
      </c>
      <c r="S22" s="139">
        <v>5000</v>
      </c>
      <c r="T22" s="139">
        <v>5000</v>
      </c>
      <c r="U22" s="139">
        <v>5000</v>
      </c>
      <c r="V22" s="139">
        <v>5000</v>
      </c>
      <c r="W22" s="139">
        <v>5000</v>
      </c>
      <c r="X22" s="138"/>
      <c r="Y22" s="139">
        <f t="shared" ref="Y22:AA22" si="128">5000+(5000)*5%</f>
        <v>5250</v>
      </c>
      <c r="Z22" s="139">
        <f t="shared" si="128"/>
        <v>5250</v>
      </c>
      <c r="AA22" s="139">
        <f t="shared" si="128"/>
        <v>5250</v>
      </c>
      <c r="AB22" s="138"/>
      <c r="AC22" s="139">
        <f t="shared" ref="AC22:AE22" si="129">5000+(5000)*5%</f>
        <v>5250</v>
      </c>
      <c r="AD22" s="139">
        <f t="shared" si="129"/>
        <v>5250</v>
      </c>
      <c r="AE22" s="139">
        <f t="shared" si="129"/>
        <v>5250</v>
      </c>
      <c r="AF22" s="22"/>
      <c r="AG22" s="139">
        <f t="shared" ref="AG22:AI22" si="130">5000+(5000)*5%</f>
        <v>5250</v>
      </c>
      <c r="AH22" s="139">
        <f t="shared" si="130"/>
        <v>5250</v>
      </c>
      <c r="AI22" s="139">
        <f t="shared" si="130"/>
        <v>5250</v>
      </c>
      <c r="AJ22" s="22"/>
      <c r="AK22" s="139">
        <f t="shared" ref="AK22:AM22" si="131">5000+(5000)*5%</f>
        <v>5250</v>
      </c>
      <c r="AL22" s="139">
        <f t="shared" si="131"/>
        <v>5250</v>
      </c>
      <c r="AM22" s="139">
        <f t="shared" si="131"/>
        <v>5250</v>
      </c>
      <c r="AN22" s="22"/>
      <c r="AO22" s="139">
        <f t="shared" ref="AO22:AQ22" si="132">5000+(5000)*5%</f>
        <v>5250</v>
      </c>
      <c r="AP22" s="139">
        <f t="shared" si="132"/>
        <v>5250</v>
      </c>
      <c r="AQ22" s="139">
        <f t="shared" si="132"/>
        <v>5250</v>
      </c>
      <c r="AR22" s="22"/>
      <c r="AS22" s="139">
        <f t="shared" ref="AS22:AU22" si="133">5000+(5000)*5%</f>
        <v>5250</v>
      </c>
      <c r="AT22" s="139">
        <f t="shared" si="133"/>
        <v>5250</v>
      </c>
      <c r="AU22" s="139">
        <f t="shared" si="133"/>
        <v>5250</v>
      </c>
      <c r="AV22" s="138"/>
      <c r="AW22" s="17"/>
      <c r="AX22" s="8"/>
      <c r="AY22" s="8"/>
      <c r="AZ22" s="8"/>
      <c r="BA22" s="8"/>
    </row>
    <row r="23" spans="1:53" ht="14" hidden="1" outlineLevel="1" x14ac:dyDescent="0.2">
      <c r="A23" s="16" t="s">
        <v>98</v>
      </c>
      <c r="B23" s="151">
        <v>0</v>
      </c>
      <c r="C23" s="151">
        <v>0</v>
      </c>
      <c r="D23" s="151">
        <v>0</v>
      </c>
      <c r="E23" s="22"/>
      <c r="F23" s="151">
        <v>0</v>
      </c>
      <c r="G23" s="151">
        <v>0</v>
      </c>
      <c r="H23" s="151">
        <v>0</v>
      </c>
      <c r="I23" s="22"/>
      <c r="J23" s="139">
        <v>5000</v>
      </c>
      <c r="K23" s="139">
        <v>5000</v>
      </c>
      <c r="L23" s="139">
        <v>5000</v>
      </c>
      <c r="M23" s="22"/>
      <c r="N23" s="139">
        <v>5000</v>
      </c>
      <c r="O23" s="139">
        <v>5000</v>
      </c>
      <c r="P23" s="139">
        <v>5000</v>
      </c>
      <c r="Q23" s="22"/>
      <c r="R23" s="139">
        <v>5000</v>
      </c>
      <c r="S23" s="139">
        <v>5000</v>
      </c>
      <c r="T23" s="139">
        <v>5000</v>
      </c>
      <c r="U23" s="139">
        <v>5000</v>
      </c>
      <c r="V23" s="139">
        <v>5000</v>
      </c>
      <c r="W23" s="139">
        <v>5000</v>
      </c>
      <c r="X23" s="138"/>
      <c r="Y23" s="139">
        <f t="shared" ref="Y23:AA23" si="134">5000+(5000)*5%</f>
        <v>5250</v>
      </c>
      <c r="Z23" s="139">
        <f t="shared" si="134"/>
        <v>5250</v>
      </c>
      <c r="AA23" s="139">
        <f t="shared" si="134"/>
        <v>5250</v>
      </c>
      <c r="AB23" s="138"/>
      <c r="AC23" s="139">
        <f t="shared" ref="AC23:AE23" si="135">5000+(5000)*5%</f>
        <v>5250</v>
      </c>
      <c r="AD23" s="139">
        <f t="shared" si="135"/>
        <v>5250</v>
      </c>
      <c r="AE23" s="139">
        <f t="shared" si="135"/>
        <v>5250</v>
      </c>
      <c r="AF23" s="22"/>
      <c r="AG23" s="139">
        <f t="shared" ref="AG23:AI23" si="136">5000+(5000)*5%</f>
        <v>5250</v>
      </c>
      <c r="AH23" s="139">
        <f t="shared" si="136"/>
        <v>5250</v>
      </c>
      <c r="AI23" s="139">
        <f t="shared" si="136"/>
        <v>5250</v>
      </c>
      <c r="AJ23" s="22"/>
      <c r="AK23" s="139">
        <f t="shared" ref="AK23:AM23" si="137">5000+(5000)*5%</f>
        <v>5250</v>
      </c>
      <c r="AL23" s="139">
        <f t="shared" si="137"/>
        <v>5250</v>
      </c>
      <c r="AM23" s="139">
        <f t="shared" si="137"/>
        <v>5250</v>
      </c>
      <c r="AN23" s="22"/>
      <c r="AO23" s="139">
        <f t="shared" ref="AO23:AQ23" si="138">5000+(5000)*5%</f>
        <v>5250</v>
      </c>
      <c r="AP23" s="139">
        <f t="shared" si="138"/>
        <v>5250</v>
      </c>
      <c r="AQ23" s="139">
        <f t="shared" si="138"/>
        <v>5250</v>
      </c>
      <c r="AR23" s="22"/>
      <c r="AS23" s="139">
        <f t="shared" ref="AS23:AU23" si="139">5000+(5000)*5%</f>
        <v>5250</v>
      </c>
      <c r="AT23" s="139">
        <f t="shared" si="139"/>
        <v>5250</v>
      </c>
      <c r="AU23" s="139">
        <f t="shared" si="139"/>
        <v>5250</v>
      </c>
      <c r="AV23" s="138"/>
      <c r="AW23" s="17"/>
      <c r="AX23" s="8"/>
      <c r="AY23" s="8"/>
      <c r="AZ23" s="8"/>
      <c r="BA23" s="8"/>
    </row>
    <row r="24" spans="1:53" ht="14" x14ac:dyDescent="0.2">
      <c r="A24" s="148" t="s">
        <v>99</v>
      </c>
      <c r="B24" s="151">
        <v>0</v>
      </c>
      <c r="C24" s="151">
        <v>0</v>
      </c>
      <c r="D24" s="151">
        <v>0</v>
      </c>
      <c r="E24" s="22"/>
      <c r="F24" s="151">
        <v>0</v>
      </c>
      <c r="G24" s="151">
        <v>0</v>
      </c>
      <c r="H24" s="151">
        <v>0</v>
      </c>
      <c r="I24" s="22"/>
      <c r="J24" s="139">
        <f t="shared" ref="J24:L24" si="140">SUM(J22:J23)</f>
        <v>10000</v>
      </c>
      <c r="K24" s="139">
        <f t="shared" si="140"/>
        <v>10000</v>
      </c>
      <c r="L24" s="139">
        <f t="shared" si="140"/>
        <v>10000</v>
      </c>
      <c r="M24" s="22"/>
      <c r="N24" s="139">
        <f t="shared" ref="N24:P24" si="141">SUM(N22:N23)</f>
        <v>10000</v>
      </c>
      <c r="O24" s="139">
        <f t="shared" si="141"/>
        <v>10000</v>
      </c>
      <c r="P24" s="139">
        <f t="shared" si="141"/>
        <v>10000</v>
      </c>
      <c r="Q24" s="22"/>
      <c r="R24" s="139">
        <f t="shared" ref="R24:W24" si="142">SUM(R22:R23)</f>
        <v>10000</v>
      </c>
      <c r="S24" s="139">
        <f t="shared" si="142"/>
        <v>10000</v>
      </c>
      <c r="T24" s="139">
        <f t="shared" si="142"/>
        <v>10000</v>
      </c>
      <c r="U24" s="139">
        <f t="shared" si="142"/>
        <v>10000</v>
      </c>
      <c r="V24" s="139">
        <f t="shared" si="142"/>
        <v>10000</v>
      </c>
      <c r="W24" s="139">
        <f t="shared" si="142"/>
        <v>10000</v>
      </c>
      <c r="X24" s="16"/>
      <c r="Y24" s="139">
        <f t="shared" ref="Y24:AA24" si="143">SUM(Y22:Y23)</f>
        <v>10500</v>
      </c>
      <c r="Z24" s="139">
        <f t="shared" si="143"/>
        <v>10500</v>
      </c>
      <c r="AA24" s="139">
        <f t="shared" si="143"/>
        <v>10500</v>
      </c>
      <c r="AB24" s="138"/>
      <c r="AC24" s="139">
        <f t="shared" ref="AC24:AE24" si="144">SUM(AC22:AC23)</f>
        <v>10500</v>
      </c>
      <c r="AD24" s="139">
        <f t="shared" si="144"/>
        <v>10500</v>
      </c>
      <c r="AE24" s="139">
        <f t="shared" si="144"/>
        <v>10500</v>
      </c>
      <c r="AF24" s="22"/>
      <c r="AG24" s="139">
        <f t="shared" ref="AG24:AI24" si="145">SUM(AG22:AG23)</f>
        <v>10500</v>
      </c>
      <c r="AH24" s="139">
        <f t="shared" si="145"/>
        <v>10500</v>
      </c>
      <c r="AI24" s="139">
        <f t="shared" si="145"/>
        <v>10500</v>
      </c>
      <c r="AJ24" s="22"/>
      <c r="AK24" s="139">
        <f t="shared" ref="AK24:AM24" si="146">SUM(AK22:AK23)</f>
        <v>10500</v>
      </c>
      <c r="AL24" s="139">
        <f t="shared" si="146"/>
        <v>10500</v>
      </c>
      <c r="AM24" s="139">
        <f t="shared" si="146"/>
        <v>10500</v>
      </c>
      <c r="AN24" s="16"/>
      <c r="AO24" s="139">
        <f t="shared" ref="AO24:AQ24" si="147">SUM(AO22:AO23)</f>
        <v>10500</v>
      </c>
      <c r="AP24" s="139">
        <f t="shared" si="147"/>
        <v>10500</v>
      </c>
      <c r="AQ24" s="139">
        <f t="shared" si="147"/>
        <v>10500</v>
      </c>
      <c r="AR24" s="22"/>
      <c r="AS24" s="139">
        <f t="shared" ref="AS24:AU24" si="148">SUM(AS22:AS23)</f>
        <v>10500</v>
      </c>
      <c r="AT24" s="139">
        <f t="shared" si="148"/>
        <v>10500</v>
      </c>
      <c r="AU24" s="139">
        <f t="shared" si="148"/>
        <v>10500</v>
      </c>
      <c r="AV24" s="138"/>
      <c r="AW24" s="17"/>
      <c r="AX24" s="8"/>
      <c r="AY24" s="8"/>
      <c r="AZ24" s="8"/>
      <c r="BA24" s="8"/>
    </row>
    <row r="25" spans="1:53" ht="14" x14ac:dyDescent="0.2">
      <c r="A25" s="16"/>
      <c r="B25" s="8"/>
      <c r="C25" s="8"/>
      <c r="D25" s="8"/>
      <c r="E25" s="152">
        <f>SUM(B24:D24)</f>
        <v>0</v>
      </c>
      <c r="F25" s="8"/>
      <c r="G25" s="8"/>
      <c r="H25" s="8"/>
      <c r="I25" s="152">
        <f>SUM(B24:H24)</f>
        <v>0</v>
      </c>
      <c r="J25" s="8"/>
      <c r="K25" s="8"/>
      <c r="L25" s="8"/>
      <c r="M25" s="153">
        <f>SUM(B24:L24)</f>
        <v>30000</v>
      </c>
      <c r="N25" s="8"/>
      <c r="O25" s="8"/>
      <c r="P25" s="8"/>
      <c r="Q25" s="153">
        <f>SUM(B24:P24)</f>
        <v>60000</v>
      </c>
      <c r="R25" s="8"/>
      <c r="S25" s="8"/>
      <c r="T25" s="8"/>
      <c r="U25" s="8"/>
      <c r="V25" s="8"/>
      <c r="W25" s="8"/>
      <c r="X25" s="150">
        <f>SUM(B24:W24)</f>
        <v>120000</v>
      </c>
      <c r="Y25" s="8"/>
      <c r="Z25" s="8"/>
      <c r="AA25" s="8"/>
      <c r="AB25" s="150">
        <f>SUM(B24:AA24)</f>
        <v>151500</v>
      </c>
      <c r="AC25" s="8"/>
      <c r="AD25" s="8"/>
      <c r="AE25" s="8"/>
      <c r="AF25" s="150">
        <f>SUM(B24:AE24)</f>
        <v>183000</v>
      </c>
      <c r="AG25" s="8"/>
      <c r="AH25" s="8"/>
      <c r="AI25" s="8"/>
      <c r="AJ25" s="150">
        <f>SUM(B24:AI24)</f>
        <v>214500</v>
      </c>
      <c r="AK25" s="8"/>
      <c r="AL25" s="8"/>
      <c r="AM25" s="8"/>
      <c r="AN25" s="150">
        <f>SUM(B24:AM24)</f>
        <v>246000</v>
      </c>
      <c r="AO25" s="8"/>
      <c r="AP25" s="8"/>
      <c r="AQ25" s="8"/>
      <c r="AR25" s="150">
        <f>SUM(B24:AQ24)</f>
        <v>277500</v>
      </c>
      <c r="AS25" s="8"/>
      <c r="AT25" s="8"/>
      <c r="AU25" s="8"/>
      <c r="AV25" s="150">
        <f>SUM(B24:AU24)</f>
        <v>309000</v>
      </c>
      <c r="AW25" s="8"/>
      <c r="AX25" s="8"/>
      <c r="AY25" s="8"/>
      <c r="AZ25" s="8"/>
      <c r="BA25" s="8"/>
    </row>
    <row r="26" spans="1:53" ht="14" collapsed="1" x14ac:dyDescent="0.2">
      <c r="A26" s="148" t="s">
        <v>128</v>
      </c>
      <c r="B26" s="8"/>
      <c r="C26" s="8"/>
      <c r="D26" s="8"/>
      <c r="E26" s="16"/>
      <c r="F26" s="8"/>
      <c r="G26" s="8"/>
      <c r="H26" s="8"/>
      <c r="I26" s="16"/>
      <c r="J26" s="8"/>
      <c r="K26" s="8"/>
      <c r="L26" s="8"/>
      <c r="M26" s="16"/>
      <c r="N26" s="8"/>
      <c r="O26" s="8"/>
      <c r="P26" s="8"/>
      <c r="Q26" s="16"/>
      <c r="R26" s="8"/>
      <c r="S26" s="8"/>
      <c r="T26" s="8"/>
      <c r="U26" s="8"/>
      <c r="V26" s="8"/>
      <c r="W26" s="8"/>
      <c r="X26" s="16"/>
      <c r="Y26" s="8"/>
      <c r="Z26" s="8"/>
      <c r="AA26" s="8"/>
      <c r="AB26" s="16"/>
      <c r="AC26" s="8"/>
      <c r="AD26" s="8"/>
      <c r="AE26" s="8"/>
      <c r="AF26" s="16"/>
      <c r="AG26" s="8"/>
      <c r="AH26" s="8"/>
      <c r="AI26" s="8"/>
      <c r="AJ26" s="16"/>
      <c r="AK26" s="8"/>
      <c r="AL26" s="8"/>
      <c r="AM26" s="8"/>
      <c r="AN26" s="16"/>
      <c r="AO26" s="8"/>
      <c r="AP26" s="8"/>
      <c r="AQ26" s="8"/>
      <c r="AR26" s="16"/>
      <c r="AS26" s="8"/>
      <c r="AT26" s="8"/>
      <c r="AU26" s="8"/>
      <c r="AV26" s="16"/>
      <c r="AW26" s="8"/>
      <c r="AX26" s="8"/>
      <c r="AY26" s="8"/>
      <c r="AZ26" s="8"/>
      <c r="BA26" s="8"/>
    </row>
    <row r="27" spans="1:53" ht="14" hidden="1" outlineLevel="1" x14ac:dyDescent="0.2">
      <c r="A27" s="16" t="s">
        <v>129</v>
      </c>
      <c r="B27" s="149">
        <v>15000</v>
      </c>
      <c r="C27" s="149">
        <v>15000</v>
      </c>
      <c r="D27" s="149">
        <v>15000</v>
      </c>
      <c r="E27" s="138"/>
      <c r="F27" s="149">
        <v>15000</v>
      </c>
      <c r="G27" s="149">
        <v>15000</v>
      </c>
      <c r="H27" s="149">
        <v>15000</v>
      </c>
      <c r="I27" s="138"/>
      <c r="J27" s="149">
        <v>15000</v>
      </c>
      <c r="K27" s="149">
        <v>15000</v>
      </c>
      <c r="L27" s="149">
        <v>15000</v>
      </c>
      <c r="M27" s="138"/>
      <c r="N27" s="149">
        <v>15000</v>
      </c>
      <c r="O27" s="149">
        <v>15000</v>
      </c>
      <c r="P27" s="149">
        <v>15000</v>
      </c>
      <c r="Q27" s="138"/>
      <c r="R27" s="149">
        <f t="shared" ref="R27:W27" si="149">15000+15000*5%</f>
        <v>15750</v>
      </c>
      <c r="S27" s="149">
        <f t="shared" si="149"/>
        <v>15750</v>
      </c>
      <c r="T27" s="149">
        <f t="shared" si="149"/>
        <v>15750</v>
      </c>
      <c r="U27" s="149">
        <f t="shared" si="149"/>
        <v>15750</v>
      </c>
      <c r="V27" s="149">
        <f t="shared" si="149"/>
        <v>15750</v>
      </c>
      <c r="W27" s="149">
        <f t="shared" si="149"/>
        <v>15750</v>
      </c>
      <c r="X27" s="138"/>
      <c r="Y27" s="149">
        <f t="shared" ref="Y27:AA27" si="150">15000+15000*5%</f>
        <v>15750</v>
      </c>
      <c r="Z27" s="149">
        <f t="shared" si="150"/>
        <v>15750</v>
      </c>
      <c r="AA27" s="149">
        <f t="shared" si="150"/>
        <v>15750</v>
      </c>
      <c r="AB27" s="138"/>
      <c r="AC27" s="149">
        <f t="shared" ref="AC27:AE27" si="151">15000+15000*5%</f>
        <v>15750</v>
      </c>
      <c r="AD27" s="149">
        <f t="shared" si="151"/>
        <v>15750</v>
      </c>
      <c r="AE27" s="149">
        <f t="shared" si="151"/>
        <v>15750</v>
      </c>
      <c r="AF27" s="138"/>
      <c r="AG27" s="149">
        <f t="shared" ref="AG27:AI27" si="152">15750+15750*5%</f>
        <v>16537.5</v>
      </c>
      <c r="AH27" s="149">
        <f t="shared" si="152"/>
        <v>16537.5</v>
      </c>
      <c r="AI27" s="149">
        <f t="shared" si="152"/>
        <v>16537.5</v>
      </c>
      <c r="AJ27" s="138"/>
      <c r="AK27" s="149">
        <f t="shared" ref="AK27:AM27" si="153">15750+15750*5%</f>
        <v>16537.5</v>
      </c>
      <c r="AL27" s="149">
        <f t="shared" si="153"/>
        <v>16537.5</v>
      </c>
      <c r="AM27" s="149">
        <f t="shared" si="153"/>
        <v>16537.5</v>
      </c>
      <c r="AN27" s="138"/>
      <c r="AO27" s="149">
        <f t="shared" ref="AO27:AQ27" si="154">15750+15750*5%</f>
        <v>16537.5</v>
      </c>
      <c r="AP27" s="149">
        <f t="shared" si="154"/>
        <v>16537.5</v>
      </c>
      <c r="AQ27" s="149">
        <f t="shared" si="154"/>
        <v>16537.5</v>
      </c>
      <c r="AR27" s="138"/>
      <c r="AS27" s="149">
        <f t="shared" ref="AS27:AU27" si="155">15750+15750*5%</f>
        <v>16537.5</v>
      </c>
      <c r="AT27" s="149">
        <f t="shared" si="155"/>
        <v>16537.5</v>
      </c>
      <c r="AU27" s="149">
        <f t="shared" si="155"/>
        <v>16537.5</v>
      </c>
      <c r="AV27" s="138"/>
      <c r="AW27" s="17"/>
      <c r="AX27" s="8"/>
      <c r="AY27" s="8"/>
      <c r="AZ27" s="8"/>
      <c r="BA27" s="8"/>
    </row>
    <row r="28" spans="1:53" ht="14" hidden="1" outlineLevel="1" x14ac:dyDescent="0.2">
      <c r="A28" s="16" t="s">
        <v>130</v>
      </c>
      <c r="B28" s="139">
        <v>0</v>
      </c>
      <c r="C28" s="139">
        <v>0</v>
      </c>
      <c r="D28" s="139">
        <v>0</v>
      </c>
      <c r="E28" s="138"/>
      <c r="F28" s="149">
        <v>15000</v>
      </c>
      <c r="G28" s="149">
        <v>15000</v>
      </c>
      <c r="H28" s="149">
        <v>15000</v>
      </c>
      <c r="I28" s="138"/>
      <c r="J28" s="149">
        <v>50000</v>
      </c>
      <c r="K28" s="149">
        <v>50000</v>
      </c>
      <c r="L28" s="149">
        <v>50000</v>
      </c>
      <c r="M28" s="138"/>
      <c r="N28" s="149">
        <v>50000</v>
      </c>
      <c r="O28" s="149">
        <v>50000</v>
      </c>
      <c r="P28" s="149">
        <v>50000</v>
      </c>
      <c r="Q28" s="138"/>
      <c r="R28" s="149">
        <f t="shared" ref="R28:W28" si="156">50000+50000*5%</f>
        <v>52500</v>
      </c>
      <c r="S28" s="149">
        <f t="shared" si="156"/>
        <v>52500</v>
      </c>
      <c r="T28" s="149">
        <f t="shared" si="156"/>
        <v>52500</v>
      </c>
      <c r="U28" s="149">
        <f t="shared" si="156"/>
        <v>52500</v>
      </c>
      <c r="V28" s="149">
        <f t="shared" si="156"/>
        <v>52500</v>
      </c>
      <c r="W28" s="149">
        <f t="shared" si="156"/>
        <v>52500</v>
      </c>
      <c r="X28" s="138"/>
      <c r="Y28" s="149">
        <f t="shared" ref="Y28:AA28" si="157">50000+50000*5%</f>
        <v>52500</v>
      </c>
      <c r="Z28" s="149">
        <f t="shared" si="157"/>
        <v>52500</v>
      </c>
      <c r="AA28" s="149">
        <f t="shared" si="157"/>
        <v>52500</v>
      </c>
      <c r="AB28" s="138"/>
      <c r="AC28" s="149">
        <f t="shared" ref="AC28:AE28" si="158">50000+50000*5%</f>
        <v>52500</v>
      </c>
      <c r="AD28" s="149">
        <f t="shared" si="158"/>
        <v>52500</v>
      </c>
      <c r="AE28" s="149">
        <f t="shared" si="158"/>
        <v>52500</v>
      </c>
      <c r="AF28" s="138"/>
      <c r="AG28" s="149">
        <f t="shared" ref="AG28:AI28" si="159">52500+50000*5%</f>
        <v>55000</v>
      </c>
      <c r="AH28" s="149">
        <f t="shared" si="159"/>
        <v>55000</v>
      </c>
      <c r="AI28" s="149">
        <f t="shared" si="159"/>
        <v>55000</v>
      </c>
      <c r="AJ28" s="138"/>
      <c r="AK28" s="149">
        <f t="shared" ref="AK28:AM28" si="160">52500+50000*5%</f>
        <v>55000</v>
      </c>
      <c r="AL28" s="149">
        <f t="shared" si="160"/>
        <v>55000</v>
      </c>
      <c r="AM28" s="149">
        <f t="shared" si="160"/>
        <v>55000</v>
      </c>
      <c r="AN28" s="138"/>
      <c r="AO28" s="149">
        <f t="shared" ref="AO28:AQ28" si="161">52500+50000*5%</f>
        <v>55000</v>
      </c>
      <c r="AP28" s="149">
        <f t="shared" si="161"/>
        <v>55000</v>
      </c>
      <c r="AQ28" s="149">
        <f t="shared" si="161"/>
        <v>55000</v>
      </c>
      <c r="AR28" s="138"/>
      <c r="AS28" s="149">
        <f t="shared" ref="AS28:AU28" si="162">52500+50000*5%</f>
        <v>55000</v>
      </c>
      <c r="AT28" s="149">
        <f t="shared" si="162"/>
        <v>55000</v>
      </c>
      <c r="AU28" s="149">
        <f t="shared" si="162"/>
        <v>55000</v>
      </c>
      <c r="AV28" s="138"/>
      <c r="AW28" s="17"/>
      <c r="AX28" s="8"/>
      <c r="AY28" s="8"/>
      <c r="AZ28" s="8"/>
      <c r="BA28" s="8"/>
    </row>
    <row r="29" spans="1:53" ht="14" x14ac:dyDescent="0.2">
      <c r="A29" s="148" t="s">
        <v>131</v>
      </c>
      <c r="B29" s="149">
        <f t="shared" ref="B29:D29" si="163">SUM(B27:B28)</f>
        <v>15000</v>
      </c>
      <c r="C29" s="149">
        <f t="shared" si="163"/>
        <v>15000</v>
      </c>
      <c r="D29" s="149">
        <f t="shared" si="163"/>
        <v>15000</v>
      </c>
      <c r="E29" s="138"/>
      <c r="F29" s="149">
        <f t="shared" ref="F29:H29" si="164">SUM(F27:F28)</f>
        <v>30000</v>
      </c>
      <c r="G29" s="149">
        <f t="shared" si="164"/>
        <v>30000</v>
      </c>
      <c r="H29" s="149">
        <f t="shared" si="164"/>
        <v>30000</v>
      </c>
      <c r="I29" s="16"/>
      <c r="J29" s="149">
        <f t="shared" ref="J29:L29" si="165">SUM(J27:J28)</f>
        <v>65000</v>
      </c>
      <c r="K29" s="149">
        <f t="shared" si="165"/>
        <v>65000</v>
      </c>
      <c r="L29" s="149">
        <f t="shared" si="165"/>
        <v>65000</v>
      </c>
      <c r="M29" s="16"/>
      <c r="N29" s="149">
        <f t="shared" ref="N29:P29" si="166">SUM(N27:N28)</f>
        <v>65000</v>
      </c>
      <c r="O29" s="149">
        <f t="shared" si="166"/>
        <v>65000</v>
      </c>
      <c r="P29" s="149">
        <f t="shared" si="166"/>
        <v>65000</v>
      </c>
      <c r="Q29" s="138"/>
      <c r="R29" s="149">
        <f t="shared" ref="R29:W29" si="167">SUM(R27:R28)</f>
        <v>68250</v>
      </c>
      <c r="S29" s="149">
        <f t="shared" si="167"/>
        <v>68250</v>
      </c>
      <c r="T29" s="149">
        <f t="shared" si="167"/>
        <v>68250</v>
      </c>
      <c r="U29" s="149">
        <f t="shared" si="167"/>
        <v>68250</v>
      </c>
      <c r="V29" s="149">
        <f t="shared" si="167"/>
        <v>68250</v>
      </c>
      <c r="W29" s="149">
        <f t="shared" si="167"/>
        <v>68250</v>
      </c>
      <c r="X29" s="16"/>
      <c r="Y29" s="149">
        <f t="shared" ref="Y29:AA29" si="168">SUM(Y27:Y28)</f>
        <v>68250</v>
      </c>
      <c r="Z29" s="149">
        <f t="shared" si="168"/>
        <v>68250</v>
      </c>
      <c r="AA29" s="149">
        <f t="shared" si="168"/>
        <v>68250</v>
      </c>
      <c r="AB29" s="138"/>
      <c r="AC29" s="149">
        <f t="shared" ref="AC29:AE29" si="169">SUM(AC27:AC28)</f>
        <v>68250</v>
      </c>
      <c r="AD29" s="149">
        <f t="shared" si="169"/>
        <v>68250</v>
      </c>
      <c r="AE29" s="149">
        <f t="shared" si="169"/>
        <v>68250</v>
      </c>
      <c r="AF29" s="138"/>
      <c r="AG29" s="149">
        <f t="shared" ref="AG29:AI29" si="170">SUM(AG27:AG28)</f>
        <v>71537.5</v>
      </c>
      <c r="AH29" s="149">
        <f t="shared" si="170"/>
        <v>71537.5</v>
      </c>
      <c r="AI29" s="149">
        <f t="shared" si="170"/>
        <v>71537.5</v>
      </c>
      <c r="AJ29" s="138"/>
      <c r="AK29" s="149">
        <f t="shared" ref="AK29:AM29" si="171">SUM(AK27:AK28)</f>
        <v>71537.5</v>
      </c>
      <c r="AL29" s="149">
        <f t="shared" si="171"/>
        <v>71537.5</v>
      </c>
      <c r="AM29" s="149">
        <f t="shared" si="171"/>
        <v>71537.5</v>
      </c>
      <c r="AN29" s="138"/>
      <c r="AO29" s="149">
        <f t="shared" ref="AO29:AQ29" si="172">SUM(AO27:AO28)</f>
        <v>71537.5</v>
      </c>
      <c r="AP29" s="149">
        <f t="shared" si="172"/>
        <v>71537.5</v>
      </c>
      <c r="AQ29" s="149">
        <f t="shared" si="172"/>
        <v>71537.5</v>
      </c>
      <c r="AR29" s="138"/>
      <c r="AS29" s="149">
        <f t="shared" ref="AS29:AU29" si="173">SUM(AS27:AS28)</f>
        <v>71537.5</v>
      </c>
      <c r="AT29" s="149">
        <f t="shared" si="173"/>
        <v>71537.5</v>
      </c>
      <c r="AU29" s="149">
        <f t="shared" si="173"/>
        <v>71537.5</v>
      </c>
      <c r="AV29" s="138"/>
      <c r="AW29" s="17"/>
      <c r="AX29" s="8"/>
      <c r="AY29" s="8"/>
      <c r="AZ29" s="8"/>
      <c r="BA29" s="8"/>
    </row>
    <row r="30" spans="1:53" ht="14" x14ac:dyDescent="0.2">
      <c r="A30" s="16"/>
      <c r="B30" s="8"/>
      <c r="C30" s="8"/>
      <c r="D30" s="8"/>
      <c r="E30" s="150">
        <f>SUM(B29:D29)</f>
        <v>45000</v>
      </c>
      <c r="F30" s="8"/>
      <c r="G30" s="8"/>
      <c r="H30" s="8"/>
      <c r="I30" s="150">
        <f>SUM(B29:H29)</f>
        <v>135000</v>
      </c>
      <c r="J30" s="8"/>
      <c r="K30" s="8"/>
      <c r="L30" s="8"/>
      <c r="M30" s="150">
        <f>SUM(B29:L29)</f>
        <v>330000</v>
      </c>
      <c r="N30" s="8"/>
      <c r="O30" s="8"/>
      <c r="P30" s="8"/>
      <c r="Q30" s="150">
        <f>SUM(B29:P29)</f>
        <v>525000</v>
      </c>
      <c r="R30" s="8"/>
      <c r="S30" s="8"/>
      <c r="T30" s="8"/>
      <c r="U30" s="8"/>
      <c r="V30" s="8"/>
      <c r="W30" s="8"/>
      <c r="X30" s="150">
        <f>SUM(B29:W29)</f>
        <v>934500</v>
      </c>
      <c r="Y30" s="8"/>
      <c r="Z30" s="8"/>
      <c r="AA30" s="8"/>
      <c r="AB30" s="150">
        <f>SUM(B29:AA29)</f>
        <v>1139250</v>
      </c>
      <c r="AC30" s="8"/>
      <c r="AD30" s="8"/>
      <c r="AE30" s="8"/>
      <c r="AF30" s="150">
        <f>SUM(B29:AE29)</f>
        <v>1344000</v>
      </c>
      <c r="AG30" s="8"/>
      <c r="AH30" s="8"/>
      <c r="AI30" s="8"/>
      <c r="AJ30" s="150">
        <f>SUM(B29:AI29)</f>
        <v>1558612.5</v>
      </c>
      <c r="AK30" s="8"/>
      <c r="AL30" s="8"/>
      <c r="AM30" s="8"/>
      <c r="AN30" s="150">
        <f>SUM(B29:AM29)</f>
        <v>1773225</v>
      </c>
      <c r="AO30" s="8"/>
      <c r="AP30" s="8"/>
      <c r="AQ30" s="8"/>
      <c r="AR30" s="150">
        <f>SUM(B29:AQ29)</f>
        <v>1987837.5</v>
      </c>
      <c r="AS30" s="8"/>
      <c r="AT30" s="8"/>
      <c r="AU30" s="8"/>
      <c r="AV30" s="150">
        <f>SUM(B29:AU29)</f>
        <v>2202450</v>
      </c>
      <c r="AW30" s="8"/>
      <c r="AX30" s="8"/>
      <c r="AY30" s="8"/>
      <c r="AZ30" s="8"/>
      <c r="BA30" s="8"/>
    </row>
    <row r="31" spans="1:53" ht="14" collapsed="1" x14ac:dyDescent="0.2">
      <c r="A31" s="148" t="s">
        <v>132</v>
      </c>
      <c r="B31" s="20"/>
      <c r="C31" s="20"/>
      <c r="D31" s="20"/>
      <c r="E31" s="22"/>
      <c r="F31" s="20"/>
      <c r="G31" s="20"/>
      <c r="H31" s="20"/>
      <c r="I31" s="22"/>
      <c r="J31" s="20"/>
      <c r="K31" s="20"/>
      <c r="L31" s="20"/>
      <c r="M31" s="22"/>
      <c r="N31" s="20"/>
      <c r="O31" s="20"/>
      <c r="P31" s="20"/>
      <c r="Q31" s="22"/>
      <c r="R31" s="20"/>
      <c r="S31" s="20"/>
      <c r="T31" s="20"/>
      <c r="U31" s="20"/>
      <c r="V31" s="20"/>
      <c r="W31" s="20"/>
      <c r="X31" s="138"/>
      <c r="Y31" s="17"/>
      <c r="Z31" s="17"/>
      <c r="AA31" s="17"/>
      <c r="AB31" s="138"/>
      <c r="AC31" s="17"/>
      <c r="AD31" s="17"/>
      <c r="AE31" s="17"/>
      <c r="AF31" s="138"/>
      <c r="AG31" s="17"/>
      <c r="AH31" s="17"/>
      <c r="AI31" s="17"/>
      <c r="AJ31" s="138"/>
      <c r="AK31" s="17"/>
      <c r="AL31" s="17"/>
      <c r="AM31" s="17"/>
      <c r="AN31" s="138"/>
      <c r="AO31" s="17"/>
      <c r="AP31" s="17"/>
      <c r="AQ31" s="17"/>
      <c r="AR31" s="138"/>
      <c r="AS31" s="17"/>
      <c r="AT31" s="17"/>
      <c r="AU31" s="17"/>
      <c r="AV31" s="138"/>
      <c r="AW31" s="17"/>
      <c r="AX31" s="8"/>
      <c r="AY31" s="8"/>
      <c r="AZ31" s="8"/>
      <c r="BA31" s="8"/>
    </row>
    <row r="32" spans="1:53" ht="14" hidden="1" outlineLevel="1" x14ac:dyDescent="0.2">
      <c r="A32" s="16" t="s">
        <v>133</v>
      </c>
      <c r="B32" s="139">
        <v>20000</v>
      </c>
      <c r="C32" s="139">
        <v>8500</v>
      </c>
      <c r="D32" s="139">
        <v>8500</v>
      </c>
      <c r="E32" s="22"/>
      <c r="F32" s="139">
        <v>20000</v>
      </c>
      <c r="G32" s="139">
        <v>8500</v>
      </c>
      <c r="H32" s="139">
        <v>8500</v>
      </c>
      <c r="I32" s="22"/>
      <c r="J32" s="139">
        <v>20000</v>
      </c>
      <c r="K32" s="139">
        <v>8500</v>
      </c>
      <c r="L32" s="139">
        <v>8500</v>
      </c>
      <c r="M32" s="22"/>
      <c r="N32" s="139">
        <v>20000</v>
      </c>
      <c r="O32" s="139">
        <v>8500</v>
      </c>
      <c r="P32" s="139">
        <v>8500</v>
      </c>
      <c r="Q32" s="22"/>
      <c r="R32" s="139">
        <v>20000</v>
      </c>
      <c r="S32" s="139">
        <f t="shared" ref="S32:T32" si="174">8500+8500*5%</f>
        <v>8925</v>
      </c>
      <c r="T32" s="139">
        <f t="shared" si="174"/>
        <v>8925</v>
      </c>
      <c r="U32" s="139">
        <v>20000</v>
      </c>
      <c r="V32" s="139">
        <f t="shared" ref="V32:W32" si="175">8500+8500*5%</f>
        <v>8925</v>
      </c>
      <c r="W32" s="139">
        <f t="shared" si="175"/>
        <v>8925</v>
      </c>
      <c r="X32" s="16"/>
      <c r="Y32" s="139">
        <v>20000</v>
      </c>
      <c r="Z32" s="139">
        <f t="shared" ref="Z32:AA32" si="176">8500+8500*5%</f>
        <v>8925</v>
      </c>
      <c r="AA32" s="139">
        <f t="shared" si="176"/>
        <v>8925</v>
      </c>
      <c r="AB32" s="16"/>
      <c r="AC32" s="139">
        <v>20000</v>
      </c>
      <c r="AD32" s="139">
        <f t="shared" ref="AD32:AE32" si="177">8500+8500*5%</f>
        <v>8925</v>
      </c>
      <c r="AE32" s="139">
        <f t="shared" si="177"/>
        <v>8925</v>
      </c>
      <c r="AF32" s="22"/>
      <c r="AG32" s="139">
        <f t="shared" ref="AG32:AI32" si="178">8925+8925*5%</f>
        <v>9371.25</v>
      </c>
      <c r="AH32" s="139">
        <f t="shared" si="178"/>
        <v>9371.25</v>
      </c>
      <c r="AI32" s="139">
        <f t="shared" si="178"/>
        <v>9371.25</v>
      </c>
      <c r="AJ32" s="22"/>
      <c r="AK32" s="139">
        <f t="shared" ref="AK32:AM32" si="179">8925+8925*5%</f>
        <v>9371.25</v>
      </c>
      <c r="AL32" s="139">
        <f t="shared" si="179"/>
        <v>9371.25</v>
      </c>
      <c r="AM32" s="139">
        <f t="shared" si="179"/>
        <v>9371.25</v>
      </c>
      <c r="AN32" s="22"/>
      <c r="AO32" s="139">
        <f t="shared" ref="AO32:AQ32" si="180">8925+8925*5%</f>
        <v>9371.25</v>
      </c>
      <c r="AP32" s="139">
        <f t="shared" si="180"/>
        <v>9371.25</v>
      </c>
      <c r="AQ32" s="139">
        <f t="shared" si="180"/>
        <v>9371.25</v>
      </c>
      <c r="AR32" s="22"/>
      <c r="AS32" s="139">
        <f t="shared" ref="AS32:AU32" si="181">8925+8925*5%</f>
        <v>9371.25</v>
      </c>
      <c r="AT32" s="139">
        <f t="shared" si="181"/>
        <v>9371.25</v>
      </c>
      <c r="AU32" s="139">
        <f t="shared" si="181"/>
        <v>9371.25</v>
      </c>
      <c r="AV32" s="16"/>
      <c r="AW32" s="8"/>
      <c r="AX32" s="8"/>
      <c r="AY32" s="8"/>
      <c r="AZ32" s="8"/>
      <c r="BA32" s="8"/>
    </row>
    <row r="33" spans="1:53" ht="14" x14ac:dyDescent="0.2">
      <c r="A33" s="148" t="s">
        <v>134</v>
      </c>
      <c r="B33" s="139">
        <f t="shared" ref="B33:D33" si="182">SUM(B32)</f>
        <v>20000</v>
      </c>
      <c r="C33" s="139">
        <f t="shared" si="182"/>
        <v>8500</v>
      </c>
      <c r="D33" s="139">
        <f t="shared" si="182"/>
        <v>8500</v>
      </c>
      <c r="E33" s="16"/>
      <c r="F33" s="139">
        <f t="shared" ref="F33:H33" si="183">SUM(F32)</f>
        <v>20000</v>
      </c>
      <c r="G33" s="139">
        <f t="shared" si="183"/>
        <v>8500</v>
      </c>
      <c r="H33" s="139">
        <f t="shared" si="183"/>
        <v>8500</v>
      </c>
      <c r="I33" s="16"/>
      <c r="J33" s="139">
        <f t="shared" ref="J33:L33" si="184">SUM(J32)</f>
        <v>20000</v>
      </c>
      <c r="K33" s="139">
        <f t="shared" si="184"/>
        <v>8500</v>
      </c>
      <c r="L33" s="139">
        <f t="shared" si="184"/>
        <v>8500</v>
      </c>
      <c r="M33" s="16"/>
      <c r="N33" s="139">
        <f t="shared" ref="N33:P33" si="185">SUM(N32)</f>
        <v>20000</v>
      </c>
      <c r="O33" s="139">
        <f t="shared" si="185"/>
        <v>8500</v>
      </c>
      <c r="P33" s="139">
        <f t="shared" si="185"/>
        <v>8500</v>
      </c>
      <c r="Q33" s="16"/>
      <c r="R33" s="139">
        <f t="shared" ref="R33:W33" si="186">SUM(R32)</f>
        <v>20000</v>
      </c>
      <c r="S33" s="139">
        <f t="shared" si="186"/>
        <v>8925</v>
      </c>
      <c r="T33" s="139">
        <f t="shared" si="186"/>
        <v>8925</v>
      </c>
      <c r="U33" s="139">
        <f t="shared" si="186"/>
        <v>20000</v>
      </c>
      <c r="V33" s="139">
        <f t="shared" si="186"/>
        <v>8925</v>
      </c>
      <c r="W33" s="139">
        <f t="shared" si="186"/>
        <v>8925</v>
      </c>
      <c r="X33" s="16"/>
      <c r="Y33" s="139">
        <f t="shared" ref="Y33:AA33" si="187">SUM(Y32)</f>
        <v>20000</v>
      </c>
      <c r="Z33" s="139">
        <f t="shared" si="187"/>
        <v>8925</v>
      </c>
      <c r="AA33" s="139">
        <f t="shared" si="187"/>
        <v>8925</v>
      </c>
      <c r="AB33" s="138"/>
      <c r="AC33" s="139">
        <f t="shared" ref="AC33:AE33" si="188">SUM(AC32)</f>
        <v>20000</v>
      </c>
      <c r="AD33" s="139">
        <f t="shared" si="188"/>
        <v>8925</v>
      </c>
      <c r="AE33" s="139">
        <f t="shared" si="188"/>
        <v>8925</v>
      </c>
      <c r="AF33" s="16"/>
      <c r="AG33" s="139">
        <f t="shared" ref="AG33:AI33" si="189">SUM(AG32)</f>
        <v>9371.25</v>
      </c>
      <c r="AH33" s="139">
        <f t="shared" si="189"/>
        <v>9371.25</v>
      </c>
      <c r="AI33" s="139">
        <f t="shared" si="189"/>
        <v>9371.25</v>
      </c>
      <c r="AJ33" s="16"/>
      <c r="AK33" s="139">
        <f t="shared" ref="AK33:AM33" si="190">SUM(AK32)</f>
        <v>9371.25</v>
      </c>
      <c r="AL33" s="139">
        <f t="shared" si="190"/>
        <v>9371.25</v>
      </c>
      <c r="AM33" s="139">
        <f t="shared" si="190"/>
        <v>9371.25</v>
      </c>
      <c r="AN33" s="16"/>
      <c r="AO33" s="139">
        <f t="shared" ref="AO33:AQ33" si="191">SUM(AO32)</f>
        <v>9371.25</v>
      </c>
      <c r="AP33" s="139">
        <f t="shared" si="191"/>
        <v>9371.25</v>
      </c>
      <c r="AQ33" s="139">
        <f t="shared" si="191"/>
        <v>9371.25</v>
      </c>
      <c r="AR33" s="16"/>
      <c r="AS33" s="139">
        <f t="shared" ref="AS33:AU33" si="192">SUM(AS32)</f>
        <v>9371.25</v>
      </c>
      <c r="AT33" s="139">
        <f t="shared" si="192"/>
        <v>9371.25</v>
      </c>
      <c r="AU33" s="139">
        <f t="shared" si="192"/>
        <v>9371.25</v>
      </c>
      <c r="AV33" s="138"/>
      <c r="AW33" s="17"/>
      <c r="AX33" s="8"/>
      <c r="AY33" s="8"/>
      <c r="AZ33" s="8"/>
      <c r="BA33" s="8"/>
    </row>
    <row r="34" spans="1:53" ht="14" x14ac:dyDescent="0.2">
      <c r="A34" s="16"/>
      <c r="B34" s="8"/>
      <c r="C34" s="8"/>
      <c r="D34" s="8"/>
      <c r="E34" s="153">
        <f>SUM(B32:D32)</f>
        <v>37000</v>
      </c>
      <c r="F34" s="8"/>
      <c r="G34" s="8"/>
      <c r="H34" s="8"/>
      <c r="I34" s="153">
        <f>SUM(B32:H32)</f>
        <v>74000</v>
      </c>
      <c r="J34" s="8"/>
      <c r="K34" s="8"/>
      <c r="L34" s="8"/>
      <c r="M34" s="153">
        <f>SUM(B32:L32)</f>
        <v>111000</v>
      </c>
      <c r="N34" s="8"/>
      <c r="O34" s="8"/>
      <c r="P34" s="8"/>
      <c r="Q34" s="153">
        <f>SUM(B32:P32)</f>
        <v>148000</v>
      </c>
      <c r="R34" s="8"/>
      <c r="S34" s="8"/>
      <c r="T34" s="8"/>
      <c r="U34" s="8"/>
      <c r="V34" s="8"/>
      <c r="W34" s="8"/>
      <c r="X34" s="150">
        <f>SUM(B32:W32)</f>
        <v>223700</v>
      </c>
      <c r="Y34" s="8"/>
      <c r="Z34" s="8"/>
      <c r="AA34" s="8"/>
      <c r="AB34" s="150">
        <f>SUM(B32:AA32)</f>
        <v>261550</v>
      </c>
      <c r="AC34" s="8"/>
      <c r="AD34" s="8"/>
      <c r="AE34" s="8"/>
      <c r="AF34" s="150">
        <f>SUM(B32:AE32)</f>
        <v>299400</v>
      </c>
      <c r="AG34" s="8"/>
      <c r="AH34" s="8"/>
      <c r="AI34" s="8"/>
      <c r="AJ34" s="16"/>
      <c r="AK34" s="8"/>
      <c r="AL34" s="8"/>
      <c r="AM34" s="8"/>
      <c r="AN34" s="16"/>
      <c r="AO34" s="8"/>
      <c r="AP34" s="8"/>
      <c r="AQ34" s="8"/>
      <c r="AR34" s="16"/>
      <c r="AS34" s="8"/>
      <c r="AT34" s="8"/>
      <c r="AU34" s="8"/>
      <c r="AV34" s="150">
        <f>SUM(B32:AD32)</f>
        <v>290475</v>
      </c>
      <c r="AW34" s="8"/>
      <c r="AX34" s="8"/>
      <c r="AY34" s="8"/>
      <c r="AZ34" s="8"/>
      <c r="BA34" s="8"/>
    </row>
    <row r="35" spans="1:53" ht="14" x14ac:dyDescent="0.2">
      <c r="A35" s="148" t="s">
        <v>135</v>
      </c>
      <c r="E35" s="16"/>
      <c r="F35" s="8"/>
      <c r="G35" s="8"/>
      <c r="H35" s="8"/>
      <c r="I35" s="16"/>
      <c r="J35" s="8"/>
      <c r="K35" s="8"/>
      <c r="L35" s="8"/>
      <c r="M35" s="16"/>
      <c r="N35" s="8"/>
      <c r="O35" s="8"/>
      <c r="P35" s="8"/>
      <c r="Q35" s="16"/>
      <c r="R35" s="8"/>
      <c r="S35" s="8"/>
      <c r="T35" s="8"/>
      <c r="U35" s="8"/>
      <c r="V35" s="8"/>
      <c r="W35" s="8"/>
      <c r="X35" s="16"/>
      <c r="Y35" s="8"/>
      <c r="Z35" s="8"/>
      <c r="AA35" s="8"/>
      <c r="AB35" s="16"/>
      <c r="AC35" s="8"/>
      <c r="AD35" s="8"/>
      <c r="AE35" s="8"/>
      <c r="AF35" s="16"/>
      <c r="AG35" s="8"/>
      <c r="AH35" s="8"/>
      <c r="AI35" s="8"/>
      <c r="AJ35" s="16"/>
      <c r="AK35" s="8"/>
      <c r="AL35" s="8"/>
      <c r="AM35" s="8"/>
      <c r="AN35" s="16"/>
      <c r="AO35" s="8"/>
      <c r="AP35" s="8"/>
      <c r="AQ35" s="8"/>
      <c r="AR35" s="16"/>
      <c r="AS35" s="8"/>
      <c r="AT35" s="8"/>
      <c r="AU35" s="8"/>
      <c r="AV35" s="16"/>
      <c r="AW35" s="8"/>
      <c r="AX35" s="8"/>
      <c r="AY35" s="8"/>
      <c r="AZ35" s="8"/>
      <c r="BA35" s="8"/>
    </row>
    <row r="36" spans="1:53" ht="14" outlineLevel="1" x14ac:dyDescent="0.2">
      <c r="A36" s="16" t="s">
        <v>136</v>
      </c>
      <c r="B36" s="17">
        <v>10000</v>
      </c>
      <c r="C36" s="17">
        <v>10000</v>
      </c>
      <c r="D36" s="17">
        <v>10000</v>
      </c>
      <c r="E36" s="16"/>
      <c r="F36" s="17">
        <v>10000</v>
      </c>
      <c r="G36" s="17">
        <v>10000</v>
      </c>
      <c r="H36" s="17">
        <v>10000</v>
      </c>
      <c r="I36" s="16"/>
      <c r="J36" s="17">
        <f t="shared" ref="J36:L36" si="193">10000+10000*10%</f>
        <v>11000</v>
      </c>
      <c r="K36" s="17">
        <f t="shared" si="193"/>
        <v>11000</v>
      </c>
      <c r="L36" s="17">
        <f t="shared" si="193"/>
        <v>11000</v>
      </c>
      <c r="M36" s="16"/>
      <c r="N36" s="17">
        <f t="shared" ref="N36:P36" si="194">11000+11000*20%</f>
        <v>13200</v>
      </c>
      <c r="O36" s="17">
        <f t="shared" si="194"/>
        <v>13200</v>
      </c>
      <c r="P36" s="17">
        <f t="shared" si="194"/>
        <v>13200</v>
      </c>
      <c r="Q36" s="16"/>
      <c r="R36" s="17">
        <f t="shared" ref="R36:T36" si="195">13200+13200*30%</f>
        <v>17160</v>
      </c>
      <c r="S36" s="17">
        <f t="shared" si="195"/>
        <v>17160</v>
      </c>
      <c r="T36" s="17">
        <f t="shared" si="195"/>
        <v>17160</v>
      </c>
      <c r="U36" s="17">
        <f t="shared" ref="U36:W36" si="196">17160+17160*40%</f>
        <v>24024</v>
      </c>
      <c r="V36" s="17">
        <f t="shared" si="196"/>
        <v>24024</v>
      </c>
      <c r="W36" s="17">
        <f t="shared" si="196"/>
        <v>24024</v>
      </c>
      <c r="X36" s="16"/>
      <c r="Y36" s="17">
        <f t="shared" ref="Y36:AA36" si="197">24024+24024*60%</f>
        <v>38438.400000000001</v>
      </c>
      <c r="Z36" s="17">
        <f t="shared" si="197"/>
        <v>38438.400000000001</v>
      </c>
      <c r="AA36" s="17">
        <f t="shared" si="197"/>
        <v>38438.400000000001</v>
      </c>
      <c r="AB36" s="16"/>
      <c r="AC36" s="17">
        <f t="shared" ref="AC36:AE36" si="198">38438+38438*100%</f>
        <v>76876</v>
      </c>
      <c r="AD36" s="17">
        <f t="shared" si="198"/>
        <v>76876</v>
      </c>
      <c r="AE36" s="17">
        <f t="shared" si="198"/>
        <v>76876</v>
      </c>
      <c r="AF36" s="16"/>
      <c r="AG36" s="17">
        <f t="shared" ref="AG36:AI36" si="199">38438+38438*100%</f>
        <v>76876</v>
      </c>
      <c r="AH36" s="17">
        <f t="shared" si="199"/>
        <v>76876</v>
      </c>
      <c r="AI36" s="17">
        <f t="shared" si="199"/>
        <v>76876</v>
      </c>
      <c r="AJ36" s="16"/>
      <c r="AK36" s="17">
        <f t="shared" ref="AK36:AM36" si="200">76876+76876*30%</f>
        <v>99938.8</v>
      </c>
      <c r="AL36" s="17">
        <f t="shared" si="200"/>
        <v>99938.8</v>
      </c>
      <c r="AM36" s="17">
        <f t="shared" si="200"/>
        <v>99938.8</v>
      </c>
      <c r="AN36" s="16"/>
      <c r="AO36" s="17">
        <f t="shared" ref="AO36:AQ36" si="201">99938+99938*20%</f>
        <v>119925.6</v>
      </c>
      <c r="AP36" s="17">
        <f t="shared" si="201"/>
        <v>119925.6</v>
      </c>
      <c r="AQ36" s="17">
        <f t="shared" si="201"/>
        <v>119925.6</v>
      </c>
      <c r="AR36" s="16"/>
      <c r="AS36" s="17">
        <f t="shared" ref="AS36:AU36" si="202">119925+119925*10%</f>
        <v>131917.5</v>
      </c>
      <c r="AT36" s="17">
        <f t="shared" si="202"/>
        <v>131917.5</v>
      </c>
      <c r="AU36" s="17">
        <f t="shared" si="202"/>
        <v>131917.5</v>
      </c>
      <c r="AV36" s="16"/>
      <c r="AW36" s="8"/>
      <c r="AX36" s="8"/>
      <c r="AY36" s="8"/>
      <c r="AZ36" s="8"/>
      <c r="BA36" s="8"/>
    </row>
    <row r="37" spans="1:53" ht="14" x14ac:dyDescent="0.2">
      <c r="A37" s="148" t="s">
        <v>137</v>
      </c>
      <c r="B37" s="17">
        <f t="shared" ref="B37:D37" si="203">SUM(B36)</f>
        <v>10000</v>
      </c>
      <c r="C37" s="17">
        <f t="shared" si="203"/>
        <v>10000</v>
      </c>
      <c r="D37" s="17">
        <f t="shared" si="203"/>
        <v>10000</v>
      </c>
      <c r="E37" s="154"/>
      <c r="F37" s="17">
        <v>10000</v>
      </c>
      <c r="G37" s="17">
        <v>10000</v>
      </c>
      <c r="H37" s="17">
        <v>10000</v>
      </c>
      <c r="I37" s="154"/>
      <c r="J37" s="17">
        <f t="shared" ref="J37:L37" si="204">10000+10000*10%</f>
        <v>11000</v>
      </c>
      <c r="K37" s="17">
        <f t="shared" si="204"/>
        <v>11000</v>
      </c>
      <c r="L37" s="17">
        <f t="shared" si="204"/>
        <v>11000</v>
      </c>
      <c r="M37" s="16"/>
      <c r="N37" s="17">
        <f t="shared" ref="N37:P37" si="205">11000+11000*20%</f>
        <v>13200</v>
      </c>
      <c r="O37" s="17">
        <f t="shared" si="205"/>
        <v>13200</v>
      </c>
      <c r="P37" s="17">
        <f t="shared" si="205"/>
        <v>13200</v>
      </c>
      <c r="Q37" s="16"/>
      <c r="R37" s="17">
        <f t="shared" ref="R37:T37" si="206">13200+13200*30%</f>
        <v>17160</v>
      </c>
      <c r="S37" s="17">
        <f t="shared" si="206"/>
        <v>17160</v>
      </c>
      <c r="T37" s="17">
        <f t="shared" si="206"/>
        <v>17160</v>
      </c>
      <c r="U37" s="17">
        <f t="shared" ref="U37:W37" si="207">17160+17160*40%</f>
        <v>24024</v>
      </c>
      <c r="V37" s="17">
        <f t="shared" si="207"/>
        <v>24024</v>
      </c>
      <c r="W37" s="17">
        <f t="shared" si="207"/>
        <v>24024</v>
      </c>
      <c r="X37" s="16"/>
      <c r="Y37" s="17">
        <f t="shared" ref="Y37:AA37" si="208">24024+24024*60%</f>
        <v>38438.400000000001</v>
      </c>
      <c r="Z37" s="17">
        <f t="shared" si="208"/>
        <v>38438.400000000001</v>
      </c>
      <c r="AA37" s="17">
        <f t="shared" si="208"/>
        <v>38438.400000000001</v>
      </c>
      <c r="AB37" s="16"/>
      <c r="AC37" s="17">
        <f t="shared" ref="AC37:AE37" si="209">38438+38438*100%</f>
        <v>76876</v>
      </c>
      <c r="AD37" s="17">
        <f t="shared" si="209"/>
        <v>76876</v>
      </c>
      <c r="AE37" s="17">
        <f t="shared" si="209"/>
        <v>76876</v>
      </c>
      <c r="AF37" s="16"/>
      <c r="AG37" s="17">
        <f t="shared" ref="AG37:AI37" si="210">38438+38438*100%</f>
        <v>76876</v>
      </c>
      <c r="AH37" s="17">
        <f t="shared" si="210"/>
        <v>76876</v>
      </c>
      <c r="AI37" s="17">
        <f t="shared" si="210"/>
        <v>76876</v>
      </c>
      <c r="AJ37" s="16"/>
      <c r="AK37" s="17">
        <f t="shared" ref="AK37:AM37" si="211">76876+76876*30%</f>
        <v>99938.8</v>
      </c>
      <c r="AL37" s="17">
        <f t="shared" si="211"/>
        <v>99938.8</v>
      </c>
      <c r="AM37" s="17">
        <f t="shared" si="211"/>
        <v>99938.8</v>
      </c>
      <c r="AN37" s="16"/>
      <c r="AO37" s="17">
        <f t="shared" ref="AO37:AQ37" si="212">99938+99938*20%</f>
        <v>119925.6</v>
      </c>
      <c r="AP37" s="17">
        <f t="shared" si="212"/>
        <v>119925.6</v>
      </c>
      <c r="AQ37" s="17">
        <f t="shared" si="212"/>
        <v>119925.6</v>
      </c>
      <c r="AR37" s="16"/>
      <c r="AS37" s="17">
        <f t="shared" ref="AS37:AU37" si="213">119925+119925*10%</f>
        <v>131917.5</v>
      </c>
      <c r="AT37" s="17">
        <f t="shared" si="213"/>
        <v>131917.5</v>
      </c>
      <c r="AU37" s="17">
        <f t="shared" si="213"/>
        <v>131917.5</v>
      </c>
      <c r="AV37" s="16"/>
      <c r="AW37" s="8"/>
      <c r="AX37" s="8"/>
      <c r="AY37" s="8"/>
      <c r="AZ37" s="8"/>
      <c r="BA37" s="8"/>
    </row>
    <row r="38" spans="1:53" ht="14" x14ac:dyDescent="0.2">
      <c r="A38" s="148"/>
      <c r="B38" s="8"/>
      <c r="C38" s="8"/>
      <c r="D38" s="8"/>
      <c r="E38" s="155">
        <f>SUM(B37:D37)</f>
        <v>30000</v>
      </c>
      <c r="F38" s="8"/>
      <c r="G38" s="8"/>
      <c r="H38" s="8"/>
      <c r="I38" s="155">
        <f>SUM(B37:H37)</f>
        <v>60000</v>
      </c>
      <c r="J38" s="8"/>
      <c r="K38" s="8"/>
      <c r="L38" s="8"/>
      <c r="M38" s="155">
        <f>SUM(B37:L37)</f>
        <v>93000</v>
      </c>
      <c r="N38" s="8"/>
      <c r="O38" s="8"/>
      <c r="P38" s="8"/>
      <c r="Q38" s="155">
        <f>SUM(B37:P37)</f>
        <v>132600</v>
      </c>
      <c r="R38" s="8"/>
      <c r="S38" s="8"/>
      <c r="T38" s="8"/>
      <c r="U38" s="8"/>
      <c r="V38" s="8"/>
      <c r="W38" s="8"/>
      <c r="X38" s="155">
        <f>SUM(B37:W37)</f>
        <v>256152</v>
      </c>
      <c r="Y38" s="8"/>
      <c r="Z38" s="8"/>
      <c r="AA38" s="8"/>
      <c r="AB38" s="155">
        <f>SUM(B37:AA37)</f>
        <v>371467.20000000007</v>
      </c>
      <c r="AC38" s="8"/>
      <c r="AD38" s="8"/>
      <c r="AE38" s="8"/>
      <c r="AF38" s="155">
        <f>SUM(B37:AE37)</f>
        <v>602095.20000000007</v>
      </c>
      <c r="AG38" s="8"/>
      <c r="AH38" s="8"/>
      <c r="AI38" s="8"/>
      <c r="AJ38" s="155">
        <f>SUM(B37:AI37)</f>
        <v>832723.20000000007</v>
      </c>
      <c r="AK38" s="8"/>
      <c r="AL38" s="8"/>
      <c r="AM38" s="8"/>
      <c r="AN38" s="155">
        <f>SUM(B37:AM37)</f>
        <v>1132539.6000000001</v>
      </c>
      <c r="AO38" s="8"/>
      <c r="AP38" s="8"/>
      <c r="AQ38" s="8"/>
      <c r="AR38" s="155">
        <f>SUM(B37:AQ37)</f>
        <v>1492316.4000000004</v>
      </c>
      <c r="AS38" s="8"/>
      <c r="AT38" s="8"/>
      <c r="AU38" s="8"/>
      <c r="AV38" s="155">
        <f>SUM(B37:AU37)</f>
        <v>1888068.9000000004</v>
      </c>
      <c r="AW38" s="8"/>
      <c r="AX38" s="8"/>
      <c r="AY38" s="8"/>
      <c r="AZ38" s="8"/>
      <c r="BA38" s="8"/>
    </row>
    <row r="39" spans="1:53" ht="14" x14ac:dyDescent="0.2">
      <c r="A39" s="148" t="s">
        <v>107</v>
      </c>
      <c r="B39" s="8"/>
      <c r="C39" s="8"/>
      <c r="D39" s="8"/>
      <c r="E39" s="16"/>
      <c r="F39" s="8"/>
      <c r="G39" s="8"/>
      <c r="H39" s="8"/>
      <c r="I39" s="16"/>
      <c r="J39" s="8"/>
      <c r="K39" s="8"/>
      <c r="L39" s="8"/>
      <c r="M39" s="16"/>
      <c r="N39" s="8"/>
      <c r="O39" s="8"/>
      <c r="P39" s="8"/>
      <c r="Q39" s="16"/>
      <c r="R39" s="8"/>
      <c r="S39" s="8"/>
      <c r="T39" s="8"/>
      <c r="U39" s="8"/>
      <c r="V39" s="8"/>
      <c r="W39" s="8"/>
      <c r="X39" s="16"/>
      <c r="Y39" s="8"/>
      <c r="Z39" s="8"/>
      <c r="AA39" s="8"/>
      <c r="AB39" s="16"/>
      <c r="AC39" s="8"/>
      <c r="AD39" s="8"/>
      <c r="AE39" s="8"/>
      <c r="AF39" s="16"/>
      <c r="AG39" s="8"/>
      <c r="AH39" s="8"/>
      <c r="AI39" s="8"/>
      <c r="AJ39" s="16"/>
      <c r="AK39" s="8"/>
      <c r="AL39" s="8"/>
      <c r="AM39" s="8"/>
      <c r="AN39" s="16"/>
      <c r="AO39" s="8"/>
      <c r="AP39" s="8"/>
      <c r="AQ39" s="8"/>
      <c r="AR39" s="16"/>
      <c r="AS39" s="8"/>
      <c r="AT39" s="8"/>
      <c r="AU39" s="8"/>
      <c r="AV39" s="16"/>
      <c r="AW39" s="8"/>
      <c r="AX39" s="8"/>
      <c r="AY39" s="8"/>
      <c r="AZ39" s="8"/>
      <c r="BA39" s="8"/>
    </row>
    <row r="40" spans="1:53" ht="14" outlineLevel="1" x14ac:dyDescent="0.2">
      <c r="A40" s="16" t="s">
        <v>138</v>
      </c>
      <c r="B40" s="139">
        <v>8500</v>
      </c>
      <c r="C40" s="139">
        <v>8500</v>
      </c>
      <c r="D40" s="139">
        <v>8500</v>
      </c>
      <c r="E40" s="16"/>
      <c r="F40" s="139">
        <v>8500</v>
      </c>
      <c r="G40" s="139">
        <v>8500</v>
      </c>
      <c r="H40" s="139">
        <v>8500</v>
      </c>
      <c r="I40" s="16"/>
      <c r="J40" s="139">
        <v>8500</v>
      </c>
      <c r="K40" s="139">
        <v>8500</v>
      </c>
      <c r="L40" s="139">
        <v>8500</v>
      </c>
      <c r="M40" s="16"/>
      <c r="N40" s="139">
        <v>8500</v>
      </c>
      <c r="O40" s="139">
        <v>8500</v>
      </c>
      <c r="P40" s="139">
        <v>8500</v>
      </c>
      <c r="Q40" s="16"/>
      <c r="R40" s="139">
        <f t="shared" ref="R40:W40" si="214">8500+8500*5%</f>
        <v>8925</v>
      </c>
      <c r="S40" s="139">
        <f t="shared" si="214"/>
        <v>8925</v>
      </c>
      <c r="T40" s="139">
        <f t="shared" si="214"/>
        <v>8925</v>
      </c>
      <c r="U40" s="139">
        <f t="shared" si="214"/>
        <v>8925</v>
      </c>
      <c r="V40" s="139">
        <f t="shared" si="214"/>
        <v>8925</v>
      </c>
      <c r="W40" s="139">
        <f t="shared" si="214"/>
        <v>8925</v>
      </c>
      <c r="X40" s="16"/>
      <c r="Y40" s="139">
        <f t="shared" ref="Y40:AA40" si="215">8500+8500*5%</f>
        <v>8925</v>
      </c>
      <c r="Z40" s="139">
        <f t="shared" si="215"/>
        <v>8925</v>
      </c>
      <c r="AA40" s="139">
        <f t="shared" si="215"/>
        <v>8925</v>
      </c>
      <c r="AB40" s="16"/>
      <c r="AC40" s="139">
        <f t="shared" ref="AC40:AE40" si="216">8500+8500*5%</f>
        <v>8925</v>
      </c>
      <c r="AD40" s="139">
        <f t="shared" si="216"/>
        <v>8925</v>
      </c>
      <c r="AE40" s="139">
        <f t="shared" si="216"/>
        <v>8925</v>
      </c>
      <c r="AF40" s="22"/>
      <c r="AG40" s="139">
        <f t="shared" ref="AG40:AI40" si="217">8925+8925*5%</f>
        <v>9371.25</v>
      </c>
      <c r="AH40" s="139">
        <f t="shared" si="217"/>
        <v>9371.25</v>
      </c>
      <c r="AI40" s="139">
        <f t="shared" si="217"/>
        <v>9371.25</v>
      </c>
      <c r="AJ40" s="22"/>
      <c r="AK40" s="139">
        <f t="shared" ref="AK40:AM40" si="218">8925+8925*5%</f>
        <v>9371.25</v>
      </c>
      <c r="AL40" s="139">
        <f t="shared" si="218"/>
        <v>9371.25</v>
      </c>
      <c r="AM40" s="139">
        <f t="shared" si="218"/>
        <v>9371.25</v>
      </c>
      <c r="AN40" s="22"/>
      <c r="AO40" s="139">
        <f t="shared" ref="AO40:AQ40" si="219">8925+8925*5%</f>
        <v>9371.25</v>
      </c>
      <c r="AP40" s="139">
        <f t="shared" si="219"/>
        <v>9371.25</v>
      </c>
      <c r="AQ40" s="139">
        <f t="shared" si="219"/>
        <v>9371.25</v>
      </c>
      <c r="AR40" s="22"/>
      <c r="AS40" s="139">
        <f t="shared" ref="AS40:AU40" si="220">8925+8925*5%</f>
        <v>9371.25</v>
      </c>
      <c r="AT40" s="139">
        <f t="shared" si="220"/>
        <v>9371.25</v>
      </c>
      <c r="AU40" s="139">
        <f t="shared" si="220"/>
        <v>9371.25</v>
      </c>
      <c r="AV40" s="16"/>
      <c r="AW40" s="8"/>
      <c r="AX40" s="8"/>
      <c r="AY40" s="8"/>
      <c r="AZ40" s="8"/>
      <c r="BA40" s="8"/>
    </row>
    <row r="41" spans="1:53" ht="14" outlineLevel="1" x14ac:dyDescent="0.2">
      <c r="A41" s="16" t="s">
        <v>139</v>
      </c>
      <c r="B41" s="139">
        <v>1000</v>
      </c>
      <c r="C41" s="139">
        <v>1000</v>
      </c>
      <c r="D41" s="139">
        <v>1000</v>
      </c>
      <c r="E41" s="16"/>
      <c r="F41" s="139">
        <v>1000</v>
      </c>
      <c r="G41" s="139">
        <v>1000</v>
      </c>
      <c r="H41" s="139">
        <v>1000</v>
      </c>
      <c r="I41" s="16"/>
      <c r="J41" s="139">
        <v>1000</v>
      </c>
      <c r="K41" s="139">
        <v>1000</v>
      </c>
      <c r="L41" s="139">
        <v>1000</v>
      </c>
      <c r="M41" s="16"/>
      <c r="N41" s="139">
        <v>1000</v>
      </c>
      <c r="O41" s="139">
        <v>1000</v>
      </c>
      <c r="P41" s="139">
        <v>1000</v>
      </c>
      <c r="Q41" s="16"/>
      <c r="R41" s="139">
        <f t="shared" ref="R41:W41" si="221">1000+1000*5%</f>
        <v>1050</v>
      </c>
      <c r="S41" s="139">
        <f t="shared" si="221"/>
        <v>1050</v>
      </c>
      <c r="T41" s="139">
        <f t="shared" si="221"/>
        <v>1050</v>
      </c>
      <c r="U41" s="139">
        <f t="shared" si="221"/>
        <v>1050</v>
      </c>
      <c r="V41" s="139">
        <f t="shared" si="221"/>
        <v>1050</v>
      </c>
      <c r="W41" s="139">
        <f t="shared" si="221"/>
        <v>1050</v>
      </c>
      <c r="X41" s="16"/>
      <c r="Y41" s="139">
        <f t="shared" ref="Y41:AA41" si="222">1000+1000*5%</f>
        <v>1050</v>
      </c>
      <c r="Z41" s="139">
        <f t="shared" si="222"/>
        <v>1050</v>
      </c>
      <c r="AA41" s="139">
        <f t="shared" si="222"/>
        <v>1050</v>
      </c>
      <c r="AB41" s="16"/>
      <c r="AC41" s="139">
        <f t="shared" ref="AC41:AE41" si="223">1000+1000*5%</f>
        <v>1050</v>
      </c>
      <c r="AD41" s="139">
        <f t="shared" si="223"/>
        <v>1050</v>
      </c>
      <c r="AE41" s="139">
        <f t="shared" si="223"/>
        <v>1050</v>
      </c>
      <c r="AF41" s="22"/>
      <c r="AG41" s="139">
        <f t="shared" ref="AG41:AI41" si="224">1000+1000*5%</f>
        <v>1050</v>
      </c>
      <c r="AH41" s="139">
        <f t="shared" si="224"/>
        <v>1050</v>
      </c>
      <c r="AI41" s="139">
        <f t="shared" si="224"/>
        <v>1050</v>
      </c>
      <c r="AJ41" s="22"/>
      <c r="AK41" s="139">
        <f t="shared" ref="AK41:AM41" si="225">1000+1000*5%</f>
        <v>1050</v>
      </c>
      <c r="AL41" s="139">
        <f t="shared" si="225"/>
        <v>1050</v>
      </c>
      <c r="AM41" s="139">
        <f t="shared" si="225"/>
        <v>1050</v>
      </c>
      <c r="AN41" s="22"/>
      <c r="AO41" s="139">
        <f t="shared" ref="AO41:AQ41" si="226">1000+1000*5%</f>
        <v>1050</v>
      </c>
      <c r="AP41" s="139">
        <f t="shared" si="226"/>
        <v>1050</v>
      </c>
      <c r="AQ41" s="139">
        <f t="shared" si="226"/>
        <v>1050</v>
      </c>
      <c r="AR41" s="22"/>
      <c r="AS41" s="139">
        <f t="shared" ref="AS41:AU41" si="227">1000+1000*5%</f>
        <v>1050</v>
      </c>
      <c r="AT41" s="139">
        <f t="shared" si="227"/>
        <v>1050</v>
      </c>
      <c r="AU41" s="139">
        <f t="shared" si="227"/>
        <v>1050</v>
      </c>
      <c r="AV41" s="16"/>
      <c r="AW41" s="8"/>
      <c r="AX41" s="8"/>
      <c r="AY41" s="8"/>
      <c r="AZ41" s="8"/>
      <c r="BA41" s="8"/>
    </row>
    <row r="42" spans="1:53" ht="14" outlineLevel="1" x14ac:dyDescent="0.2">
      <c r="A42" s="16" t="s">
        <v>140</v>
      </c>
      <c r="B42" s="139">
        <v>1000</v>
      </c>
      <c r="C42" s="139">
        <v>1000</v>
      </c>
      <c r="D42" s="139">
        <v>1000</v>
      </c>
      <c r="E42" s="16"/>
      <c r="F42" s="139">
        <v>1000</v>
      </c>
      <c r="G42" s="139">
        <v>1000</v>
      </c>
      <c r="H42" s="139">
        <v>1000</v>
      </c>
      <c r="I42" s="16"/>
      <c r="J42" s="139">
        <v>1000</v>
      </c>
      <c r="K42" s="139">
        <v>1000</v>
      </c>
      <c r="L42" s="139">
        <v>1000</v>
      </c>
      <c r="M42" s="16"/>
      <c r="N42" s="139">
        <v>1000</v>
      </c>
      <c r="O42" s="139">
        <v>1000</v>
      </c>
      <c r="P42" s="139">
        <v>1000</v>
      </c>
      <c r="Q42" s="16"/>
      <c r="R42" s="139">
        <f t="shared" ref="R42:W42" si="228">1000+1000*5%</f>
        <v>1050</v>
      </c>
      <c r="S42" s="139">
        <f t="shared" si="228"/>
        <v>1050</v>
      </c>
      <c r="T42" s="139">
        <f t="shared" si="228"/>
        <v>1050</v>
      </c>
      <c r="U42" s="139">
        <f t="shared" si="228"/>
        <v>1050</v>
      </c>
      <c r="V42" s="139">
        <f t="shared" si="228"/>
        <v>1050</v>
      </c>
      <c r="W42" s="139">
        <f t="shared" si="228"/>
        <v>1050</v>
      </c>
      <c r="X42" s="16"/>
      <c r="Y42" s="139">
        <f t="shared" ref="Y42:AA42" si="229">1000+1000*5%</f>
        <v>1050</v>
      </c>
      <c r="Z42" s="139">
        <f t="shared" si="229"/>
        <v>1050</v>
      </c>
      <c r="AA42" s="139">
        <f t="shared" si="229"/>
        <v>1050</v>
      </c>
      <c r="AB42" s="16"/>
      <c r="AC42" s="139">
        <f t="shared" ref="AC42:AE42" si="230">1000+1000*5%</f>
        <v>1050</v>
      </c>
      <c r="AD42" s="139">
        <f t="shared" si="230"/>
        <v>1050</v>
      </c>
      <c r="AE42" s="139">
        <f t="shared" si="230"/>
        <v>1050</v>
      </c>
      <c r="AF42" s="22"/>
      <c r="AG42" s="139">
        <f t="shared" ref="AG42:AI42" si="231">1000+1000*5%</f>
        <v>1050</v>
      </c>
      <c r="AH42" s="139">
        <f t="shared" si="231"/>
        <v>1050</v>
      </c>
      <c r="AI42" s="139">
        <f t="shared" si="231"/>
        <v>1050</v>
      </c>
      <c r="AJ42" s="22"/>
      <c r="AK42" s="139">
        <f t="shared" ref="AK42:AM42" si="232">1000+1000*5%</f>
        <v>1050</v>
      </c>
      <c r="AL42" s="139">
        <f t="shared" si="232"/>
        <v>1050</v>
      </c>
      <c r="AM42" s="139">
        <f t="shared" si="232"/>
        <v>1050</v>
      </c>
      <c r="AN42" s="22"/>
      <c r="AO42" s="139">
        <f t="shared" ref="AO42:AQ42" si="233">1000+1000*5%</f>
        <v>1050</v>
      </c>
      <c r="AP42" s="139">
        <f t="shared" si="233"/>
        <v>1050</v>
      </c>
      <c r="AQ42" s="139">
        <f t="shared" si="233"/>
        <v>1050</v>
      </c>
      <c r="AR42" s="22"/>
      <c r="AS42" s="139">
        <f t="shared" ref="AS42:AU42" si="234">1000+1000*5%</f>
        <v>1050</v>
      </c>
      <c r="AT42" s="139">
        <f t="shared" si="234"/>
        <v>1050</v>
      </c>
      <c r="AU42" s="139">
        <f t="shared" si="234"/>
        <v>1050</v>
      </c>
      <c r="AV42" s="16"/>
      <c r="AW42" s="8"/>
      <c r="AX42" s="8"/>
      <c r="AY42" s="8"/>
      <c r="AZ42" s="8"/>
      <c r="BA42" s="8"/>
    </row>
    <row r="43" spans="1:53" ht="14" x14ac:dyDescent="0.2">
      <c r="A43" s="148" t="s">
        <v>141</v>
      </c>
      <c r="B43" s="139">
        <f t="shared" ref="B43:D43" si="235">SUM(B40:B42)</f>
        <v>10500</v>
      </c>
      <c r="C43" s="139">
        <f t="shared" si="235"/>
        <v>10500</v>
      </c>
      <c r="D43" s="139">
        <f t="shared" si="235"/>
        <v>10500</v>
      </c>
      <c r="E43" s="16"/>
      <c r="F43" s="139">
        <f t="shared" ref="F43:H43" si="236">SUM(F40:F42)</f>
        <v>10500</v>
      </c>
      <c r="G43" s="139">
        <f t="shared" si="236"/>
        <v>10500</v>
      </c>
      <c r="H43" s="139">
        <f t="shared" si="236"/>
        <v>10500</v>
      </c>
      <c r="I43" s="16"/>
      <c r="J43" s="139">
        <f t="shared" ref="J43:L43" si="237">SUM(J40:J42)</f>
        <v>10500</v>
      </c>
      <c r="K43" s="139">
        <f t="shared" si="237"/>
        <v>10500</v>
      </c>
      <c r="L43" s="139">
        <f t="shared" si="237"/>
        <v>10500</v>
      </c>
      <c r="M43" s="16"/>
      <c r="N43" s="139">
        <f t="shared" ref="N43:P43" si="238">SUM(N40:N42)</f>
        <v>10500</v>
      </c>
      <c r="O43" s="139">
        <f t="shared" si="238"/>
        <v>10500</v>
      </c>
      <c r="P43" s="139">
        <f t="shared" si="238"/>
        <v>10500</v>
      </c>
      <c r="Q43" s="16"/>
      <c r="R43" s="139">
        <f t="shared" ref="R43:W43" si="239">SUM(R40:R42)</f>
        <v>11025</v>
      </c>
      <c r="S43" s="139">
        <f t="shared" si="239"/>
        <v>11025</v>
      </c>
      <c r="T43" s="139">
        <f t="shared" si="239"/>
        <v>11025</v>
      </c>
      <c r="U43" s="139">
        <f t="shared" si="239"/>
        <v>11025</v>
      </c>
      <c r="V43" s="139">
        <f t="shared" si="239"/>
        <v>11025</v>
      </c>
      <c r="W43" s="139">
        <f t="shared" si="239"/>
        <v>11025</v>
      </c>
      <c r="X43" s="16"/>
      <c r="Y43" s="139">
        <f t="shared" ref="Y43:AA43" si="240">SUM(Y40:Y42)</f>
        <v>11025</v>
      </c>
      <c r="Z43" s="139">
        <f t="shared" si="240"/>
        <v>11025</v>
      </c>
      <c r="AA43" s="139">
        <f t="shared" si="240"/>
        <v>11025</v>
      </c>
      <c r="AB43" s="16"/>
      <c r="AC43" s="139">
        <f t="shared" ref="AC43:AE43" si="241">SUM(AC40:AC42)</f>
        <v>11025</v>
      </c>
      <c r="AD43" s="139">
        <f t="shared" si="241"/>
        <v>11025</v>
      </c>
      <c r="AE43" s="139">
        <f t="shared" si="241"/>
        <v>11025</v>
      </c>
      <c r="AF43" s="16"/>
      <c r="AG43" s="139">
        <f t="shared" ref="AG43:AI43" si="242">SUM(AG40:AG42)</f>
        <v>11471.25</v>
      </c>
      <c r="AH43" s="139">
        <f t="shared" si="242"/>
        <v>11471.25</v>
      </c>
      <c r="AI43" s="139">
        <f t="shared" si="242"/>
        <v>11471.25</v>
      </c>
      <c r="AJ43" s="16"/>
      <c r="AK43" s="139">
        <f t="shared" ref="AK43:AM43" si="243">SUM(AK40:AK42)</f>
        <v>11471.25</v>
      </c>
      <c r="AL43" s="139">
        <f t="shared" si="243"/>
        <v>11471.25</v>
      </c>
      <c r="AM43" s="139">
        <f t="shared" si="243"/>
        <v>11471.25</v>
      </c>
      <c r="AN43" s="16"/>
      <c r="AO43" s="139">
        <f t="shared" ref="AO43:AQ43" si="244">SUM(AO40:AO42)</f>
        <v>11471.25</v>
      </c>
      <c r="AP43" s="139">
        <f t="shared" si="244"/>
        <v>11471.25</v>
      </c>
      <c r="AQ43" s="139">
        <f t="shared" si="244"/>
        <v>11471.25</v>
      </c>
      <c r="AR43" s="16"/>
      <c r="AS43" s="139">
        <f t="shared" ref="AS43:AU43" si="245">SUM(AS40:AS42)</f>
        <v>11471.25</v>
      </c>
      <c r="AT43" s="139">
        <f t="shared" si="245"/>
        <v>11471.25</v>
      </c>
      <c r="AU43" s="139">
        <f t="shared" si="245"/>
        <v>11471.25</v>
      </c>
      <c r="AV43" s="16"/>
      <c r="AW43" s="8"/>
      <c r="AX43" s="8"/>
      <c r="AY43" s="8"/>
      <c r="AZ43" s="8"/>
      <c r="BA43" s="8"/>
    </row>
    <row r="44" spans="1:53" ht="14" x14ac:dyDescent="0.2">
      <c r="A44" s="16"/>
      <c r="B44" s="8"/>
      <c r="C44" s="8"/>
      <c r="D44" s="8"/>
      <c r="E44" s="153">
        <f>SUM(B43:D43)</f>
        <v>31500</v>
      </c>
      <c r="F44" s="8"/>
      <c r="G44" s="8"/>
      <c r="H44" s="8"/>
      <c r="I44" s="153">
        <f>SUM(B43:H43)</f>
        <v>63000</v>
      </c>
      <c r="J44" s="8"/>
      <c r="K44" s="8"/>
      <c r="L44" s="8"/>
      <c r="M44" s="153">
        <f>SUM(B43:L43)</f>
        <v>94500</v>
      </c>
      <c r="N44" s="8"/>
      <c r="O44" s="8"/>
      <c r="P44" s="8"/>
      <c r="Q44" s="153">
        <f>SUM(B43:P43)</f>
        <v>126000</v>
      </c>
      <c r="R44" s="8"/>
      <c r="S44" s="8"/>
      <c r="T44" s="8"/>
      <c r="U44" s="8"/>
      <c r="V44" s="8"/>
      <c r="W44" s="8"/>
      <c r="X44" s="153">
        <f>SUM(B43:W43)</f>
        <v>192150</v>
      </c>
      <c r="Y44" s="17"/>
      <c r="Z44" s="17"/>
      <c r="AA44" s="17"/>
      <c r="AB44" s="153">
        <f>SUM(F43:Z43)</f>
        <v>182700</v>
      </c>
      <c r="AC44" s="17"/>
      <c r="AD44" s="17"/>
      <c r="AE44" s="17"/>
      <c r="AF44" s="153">
        <f>SUM(B43:AD43)</f>
        <v>247275</v>
      </c>
      <c r="AG44" s="17"/>
      <c r="AH44" s="17"/>
      <c r="AI44" s="17"/>
      <c r="AJ44" s="153">
        <f>SUM(B43:AH43)</f>
        <v>281242.5</v>
      </c>
      <c r="AK44" s="17"/>
      <c r="AL44" s="17"/>
      <c r="AM44" s="17"/>
      <c r="AN44" s="153">
        <f>SUM(B43:AL43)</f>
        <v>315656.25</v>
      </c>
      <c r="AO44" s="17"/>
      <c r="AP44" s="17"/>
      <c r="AQ44" s="17"/>
      <c r="AR44" s="153">
        <f>SUM(B43:AP43)</f>
        <v>350070</v>
      </c>
      <c r="AS44" s="17"/>
      <c r="AT44" s="17"/>
      <c r="AU44" s="17"/>
      <c r="AV44" s="153">
        <f>SUM(B43:AU43)</f>
        <v>395955</v>
      </c>
      <c r="AW44" s="17"/>
      <c r="AX44" s="8"/>
      <c r="AY44" s="8"/>
      <c r="AZ44" s="8"/>
      <c r="BA44" s="8"/>
    </row>
    <row r="45" spans="1:53" ht="14" x14ac:dyDescent="0.2">
      <c r="A45" s="148" t="s">
        <v>142</v>
      </c>
      <c r="B45" s="139">
        <f t="shared" ref="B45:D45" si="246">B19+B24+B29+B32+B43</f>
        <v>120500</v>
      </c>
      <c r="C45" s="139">
        <f t="shared" si="246"/>
        <v>174500</v>
      </c>
      <c r="D45" s="139">
        <f t="shared" si="246"/>
        <v>174500</v>
      </c>
      <c r="E45" s="43"/>
      <c r="F45" s="139">
        <f t="shared" ref="F45:H45" si="247">F19+F24+F29+F32+F43</f>
        <v>201000</v>
      </c>
      <c r="G45" s="139">
        <f t="shared" si="247"/>
        <v>189500</v>
      </c>
      <c r="H45" s="139">
        <f t="shared" si="247"/>
        <v>204500</v>
      </c>
      <c r="I45" s="43"/>
      <c r="J45" s="139">
        <f t="shared" ref="J45:L45" si="248">J19+J24+J29+J32+J43</f>
        <v>276000</v>
      </c>
      <c r="K45" s="139">
        <f t="shared" si="248"/>
        <v>264500</v>
      </c>
      <c r="L45" s="139">
        <f t="shared" si="248"/>
        <v>264500</v>
      </c>
      <c r="M45" s="43"/>
      <c r="N45" s="139">
        <f t="shared" ref="N45:P45" si="249">N19+N24+N29+N32+N43</f>
        <v>276000</v>
      </c>
      <c r="O45" s="139">
        <f t="shared" si="249"/>
        <v>264500</v>
      </c>
      <c r="P45" s="139">
        <f t="shared" si="249"/>
        <v>264500</v>
      </c>
      <c r="Q45" s="43"/>
      <c r="R45" s="139">
        <f t="shared" ref="R45:W45" si="250">R19+R24+R29+R32+R43</f>
        <v>288000</v>
      </c>
      <c r="S45" s="139">
        <f t="shared" si="250"/>
        <v>277225</v>
      </c>
      <c r="T45" s="139">
        <f t="shared" si="250"/>
        <v>277225</v>
      </c>
      <c r="U45" s="139">
        <f t="shared" si="250"/>
        <v>288300</v>
      </c>
      <c r="V45" s="139">
        <f t="shared" si="250"/>
        <v>277225</v>
      </c>
      <c r="W45" s="139">
        <f t="shared" si="250"/>
        <v>277225</v>
      </c>
      <c r="X45" s="16"/>
      <c r="Y45" s="139">
        <f t="shared" ref="Y45:AA45" si="251">Y19+Y24+Y29+Y32+Y43</f>
        <v>288800</v>
      </c>
      <c r="Z45" s="139">
        <f t="shared" si="251"/>
        <v>277725</v>
      </c>
      <c r="AA45" s="139">
        <f t="shared" si="251"/>
        <v>277725</v>
      </c>
      <c r="AB45" s="16"/>
      <c r="AC45" s="139">
        <f t="shared" ref="AC45:AE45" si="252">AC19+AC24+AC29+AC32+AC43</f>
        <v>288800</v>
      </c>
      <c r="AD45" s="139">
        <f t="shared" si="252"/>
        <v>277725</v>
      </c>
      <c r="AE45" s="139">
        <f t="shared" si="252"/>
        <v>277725</v>
      </c>
      <c r="AF45" s="16"/>
      <c r="AG45" s="139">
        <f t="shared" ref="AG45:AI45" si="253">AG19+AG24+AG29+AG32+AG43</f>
        <v>290856.25</v>
      </c>
      <c r="AH45" s="139">
        <f t="shared" si="253"/>
        <v>290856.25</v>
      </c>
      <c r="AI45" s="139">
        <f t="shared" si="253"/>
        <v>290856.25</v>
      </c>
      <c r="AJ45" s="16"/>
      <c r="AK45" s="139">
        <f t="shared" ref="AK45:AM45" si="254">AK19+AK24+AK29+AK32+AK43</f>
        <v>290856.25</v>
      </c>
      <c r="AL45" s="139">
        <f t="shared" si="254"/>
        <v>290856.25</v>
      </c>
      <c r="AM45" s="139">
        <f t="shared" si="254"/>
        <v>290856.25</v>
      </c>
      <c r="AN45" s="16"/>
      <c r="AO45" s="139">
        <f t="shared" ref="AO45:AQ45" si="255">AO19+AO24+AO29+AO32+AO43</f>
        <v>290856.25</v>
      </c>
      <c r="AP45" s="139">
        <f t="shared" si="255"/>
        <v>290856.25</v>
      </c>
      <c r="AQ45" s="139">
        <f t="shared" si="255"/>
        <v>290856.25</v>
      </c>
      <c r="AR45" s="16"/>
      <c r="AS45" s="139">
        <f t="shared" ref="AS45:AU45" si="256">AS19+AS24+AS29+AS32+AS43</f>
        <v>288415</v>
      </c>
      <c r="AT45" s="139">
        <f t="shared" si="256"/>
        <v>288415</v>
      </c>
      <c r="AU45" s="139">
        <f t="shared" si="256"/>
        <v>288415</v>
      </c>
      <c r="AV45" s="16"/>
      <c r="AW45" s="8"/>
      <c r="AX45" s="8"/>
      <c r="AY45" s="8"/>
      <c r="AZ45" s="8"/>
      <c r="BA45" s="8"/>
    </row>
    <row r="46" spans="1:53" ht="14" x14ac:dyDescent="0.2">
      <c r="A46" s="116" t="s">
        <v>143</v>
      </c>
      <c r="B46" s="46"/>
      <c r="C46" s="47"/>
      <c r="D46" s="47"/>
      <c r="E46" s="156">
        <f>SUM(E20+E25+E30+E34+E44)</f>
        <v>469500</v>
      </c>
      <c r="F46" s="47"/>
      <c r="G46" s="47"/>
      <c r="H46" s="47"/>
      <c r="I46" s="156">
        <f>SUM(I20+I25+I30+I34+I44)</f>
        <v>1064500</v>
      </c>
      <c r="J46" s="47"/>
      <c r="K46" s="47"/>
      <c r="L46" s="47"/>
      <c r="M46" s="156">
        <f>SUM(M20+M25+M30+M34+M44)</f>
        <v>1869500</v>
      </c>
      <c r="N46" s="47"/>
      <c r="O46" s="47"/>
      <c r="P46" s="47"/>
      <c r="Q46" s="156">
        <f>SUM(Q20+Q25+Q30+Q34+Q44)</f>
        <v>2674500</v>
      </c>
      <c r="R46" s="47"/>
      <c r="S46" s="47"/>
      <c r="T46" s="47"/>
      <c r="U46" s="47"/>
      <c r="V46" s="47"/>
      <c r="W46" s="47"/>
      <c r="X46" s="156">
        <f>SUM(X20+X25+X30+X34+X44)</f>
        <v>4359700</v>
      </c>
      <c r="Y46" s="25"/>
      <c r="Z46" s="25"/>
      <c r="AA46" s="25"/>
      <c r="AB46" s="156">
        <f>SUM(AB20+AB25+AB30+AB34+AB44)</f>
        <v>5161425</v>
      </c>
      <c r="AC46" s="25"/>
      <c r="AD46" s="25"/>
      <c r="AE46" s="25"/>
      <c r="AF46" s="119">
        <f>SUM(AF3:AF45)</f>
        <v>6639270.2000000002</v>
      </c>
      <c r="AG46" s="25"/>
      <c r="AH46" s="25"/>
      <c r="AI46" s="25"/>
      <c r="AJ46" s="119">
        <f>SUM(AJ3:AJ45)</f>
        <v>7414506.9500000002</v>
      </c>
      <c r="AK46" s="25"/>
      <c r="AL46" s="25"/>
      <c r="AM46" s="25"/>
      <c r="AN46" s="119">
        <f>SUM(AN3:AN45)</f>
        <v>8558778.3499999996</v>
      </c>
      <c r="AO46" s="25"/>
      <c r="AP46" s="25"/>
      <c r="AQ46" s="25"/>
      <c r="AR46" s="119">
        <f>SUM(AR3:AR45)</f>
        <v>9763010.1500000004</v>
      </c>
      <c r="AS46" s="25"/>
      <c r="AT46" s="104"/>
      <c r="AU46" s="104"/>
      <c r="AV46" s="157">
        <f>SUM(AV20+AV25+AV30+AV34+AV38+AV44)</f>
        <v>11297840.15</v>
      </c>
      <c r="AW46" s="17"/>
      <c r="AX46" s="8"/>
      <c r="AY46" s="8"/>
      <c r="AZ46" s="8"/>
      <c r="BA46" s="8"/>
    </row>
    <row r="47" spans="1:53" ht="14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46" t="s">
        <v>144</v>
      </c>
      <c r="Q47" s="158">
        <f>Q46+Capex!AW24</f>
        <v>3607500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15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31"/>
      <c r="AU47" s="160"/>
      <c r="AV47" s="161"/>
      <c r="AW47" s="8"/>
      <c r="AX47" s="8"/>
      <c r="AY47" s="8"/>
      <c r="AZ47" s="8"/>
      <c r="BA47" s="8"/>
    </row>
    <row r="48" spans="1:53" ht="14" x14ac:dyDescent="0.2">
      <c r="A48" s="8" t="s">
        <v>66</v>
      </c>
      <c r="B48" s="8"/>
      <c r="C48" s="8"/>
      <c r="D48" s="8"/>
      <c r="E48" s="8"/>
      <c r="F48" s="8"/>
      <c r="G48" s="8"/>
      <c r="H48" s="17">
        <f>H19*12</f>
        <v>1866000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 spans="1:53" ht="14" x14ac:dyDescent="0.2">
      <c r="A49" s="8"/>
      <c r="B49" s="34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 spans="1:53" ht="14" x14ac:dyDescent="0.2">
      <c r="A50" s="8"/>
      <c r="B50" s="16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 spans="1:53" ht="14" x14ac:dyDescent="0.2">
      <c r="A51" s="8"/>
      <c r="B51" s="3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 spans="1:53" ht="14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 spans="1:53" ht="14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 spans="1:53" ht="14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 spans="1:53" ht="14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 spans="1:53" ht="14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 spans="1:53" ht="14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spans="1:53" ht="14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 spans="1:53" ht="14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spans="1:53" ht="14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 spans="1:53" ht="14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 spans="1:53" ht="14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 spans="1:53" ht="14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 spans="1:53" ht="14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 spans="1:53" ht="14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ht="14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 spans="1:53" ht="14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ht="14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 spans="1:53" ht="14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ht="14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</row>
    <row r="71" spans="1:53" ht="14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 spans="1:53" ht="14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ht="14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ht="14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ht="14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ht="14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ht="14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ht="14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ht="14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ht="14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ht="14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ht="14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ht="14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spans="1:53" ht="14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 spans="1:53" ht="14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ht="14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ht="14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ht="14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 spans="1:53" ht="14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ht="14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ht="14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ht="14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 spans="1:53" ht="14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 spans="1:53" ht="14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ht="14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ht="14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ht="14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ht="14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ht="14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ht="14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ht="14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 spans="1:53" ht="14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 spans="1:53" ht="14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 spans="1:53" ht="14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 spans="1:53" ht="14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 spans="1:53" ht="14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</row>
    <row r="107" spans="1:53" ht="14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 spans="1:53" ht="14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 spans="1:53" ht="14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spans="1:53" ht="14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 spans="1:53" ht="14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 spans="1:53" ht="14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 spans="1:53" ht="14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spans="1:53" ht="14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</row>
    <row r="115" spans="1:53" ht="14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</row>
    <row r="116" spans="1:53" ht="14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</row>
    <row r="117" spans="1:53" ht="14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</row>
    <row r="118" spans="1:53" ht="14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</row>
    <row r="119" spans="1:53" ht="14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</row>
    <row r="120" spans="1:53" ht="14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</row>
    <row r="121" spans="1:53" ht="14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</row>
    <row r="122" spans="1:53" ht="14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</row>
    <row r="123" spans="1:53" ht="14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</row>
    <row r="124" spans="1:53" ht="14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</row>
    <row r="125" spans="1:53" ht="14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</row>
    <row r="126" spans="1:53" ht="14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</row>
    <row r="127" spans="1:53" ht="14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</row>
    <row r="128" spans="1:53" ht="14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</row>
    <row r="129" spans="1:53" ht="14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</row>
    <row r="130" spans="1:53" ht="14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</row>
    <row r="131" spans="1:53" ht="14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</row>
    <row r="132" spans="1:53" ht="14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</row>
    <row r="133" spans="1:53" ht="14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</row>
    <row r="134" spans="1:53" ht="14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</row>
    <row r="135" spans="1:53" ht="14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</row>
    <row r="136" spans="1:53" ht="14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</row>
    <row r="137" spans="1:53" ht="14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</row>
    <row r="138" spans="1:53" ht="14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</row>
    <row r="139" spans="1:53" ht="14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</row>
    <row r="140" spans="1:53" ht="14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spans="1:53" ht="14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</row>
    <row r="142" spans="1:53" ht="14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</row>
    <row r="143" spans="1:53" ht="14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</row>
    <row r="144" spans="1:53" ht="14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</row>
    <row r="145" spans="1:53" ht="14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</row>
    <row r="146" spans="1:53" ht="14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</row>
    <row r="147" spans="1:53" ht="14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</row>
    <row r="148" spans="1:53" ht="14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</row>
    <row r="149" spans="1:53" ht="14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</row>
    <row r="150" spans="1:53" ht="14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</row>
    <row r="151" spans="1:53" ht="14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</row>
    <row r="152" spans="1:53" ht="14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</row>
    <row r="153" spans="1:53" ht="14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</row>
    <row r="154" spans="1:53" ht="14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</row>
    <row r="155" spans="1:53" ht="14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</row>
    <row r="156" spans="1:53" ht="14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</row>
    <row r="157" spans="1:53" ht="14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</row>
    <row r="158" spans="1:53" ht="14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</row>
    <row r="159" spans="1:53" ht="14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</row>
    <row r="160" spans="1:53" ht="14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</row>
    <row r="161" spans="1:53" ht="14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spans="1:53" ht="14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</row>
    <row r="163" spans="1:53" ht="14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</row>
    <row r="164" spans="1:53" ht="14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</row>
    <row r="165" spans="1:53" ht="14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</row>
    <row r="166" spans="1:53" ht="14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</row>
    <row r="167" spans="1:53" ht="14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</row>
    <row r="168" spans="1:53" ht="14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</row>
    <row r="169" spans="1:53" ht="14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</row>
    <row r="170" spans="1:53" ht="14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</row>
    <row r="171" spans="1:53" ht="14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</row>
    <row r="172" spans="1:53" ht="14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</row>
    <row r="173" spans="1:53" ht="14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</row>
    <row r="174" spans="1:53" ht="14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</row>
    <row r="175" spans="1:53" ht="14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</row>
    <row r="176" spans="1:53" ht="14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</row>
    <row r="177" spans="1:53" ht="14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</row>
    <row r="178" spans="1:53" ht="14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</row>
    <row r="179" spans="1:53" ht="14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</row>
    <row r="180" spans="1:53" ht="14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</row>
    <row r="181" spans="1:53" ht="14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</row>
    <row r="182" spans="1:53" ht="14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</row>
    <row r="183" spans="1:53" ht="14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</row>
    <row r="184" spans="1:53" ht="14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</row>
    <row r="185" spans="1:53" ht="14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</row>
    <row r="186" spans="1:53" ht="14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</row>
    <row r="187" spans="1:53" ht="14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</row>
    <row r="188" spans="1:53" ht="14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</row>
    <row r="189" spans="1:53" ht="14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</row>
    <row r="190" spans="1:53" ht="14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</row>
    <row r="191" spans="1:53" ht="14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</row>
    <row r="192" spans="1:53" ht="14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</row>
    <row r="193" spans="1:53" ht="14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</row>
    <row r="194" spans="1:53" ht="14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</row>
    <row r="195" spans="1:53" ht="14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</row>
    <row r="196" spans="1:53" ht="14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</row>
    <row r="197" spans="1:53" ht="14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</row>
    <row r="198" spans="1:53" ht="14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</row>
    <row r="199" spans="1:53" ht="14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</row>
    <row r="200" spans="1:53" ht="14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</row>
    <row r="201" spans="1:53" ht="14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</row>
    <row r="202" spans="1:53" ht="14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</row>
    <row r="203" spans="1:53" ht="14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</row>
    <row r="204" spans="1:53" ht="14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</row>
    <row r="205" spans="1:53" ht="14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</row>
    <row r="206" spans="1:53" ht="14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</row>
    <row r="207" spans="1:53" ht="14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</row>
    <row r="208" spans="1:53" ht="14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</row>
    <row r="209" spans="1:53" ht="14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</row>
    <row r="210" spans="1:53" ht="14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</row>
    <row r="211" spans="1:53" ht="14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</row>
    <row r="212" spans="1:53" ht="14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</row>
    <row r="213" spans="1:53" ht="14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</row>
    <row r="214" spans="1:53" ht="14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</row>
    <row r="215" spans="1:53" ht="14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</row>
    <row r="216" spans="1:53" ht="14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</row>
    <row r="217" spans="1:53" ht="14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</row>
    <row r="218" spans="1:53" ht="14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</row>
    <row r="219" spans="1:53" ht="14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</row>
    <row r="220" spans="1:53" ht="14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</row>
    <row r="221" spans="1:53" ht="14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</row>
    <row r="222" spans="1:53" ht="14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</row>
    <row r="223" spans="1:53" ht="14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</row>
    <row r="224" spans="1:53" ht="14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</row>
    <row r="225" spans="1:53" ht="14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</row>
    <row r="226" spans="1:53" ht="14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</row>
    <row r="227" spans="1:53" ht="14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</row>
    <row r="228" spans="1:53" ht="14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</row>
    <row r="229" spans="1:53" ht="14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</row>
    <row r="230" spans="1:53" ht="14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</row>
    <row r="231" spans="1:53" ht="14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</row>
    <row r="232" spans="1:53" ht="14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</row>
    <row r="233" spans="1:53" ht="14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</row>
    <row r="234" spans="1:53" ht="14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</row>
    <row r="235" spans="1:53" ht="14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</row>
    <row r="236" spans="1:53" ht="14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</row>
    <row r="237" spans="1:53" ht="14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</row>
    <row r="238" spans="1:53" ht="14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</row>
    <row r="239" spans="1:53" ht="14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</row>
    <row r="240" spans="1:53" ht="14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</row>
    <row r="241" spans="1:53" ht="14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</row>
    <row r="242" spans="1:53" ht="14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</row>
    <row r="243" spans="1:53" ht="14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</row>
    <row r="244" spans="1:53" ht="14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</row>
    <row r="245" spans="1:53" ht="14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</row>
    <row r="246" spans="1:53" ht="14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</row>
    <row r="247" spans="1:53" ht="14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</row>
    <row r="248" spans="1:53" ht="14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</row>
    <row r="249" spans="1:53" ht="14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</row>
    <row r="250" spans="1:53" ht="14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</row>
    <row r="251" spans="1:53" ht="14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</row>
    <row r="252" spans="1:53" ht="14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</row>
    <row r="253" spans="1:53" ht="14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</row>
    <row r="254" spans="1:53" ht="14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</row>
    <row r="255" spans="1:53" ht="14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</row>
    <row r="256" spans="1:53" ht="14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</row>
    <row r="257" spans="1:53" ht="14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</row>
    <row r="258" spans="1:53" ht="14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</row>
    <row r="259" spans="1:53" ht="14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</row>
    <row r="260" spans="1:53" ht="14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</row>
    <row r="261" spans="1:53" ht="14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</row>
    <row r="262" spans="1:53" ht="14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</row>
    <row r="263" spans="1:53" ht="14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</row>
    <row r="264" spans="1:53" ht="14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</row>
    <row r="265" spans="1:53" ht="14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</row>
    <row r="266" spans="1:53" ht="14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</row>
    <row r="267" spans="1:53" ht="14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</row>
    <row r="268" spans="1:53" ht="14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</row>
    <row r="269" spans="1:53" ht="14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</row>
    <row r="270" spans="1:53" ht="14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</row>
    <row r="271" spans="1:53" ht="14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</row>
    <row r="272" spans="1:53" ht="14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</row>
    <row r="273" spans="1:53" ht="14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</row>
    <row r="274" spans="1:53" ht="14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</row>
    <row r="275" spans="1:53" ht="14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</row>
    <row r="276" spans="1:53" ht="14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</row>
    <row r="277" spans="1:53" ht="14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</row>
    <row r="278" spans="1:53" ht="14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</row>
    <row r="279" spans="1:53" ht="14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</row>
    <row r="280" spans="1:53" ht="14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</row>
    <row r="281" spans="1:53" ht="14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</row>
    <row r="282" spans="1:53" ht="14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</row>
    <row r="283" spans="1:53" ht="14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</row>
    <row r="284" spans="1:53" ht="14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</row>
    <row r="285" spans="1:53" ht="14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</row>
    <row r="286" spans="1:53" ht="14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</row>
    <row r="287" spans="1:53" ht="14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</row>
    <row r="288" spans="1:53" ht="14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</row>
    <row r="289" spans="1:53" ht="14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</row>
    <row r="290" spans="1:53" ht="14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</row>
    <row r="291" spans="1:53" ht="14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</row>
    <row r="292" spans="1:53" ht="14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</row>
    <row r="293" spans="1:53" ht="14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</row>
    <row r="294" spans="1:53" ht="14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</row>
    <row r="295" spans="1:53" ht="14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</row>
    <row r="296" spans="1:53" ht="14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</row>
    <row r="297" spans="1:53" ht="14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</row>
    <row r="298" spans="1:53" ht="14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</row>
    <row r="299" spans="1:53" ht="14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</row>
    <row r="300" spans="1:53" ht="14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</row>
    <row r="301" spans="1:53" ht="14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</row>
    <row r="302" spans="1:53" ht="14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</row>
    <row r="303" spans="1:53" ht="14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</row>
    <row r="304" spans="1:53" ht="14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</row>
    <row r="305" spans="1:53" ht="14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</row>
    <row r="306" spans="1:53" ht="14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</row>
    <row r="307" spans="1:53" ht="14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</row>
    <row r="308" spans="1:53" ht="14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</row>
    <row r="309" spans="1:53" ht="14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</row>
    <row r="310" spans="1:53" ht="14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</row>
    <row r="311" spans="1:53" ht="14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</row>
    <row r="312" spans="1:53" ht="14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</row>
    <row r="313" spans="1:53" ht="14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</row>
    <row r="314" spans="1:53" ht="14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</row>
    <row r="315" spans="1:53" ht="14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</row>
    <row r="316" spans="1:53" ht="14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</row>
    <row r="317" spans="1:53" ht="14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</row>
    <row r="318" spans="1:53" ht="14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</row>
    <row r="319" spans="1:53" ht="14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</row>
    <row r="320" spans="1:53" ht="14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</row>
    <row r="321" spans="1:53" ht="14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</row>
    <row r="322" spans="1:53" ht="14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</row>
    <row r="323" spans="1:53" ht="14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</row>
    <row r="324" spans="1:53" ht="14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</row>
    <row r="325" spans="1:53" ht="14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</row>
    <row r="326" spans="1:53" ht="14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</row>
    <row r="327" spans="1:53" ht="14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</row>
    <row r="328" spans="1:53" ht="14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</row>
    <row r="329" spans="1:53" ht="14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</row>
    <row r="330" spans="1:53" ht="14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</row>
    <row r="331" spans="1:53" ht="14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</row>
    <row r="332" spans="1:53" ht="14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</row>
    <row r="333" spans="1:53" ht="14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</row>
    <row r="334" spans="1:53" ht="14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</row>
    <row r="335" spans="1:53" ht="14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</row>
    <row r="336" spans="1:53" ht="14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</row>
    <row r="337" spans="1:53" ht="14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</row>
    <row r="338" spans="1:53" ht="14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</row>
    <row r="339" spans="1:53" ht="14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</row>
    <row r="340" spans="1:53" ht="14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</row>
    <row r="341" spans="1:53" ht="14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</row>
    <row r="342" spans="1:53" ht="14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</row>
    <row r="343" spans="1:53" ht="14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</row>
    <row r="344" spans="1:53" ht="14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</row>
    <row r="345" spans="1:53" ht="14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</row>
    <row r="346" spans="1:53" ht="14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</row>
    <row r="347" spans="1:53" ht="14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</row>
    <row r="348" spans="1:53" ht="14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</row>
    <row r="349" spans="1:53" ht="14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</row>
    <row r="350" spans="1:53" ht="14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</row>
    <row r="351" spans="1:53" ht="14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</row>
    <row r="352" spans="1:53" ht="14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</row>
    <row r="353" spans="1:53" ht="14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</row>
    <row r="354" spans="1:53" ht="14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</row>
    <row r="355" spans="1:53" ht="14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</row>
    <row r="356" spans="1:53" ht="14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</row>
    <row r="357" spans="1:53" ht="14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</row>
    <row r="358" spans="1:53" ht="14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</row>
    <row r="359" spans="1:53" ht="14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</row>
    <row r="360" spans="1:53" ht="14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</row>
    <row r="361" spans="1:53" ht="14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</row>
    <row r="362" spans="1:53" ht="14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</row>
    <row r="363" spans="1:53" ht="14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</row>
    <row r="364" spans="1:53" ht="14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</row>
    <row r="365" spans="1:53" ht="14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</row>
    <row r="366" spans="1:53" ht="14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</row>
    <row r="367" spans="1:53" ht="14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</row>
    <row r="368" spans="1:53" ht="14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</row>
    <row r="369" spans="1:53" ht="14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</row>
    <row r="370" spans="1:53" ht="14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</row>
    <row r="371" spans="1:53" ht="14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</row>
    <row r="372" spans="1:53" ht="14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</row>
    <row r="373" spans="1:53" ht="14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</row>
    <row r="374" spans="1:53" ht="14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</row>
    <row r="375" spans="1:53" ht="14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</row>
    <row r="376" spans="1:53" ht="14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</row>
    <row r="377" spans="1:53" ht="14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</row>
    <row r="378" spans="1:53" ht="14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</row>
    <row r="379" spans="1:53" ht="14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</row>
    <row r="380" spans="1:53" ht="14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</row>
    <row r="381" spans="1:53" ht="14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</row>
    <row r="382" spans="1:53" ht="14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</row>
    <row r="383" spans="1:53" ht="14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</row>
    <row r="384" spans="1:53" ht="14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</row>
    <row r="385" spans="1:53" ht="14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</row>
    <row r="386" spans="1:53" ht="14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</row>
    <row r="387" spans="1:53" ht="14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</row>
    <row r="388" spans="1:53" ht="14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</row>
    <row r="389" spans="1:53" ht="14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</row>
    <row r="390" spans="1:53" ht="14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</row>
    <row r="391" spans="1:53" ht="14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</row>
    <row r="392" spans="1:53" ht="14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</row>
    <row r="393" spans="1:53" ht="14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</row>
    <row r="394" spans="1:53" ht="14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</row>
    <row r="395" spans="1:53" ht="14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</row>
    <row r="396" spans="1:53" ht="14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</row>
    <row r="397" spans="1:53" ht="14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</row>
    <row r="398" spans="1:53" ht="14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</row>
    <row r="399" spans="1:53" ht="14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</row>
    <row r="400" spans="1:53" ht="14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</row>
    <row r="401" spans="1:53" ht="14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</row>
    <row r="402" spans="1:53" ht="14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</row>
    <row r="403" spans="1:53" ht="14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</row>
    <row r="404" spans="1:53" ht="14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</row>
    <row r="405" spans="1:53" ht="14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</row>
    <row r="406" spans="1:53" ht="14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</row>
    <row r="407" spans="1:53" ht="14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</row>
    <row r="408" spans="1:53" ht="14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</row>
    <row r="409" spans="1:53" ht="14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</row>
    <row r="410" spans="1:53" ht="14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</row>
    <row r="411" spans="1:53" ht="14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</row>
    <row r="412" spans="1:53" ht="14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</row>
    <row r="413" spans="1:53" ht="14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</row>
    <row r="414" spans="1:53" ht="14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</row>
    <row r="415" spans="1:53" ht="14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</row>
    <row r="416" spans="1:53" ht="14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</row>
    <row r="417" spans="1:53" ht="14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</row>
    <row r="418" spans="1:53" ht="14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</row>
    <row r="419" spans="1:53" ht="14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</row>
    <row r="420" spans="1:53" ht="14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</row>
    <row r="421" spans="1:53" ht="14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</row>
    <row r="422" spans="1:53" ht="14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</row>
    <row r="423" spans="1:53" ht="14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</row>
    <row r="424" spans="1:53" ht="14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</row>
    <row r="425" spans="1:53" ht="14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</row>
    <row r="426" spans="1:53" ht="14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</row>
    <row r="427" spans="1:53" ht="14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</row>
    <row r="428" spans="1:53" ht="14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</row>
    <row r="429" spans="1:53" ht="14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</row>
    <row r="430" spans="1:53" ht="14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</row>
    <row r="431" spans="1:53" ht="14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</row>
    <row r="432" spans="1:53" ht="14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</row>
    <row r="433" spans="1:53" ht="14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</row>
    <row r="434" spans="1:53" ht="14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</row>
    <row r="435" spans="1:53" ht="14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</row>
    <row r="436" spans="1:53" ht="14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</row>
    <row r="437" spans="1:53" ht="14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</row>
    <row r="438" spans="1:53" ht="14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</row>
    <row r="439" spans="1:53" ht="14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</row>
    <row r="440" spans="1:53" ht="14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</row>
    <row r="441" spans="1:53" ht="14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</row>
    <row r="442" spans="1:53" ht="14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</row>
    <row r="443" spans="1:53" ht="14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</row>
    <row r="444" spans="1:53" ht="14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</row>
    <row r="445" spans="1:53" ht="14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</row>
    <row r="446" spans="1:53" ht="14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</row>
    <row r="447" spans="1:53" ht="14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</row>
    <row r="448" spans="1:53" ht="14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</row>
    <row r="449" spans="1:53" ht="14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</row>
    <row r="450" spans="1:53" ht="14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</row>
    <row r="451" spans="1:53" ht="14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</row>
    <row r="452" spans="1:53" ht="14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</row>
    <row r="453" spans="1:53" ht="14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</row>
    <row r="454" spans="1:53" ht="14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</row>
    <row r="455" spans="1:53" ht="14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</row>
    <row r="456" spans="1:53" ht="14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</row>
    <row r="457" spans="1:53" ht="14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</row>
    <row r="458" spans="1:53" ht="14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</row>
    <row r="459" spans="1:53" ht="14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</row>
    <row r="460" spans="1:53" ht="14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</row>
    <row r="461" spans="1:53" ht="14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</row>
    <row r="462" spans="1:53" ht="14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</row>
    <row r="463" spans="1:53" ht="14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</row>
    <row r="464" spans="1:53" ht="14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</row>
    <row r="465" spans="1:53" ht="14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</row>
    <row r="466" spans="1:53" ht="14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</row>
    <row r="467" spans="1:53" ht="14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</row>
    <row r="468" spans="1:53" ht="14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</row>
    <row r="469" spans="1:53" ht="14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</row>
    <row r="470" spans="1:53" ht="14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</row>
    <row r="471" spans="1:53" ht="14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</row>
    <row r="472" spans="1:53" ht="14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</row>
    <row r="473" spans="1:53" ht="14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</row>
    <row r="474" spans="1:53" ht="14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</row>
    <row r="475" spans="1:53" ht="14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</row>
    <row r="476" spans="1:53" ht="14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</row>
    <row r="477" spans="1:53" ht="14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</row>
    <row r="478" spans="1:53" ht="14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</row>
    <row r="479" spans="1:53" ht="14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</row>
    <row r="480" spans="1:53" ht="14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</row>
    <row r="481" spans="1:53" ht="14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</row>
    <row r="482" spans="1:53" ht="14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</row>
    <row r="483" spans="1:53" ht="14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</row>
    <row r="484" spans="1:53" ht="14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</row>
    <row r="485" spans="1:53" ht="14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</row>
    <row r="486" spans="1:53" ht="14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</row>
    <row r="487" spans="1:53" ht="14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</row>
    <row r="488" spans="1:53" ht="14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</row>
    <row r="489" spans="1:53" ht="14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</row>
    <row r="490" spans="1:53" ht="14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</row>
    <row r="491" spans="1:53" ht="14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</row>
    <row r="492" spans="1:53" ht="14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</row>
    <row r="493" spans="1:53" ht="14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</row>
    <row r="494" spans="1:53" ht="14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</row>
    <row r="495" spans="1:53" ht="14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</row>
    <row r="496" spans="1:53" ht="14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</row>
    <row r="497" spans="1:53" ht="14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</row>
    <row r="498" spans="1:53" ht="14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</row>
    <row r="499" spans="1:53" ht="14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</row>
    <row r="500" spans="1:53" ht="14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</row>
    <row r="501" spans="1:53" ht="14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</row>
    <row r="502" spans="1:53" ht="14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</row>
    <row r="503" spans="1:53" ht="14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</row>
    <row r="504" spans="1:53" ht="14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</row>
    <row r="505" spans="1:53" ht="14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</row>
    <row r="506" spans="1:53" ht="14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</row>
    <row r="507" spans="1:53" ht="14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</row>
    <row r="508" spans="1:53" ht="14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</row>
    <row r="509" spans="1:53" ht="14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</row>
    <row r="510" spans="1:53" ht="14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</row>
    <row r="511" spans="1:53" ht="14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</row>
    <row r="512" spans="1:53" ht="14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</row>
    <row r="513" spans="1:53" ht="14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</row>
    <row r="514" spans="1:53" ht="14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</row>
    <row r="515" spans="1:53" ht="14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</row>
    <row r="516" spans="1:53" ht="14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</row>
    <row r="517" spans="1:53" ht="14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</row>
    <row r="518" spans="1:53" ht="14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</row>
    <row r="519" spans="1:53" ht="14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</row>
    <row r="520" spans="1:53" ht="14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</row>
    <row r="521" spans="1:53" ht="14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</row>
    <row r="522" spans="1:53" ht="14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</row>
    <row r="523" spans="1:53" ht="14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</row>
    <row r="524" spans="1:53" ht="14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</row>
    <row r="525" spans="1:53" ht="14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</row>
    <row r="526" spans="1:53" ht="14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</row>
    <row r="527" spans="1:53" ht="14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</row>
    <row r="528" spans="1:53" ht="14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</row>
    <row r="529" spans="1:53" ht="14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</row>
    <row r="530" spans="1:53" ht="14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</row>
    <row r="531" spans="1:53" ht="14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</row>
    <row r="532" spans="1:53" ht="14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</row>
    <row r="533" spans="1:53" ht="14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</row>
    <row r="534" spans="1:53" ht="14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</row>
    <row r="535" spans="1:53" ht="14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</row>
    <row r="536" spans="1:53" ht="14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</row>
    <row r="537" spans="1:53" ht="14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</row>
    <row r="538" spans="1:53" ht="14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</row>
    <row r="539" spans="1:53" ht="14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</row>
    <row r="540" spans="1:53" ht="14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</row>
    <row r="541" spans="1:53" ht="14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</row>
    <row r="542" spans="1:53" ht="14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</row>
    <row r="543" spans="1:53" ht="14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</row>
    <row r="544" spans="1:53" ht="14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</row>
    <row r="545" spans="1:53" ht="14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</row>
    <row r="546" spans="1:53" ht="14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</row>
    <row r="547" spans="1:53" ht="14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</row>
    <row r="548" spans="1:53" ht="14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</row>
    <row r="549" spans="1:53" ht="14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</row>
    <row r="550" spans="1:53" ht="14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</row>
    <row r="551" spans="1:53" ht="14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</row>
    <row r="552" spans="1:53" ht="14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</row>
    <row r="553" spans="1:53" ht="14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</row>
    <row r="554" spans="1:53" ht="14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</row>
    <row r="555" spans="1:53" ht="14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</row>
    <row r="556" spans="1:53" ht="14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</row>
    <row r="557" spans="1:53" ht="14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</row>
    <row r="558" spans="1:53" ht="14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</row>
    <row r="559" spans="1:53" ht="14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</row>
    <row r="560" spans="1:53" ht="14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</row>
    <row r="561" spans="1:53" ht="14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</row>
    <row r="562" spans="1:53" ht="14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</row>
    <row r="563" spans="1:53" ht="14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</row>
    <row r="564" spans="1:53" ht="14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</row>
    <row r="565" spans="1:53" ht="14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</row>
    <row r="566" spans="1:53" ht="14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</row>
    <row r="567" spans="1:53" ht="14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</row>
    <row r="568" spans="1:53" ht="14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</row>
    <row r="569" spans="1:53" ht="14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</row>
    <row r="570" spans="1:53" ht="14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</row>
    <row r="571" spans="1:53" ht="14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</row>
    <row r="572" spans="1:53" ht="14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</row>
    <row r="573" spans="1:53" ht="14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</row>
    <row r="574" spans="1:53" ht="14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</row>
    <row r="575" spans="1:53" ht="14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</row>
    <row r="576" spans="1:53" ht="14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</row>
    <row r="577" spans="1:53" ht="14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</row>
    <row r="578" spans="1:53" ht="14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</row>
    <row r="579" spans="1:53" ht="14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</row>
    <row r="580" spans="1:53" ht="14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</row>
    <row r="581" spans="1:53" ht="14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</row>
    <row r="582" spans="1:53" ht="14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</row>
    <row r="583" spans="1:53" ht="14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</row>
    <row r="584" spans="1:53" ht="14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</row>
    <row r="585" spans="1:53" ht="14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</row>
    <row r="586" spans="1:53" ht="14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</row>
    <row r="587" spans="1:53" ht="14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</row>
    <row r="588" spans="1:53" ht="14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</row>
    <row r="589" spans="1:53" ht="14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</row>
    <row r="590" spans="1:53" ht="14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</row>
    <row r="591" spans="1:53" ht="14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</row>
    <row r="592" spans="1:53" ht="14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</row>
    <row r="593" spans="1:53" ht="14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</row>
    <row r="594" spans="1:53" ht="14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</row>
    <row r="595" spans="1:53" ht="14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</row>
    <row r="596" spans="1:53" ht="14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</row>
    <row r="597" spans="1:53" ht="14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</row>
    <row r="598" spans="1:53" ht="14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</row>
    <row r="599" spans="1:53" ht="14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</row>
    <row r="600" spans="1:53" ht="14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</row>
    <row r="601" spans="1:53" ht="14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</row>
    <row r="602" spans="1:53" ht="14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</row>
    <row r="603" spans="1:53" ht="14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</row>
    <row r="604" spans="1:53" ht="14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</row>
    <row r="605" spans="1:53" ht="14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</row>
    <row r="606" spans="1:53" ht="14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</row>
    <row r="607" spans="1:53" ht="14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</row>
    <row r="608" spans="1:53" ht="14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</row>
    <row r="609" spans="1:53" ht="14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</row>
    <row r="610" spans="1:53" ht="14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</row>
    <row r="611" spans="1:53" ht="14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</row>
    <row r="612" spans="1:53" ht="14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</row>
    <row r="613" spans="1:53" ht="14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</row>
    <row r="614" spans="1:53" ht="14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</row>
    <row r="615" spans="1:53" ht="14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</row>
    <row r="616" spans="1:53" ht="14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</row>
    <row r="617" spans="1:53" ht="14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</row>
    <row r="618" spans="1:53" ht="14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</row>
    <row r="619" spans="1:53" ht="14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</row>
    <row r="620" spans="1:53" ht="14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</row>
    <row r="621" spans="1:53" ht="14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</row>
    <row r="622" spans="1:53" ht="14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</row>
    <row r="623" spans="1:53" ht="14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</row>
    <row r="624" spans="1:53" ht="14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</row>
    <row r="625" spans="1:53" ht="14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</row>
    <row r="626" spans="1:53" ht="14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</row>
    <row r="627" spans="1:53" ht="14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</row>
    <row r="628" spans="1:53" ht="14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</row>
    <row r="629" spans="1:53" ht="14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</row>
    <row r="630" spans="1:53" ht="14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</row>
    <row r="631" spans="1:53" ht="14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</row>
    <row r="632" spans="1:53" ht="14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</row>
    <row r="633" spans="1:53" ht="14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</row>
    <row r="634" spans="1:53" ht="14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</row>
    <row r="635" spans="1:53" ht="14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</row>
    <row r="636" spans="1:53" ht="14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</row>
    <row r="637" spans="1:53" ht="14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</row>
    <row r="638" spans="1:53" ht="14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</row>
    <row r="639" spans="1:53" ht="14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</row>
    <row r="640" spans="1:53" ht="14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</row>
    <row r="641" spans="1:53" ht="14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</row>
    <row r="642" spans="1:53" ht="14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</row>
    <row r="643" spans="1:53" ht="14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</row>
    <row r="644" spans="1:53" ht="14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</row>
    <row r="645" spans="1:53" ht="14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</row>
    <row r="646" spans="1:53" ht="14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</row>
    <row r="647" spans="1:53" ht="14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</row>
    <row r="648" spans="1:53" ht="14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</row>
    <row r="649" spans="1:53" ht="14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</row>
    <row r="650" spans="1:53" ht="14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</row>
    <row r="651" spans="1:53" ht="14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</row>
    <row r="652" spans="1:53" ht="14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</row>
    <row r="653" spans="1:53" ht="14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</row>
    <row r="654" spans="1:53" ht="14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</row>
    <row r="655" spans="1:53" ht="14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</row>
    <row r="656" spans="1:53" ht="14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</row>
    <row r="657" spans="1:53" ht="14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</row>
    <row r="658" spans="1:53" ht="14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</row>
    <row r="659" spans="1:53" ht="14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</row>
    <row r="660" spans="1:53" ht="14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</row>
    <row r="661" spans="1:53" ht="14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</row>
    <row r="662" spans="1:53" ht="14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</row>
    <row r="663" spans="1:53" ht="14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</row>
    <row r="664" spans="1:53" ht="14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</row>
    <row r="665" spans="1:53" ht="14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</row>
    <row r="666" spans="1:53" ht="14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</row>
    <row r="667" spans="1:53" ht="14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</row>
    <row r="668" spans="1:53" ht="14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</row>
    <row r="669" spans="1:53" ht="14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</row>
    <row r="670" spans="1:53" ht="14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</row>
    <row r="671" spans="1:53" ht="14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</row>
    <row r="672" spans="1:53" ht="14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</row>
    <row r="673" spans="1:53" ht="14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</row>
    <row r="674" spans="1:53" ht="14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</row>
    <row r="675" spans="1:53" ht="14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</row>
    <row r="676" spans="1:53" ht="14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</row>
    <row r="677" spans="1:53" ht="14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</row>
    <row r="678" spans="1:53" ht="14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</row>
    <row r="679" spans="1:53" ht="14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</row>
    <row r="680" spans="1:53" ht="14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</row>
    <row r="681" spans="1:53" ht="14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</row>
    <row r="682" spans="1:53" ht="14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spans="1:53" ht="14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</row>
    <row r="684" spans="1:53" ht="14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</row>
    <row r="685" spans="1:53" ht="14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</row>
    <row r="686" spans="1:53" ht="14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</row>
    <row r="687" spans="1:53" ht="14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</row>
    <row r="688" spans="1:53" ht="14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</row>
    <row r="689" spans="1:53" ht="14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</row>
    <row r="690" spans="1:53" ht="14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</row>
    <row r="691" spans="1:53" ht="14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</row>
    <row r="692" spans="1:53" ht="14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</row>
    <row r="693" spans="1:53" ht="14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</row>
    <row r="694" spans="1:53" ht="14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</row>
    <row r="695" spans="1:53" ht="14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</row>
    <row r="696" spans="1:53" ht="14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</row>
    <row r="697" spans="1:53" ht="14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</row>
    <row r="698" spans="1:53" ht="14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</row>
    <row r="699" spans="1:53" ht="14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</row>
    <row r="700" spans="1:53" ht="14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</row>
    <row r="701" spans="1:53" ht="14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</row>
    <row r="702" spans="1:53" ht="14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</row>
    <row r="703" spans="1:53" ht="14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</row>
    <row r="704" spans="1:53" ht="14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</row>
    <row r="705" spans="1:53" ht="14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</row>
    <row r="706" spans="1:53" ht="14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</row>
    <row r="707" spans="1:53" ht="14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</row>
    <row r="708" spans="1:53" ht="14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</row>
    <row r="709" spans="1:53" ht="14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</row>
    <row r="710" spans="1:53" ht="14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</row>
    <row r="711" spans="1:53" ht="14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</row>
    <row r="712" spans="1:53" ht="14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</row>
    <row r="713" spans="1:53" ht="14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</row>
    <row r="714" spans="1:53" ht="14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</row>
    <row r="715" spans="1:53" ht="14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</row>
    <row r="716" spans="1:53" ht="14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</row>
    <row r="717" spans="1:53" ht="14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</row>
    <row r="718" spans="1:53" ht="14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</row>
    <row r="719" spans="1:53" ht="14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</row>
    <row r="720" spans="1:53" ht="14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</row>
    <row r="721" spans="1:53" ht="14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</row>
    <row r="722" spans="1:53" ht="14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</row>
    <row r="723" spans="1:53" ht="14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</row>
    <row r="724" spans="1:53" ht="14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</row>
    <row r="725" spans="1:53" ht="14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</row>
    <row r="726" spans="1:53" ht="14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</row>
    <row r="727" spans="1:53" ht="14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</row>
    <row r="728" spans="1:53" ht="14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</row>
    <row r="729" spans="1:53" ht="14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</row>
    <row r="730" spans="1:53" ht="14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</row>
    <row r="731" spans="1:53" ht="14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</row>
    <row r="732" spans="1:53" ht="14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</row>
    <row r="733" spans="1:53" ht="14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</row>
    <row r="734" spans="1:53" ht="14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</row>
    <row r="735" spans="1:53" ht="14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</row>
    <row r="736" spans="1:53" ht="14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</row>
    <row r="737" spans="1:53" ht="14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</row>
    <row r="738" spans="1:53" ht="14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</row>
    <row r="739" spans="1:53" ht="14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</row>
    <row r="740" spans="1:53" ht="14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</row>
    <row r="741" spans="1:53" ht="14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</row>
    <row r="742" spans="1:53" ht="14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</row>
    <row r="743" spans="1:53" ht="14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</row>
    <row r="744" spans="1:53" ht="14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</row>
    <row r="745" spans="1:53" ht="14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</row>
    <row r="746" spans="1:53" ht="14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</row>
    <row r="747" spans="1:53" ht="14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</row>
    <row r="748" spans="1:53" ht="14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</row>
    <row r="749" spans="1:53" ht="14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</row>
    <row r="750" spans="1:53" ht="14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</row>
    <row r="751" spans="1:53" ht="14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</row>
    <row r="752" spans="1:53" ht="14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</row>
    <row r="753" spans="1:53" ht="14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</row>
    <row r="754" spans="1:53" ht="14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</row>
    <row r="755" spans="1:53" ht="14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</row>
    <row r="756" spans="1:53" ht="14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</row>
    <row r="757" spans="1:53" ht="14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</row>
    <row r="758" spans="1:53" ht="14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</row>
    <row r="759" spans="1:53" ht="14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</row>
    <row r="760" spans="1:53" ht="14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</row>
    <row r="761" spans="1:53" ht="14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</row>
    <row r="762" spans="1:53" ht="14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</row>
    <row r="763" spans="1:53" ht="14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</row>
    <row r="764" spans="1:53" ht="14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</row>
    <row r="765" spans="1:53" ht="14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</row>
    <row r="766" spans="1:53" ht="14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</row>
    <row r="767" spans="1:53" ht="14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</row>
    <row r="768" spans="1:53" ht="14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</row>
    <row r="769" spans="1:53" ht="14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</row>
    <row r="770" spans="1:53" ht="14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</row>
    <row r="771" spans="1:53" ht="14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</row>
    <row r="772" spans="1:53" ht="14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</row>
    <row r="773" spans="1:53" ht="14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</row>
    <row r="774" spans="1:53" ht="14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</row>
    <row r="775" spans="1:53" ht="14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</row>
    <row r="776" spans="1:53" ht="14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</row>
    <row r="777" spans="1:53" ht="14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</row>
    <row r="778" spans="1:53" ht="14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</row>
    <row r="779" spans="1:53" ht="14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</row>
    <row r="780" spans="1:53" ht="14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</row>
    <row r="781" spans="1:53" ht="14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</row>
    <row r="782" spans="1:53" ht="14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</row>
    <row r="783" spans="1:53" ht="14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</row>
    <row r="784" spans="1:53" ht="14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</row>
    <row r="785" spans="1:53" ht="14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</row>
    <row r="786" spans="1:53" ht="14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</row>
    <row r="787" spans="1:53" ht="14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</row>
    <row r="788" spans="1:53" ht="14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</row>
    <row r="789" spans="1:53" ht="14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</row>
    <row r="790" spans="1:53" ht="14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</row>
    <row r="791" spans="1:53" ht="14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</row>
    <row r="792" spans="1:53" ht="14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</row>
    <row r="793" spans="1:53" ht="14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</row>
    <row r="794" spans="1:53" ht="14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</row>
    <row r="795" spans="1:53" ht="14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</row>
    <row r="796" spans="1:53" ht="14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</row>
    <row r="797" spans="1:53" ht="14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</row>
    <row r="798" spans="1:53" ht="14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</row>
    <row r="799" spans="1:53" ht="14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</row>
    <row r="800" spans="1:53" ht="14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</row>
    <row r="801" spans="1:53" ht="14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</row>
    <row r="802" spans="1:53" ht="14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</row>
    <row r="803" spans="1:53" ht="14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</row>
    <row r="804" spans="1:53" ht="14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</row>
    <row r="805" spans="1:53" ht="14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</row>
    <row r="806" spans="1:53" ht="14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</row>
    <row r="807" spans="1:53" ht="14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</row>
    <row r="808" spans="1:53" ht="14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</row>
    <row r="809" spans="1:53" ht="14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</row>
    <row r="810" spans="1:53" ht="14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</row>
    <row r="811" spans="1:53" ht="14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</row>
    <row r="812" spans="1:53" ht="14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</row>
    <row r="813" spans="1:53" ht="14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</row>
    <row r="814" spans="1:53" ht="14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</row>
    <row r="815" spans="1:53" ht="14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</row>
    <row r="816" spans="1:53" ht="14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</row>
    <row r="817" spans="1:53" ht="14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</row>
    <row r="818" spans="1:53" ht="14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</row>
    <row r="819" spans="1:53" ht="14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</row>
    <row r="820" spans="1:53" ht="14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</row>
    <row r="821" spans="1:53" ht="14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</row>
    <row r="822" spans="1:53" ht="14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</row>
    <row r="823" spans="1:53" ht="14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</row>
    <row r="824" spans="1:53" ht="14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</row>
    <row r="825" spans="1:53" ht="14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</row>
    <row r="826" spans="1:53" ht="14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</row>
    <row r="827" spans="1:53" ht="14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</row>
    <row r="828" spans="1:53" ht="14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</row>
    <row r="829" spans="1:53" ht="14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</row>
    <row r="830" spans="1:53" ht="14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</row>
    <row r="831" spans="1:53" ht="14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</row>
    <row r="832" spans="1:53" ht="14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</row>
    <row r="833" spans="1:53" ht="14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</row>
    <row r="834" spans="1:53" ht="14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</row>
    <row r="835" spans="1:53" ht="14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</row>
    <row r="836" spans="1:53" ht="14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</row>
    <row r="837" spans="1:53" ht="14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</row>
    <row r="838" spans="1:53" ht="14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</row>
    <row r="839" spans="1:53" ht="14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</row>
    <row r="840" spans="1:53" ht="14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</row>
    <row r="841" spans="1:53" ht="14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</row>
    <row r="842" spans="1:53" ht="14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</row>
    <row r="843" spans="1:53" ht="14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</row>
    <row r="844" spans="1:53" ht="14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</row>
    <row r="845" spans="1:53" ht="14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</row>
    <row r="846" spans="1:53" ht="14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</row>
    <row r="847" spans="1:53" ht="14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</row>
    <row r="848" spans="1:53" ht="14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</row>
    <row r="849" spans="1:53" ht="14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</row>
    <row r="850" spans="1:53" ht="14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</row>
    <row r="851" spans="1:53" ht="14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</row>
    <row r="852" spans="1:53" ht="14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</row>
    <row r="853" spans="1:53" ht="14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</row>
    <row r="854" spans="1:53" ht="14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</row>
    <row r="855" spans="1:53" ht="14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</row>
    <row r="856" spans="1:53" ht="14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</row>
    <row r="857" spans="1:53" ht="14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</row>
    <row r="858" spans="1:53" ht="14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</row>
    <row r="859" spans="1:53" ht="14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</row>
    <row r="860" spans="1:53" ht="14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</row>
    <row r="861" spans="1:53" ht="14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</row>
    <row r="862" spans="1:53" ht="14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</row>
    <row r="863" spans="1:53" ht="14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</row>
    <row r="864" spans="1:53" ht="14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</row>
    <row r="865" spans="1:53" ht="14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</row>
    <row r="866" spans="1:53" ht="14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</row>
    <row r="867" spans="1:53" ht="14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</row>
    <row r="868" spans="1:53" ht="14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</row>
    <row r="869" spans="1:53" ht="14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</row>
    <row r="870" spans="1:53" ht="14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</row>
    <row r="871" spans="1:53" ht="14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</row>
    <row r="872" spans="1:53" ht="14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</row>
    <row r="873" spans="1:53" ht="14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</row>
    <row r="874" spans="1:53" ht="14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</row>
    <row r="875" spans="1:53" ht="14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</row>
    <row r="876" spans="1:53" ht="14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</row>
    <row r="877" spans="1:53" ht="14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</row>
    <row r="878" spans="1:53" ht="14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</row>
    <row r="879" spans="1:53" ht="14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</row>
    <row r="880" spans="1:53" ht="14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</row>
    <row r="881" spans="1:53" ht="14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</row>
    <row r="882" spans="1:53" ht="14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</row>
    <row r="883" spans="1:53" ht="14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</row>
    <row r="884" spans="1:53" ht="14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</row>
    <row r="885" spans="1:53" ht="14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</row>
    <row r="886" spans="1:53" ht="14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</row>
    <row r="887" spans="1:53" ht="14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</row>
    <row r="888" spans="1:53" ht="14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</row>
    <row r="889" spans="1:53" ht="14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</row>
    <row r="890" spans="1:53" ht="14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</row>
    <row r="891" spans="1:53" ht="14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</row>
    <row r="892" spans="1:53" ht="14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</row>
    <row r="893" spans="1:53" ht="14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</row>
    <row r="894" spans="1:53" ht="14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</row>
    <row r="895" spans="1:53" ht="14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</row>
    <row r="896" spans="1:53" ht="14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</row>
    <row r="897" spans="1:53" ht="14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</row>
    <row r="898" spans="1:53" ht="14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</row>
    <row r="899" spans="1:53" ht="14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</row>
    <row r="900" spans="1:53" ht="14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</row>
    <row r="901" spans="1:53" ht="14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</row>
    <row r="902" spans="1:53" ht="14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</row>
    <row r="903" spans="1:53" ht="14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</row>
    <row r="904" spans="1:53" ht="14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</row>
    <row r="905" spans="1:53" ht="14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</row>
    <row r="906" spans="1:53" ht="14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</row>
    <row r="907" spans="1:53" ht="14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</row>
    <row r="908" spans="1:53" ht="14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</row>
    <row r="909" spans="1:53" ht="14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</row>
    <row r="910" spans="1:53" ht="14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</row>
    <row r="911" spans="1:53" ht="14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</row>
    <row r="912" spans="1:53" ht="14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</row>
    <row r="913" spans="1:53" ht="14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</row>
    <row r="914" spans="1:53" ht="14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</row>
    <row r="915" spans="1:53" ht="14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</row>
    <row r="916" spans="1:53" ht="14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</row>
    <row r="917" spans="1:53" ht="14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</row>
    <row r="918" spans="1:53" ht="14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</row>
    <row r="919" spans="1:53" ht="14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</row>
    <row r="920" spans="1:53" ht="14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</row>
    <row r="921" spans="1:53" ht="14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</row>
    <row r="922" spans="1:53" ht="14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</row>
    <row r="923" spans="1:53" ht="14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</row>
    <row r="924" spans="1:53" ht="14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</row>
    <row r="925" spans="1:53" ht="14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</row>
    <row r="926" spans="1:53" ht="14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</row>
    <row r="927" spans="1:53" ht="14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</row>
    <row r="928" spans="1:53" ht="14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</row>
    <row r="929" spans="1:53" ht="14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</row>
    <row r="930" spans="1:53" ht="14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</row>
    <row r="931" spans="1:53" ht="14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</row>
    <row r="932" spans="1:53" ht="14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</row>
    <row r="933" spans="1:53" ht="14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</row>
    <row r="934" spans="1:53" ht="14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</row>
    <row r="935" spans="1:53" ht="14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</row>
    <row r="936" spans="1:53" ht="14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</row>
    <row r="937" spans="1:53" ht="14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</row>
    <row r="938" spans="1:53" ht="14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</row>
    <row r="939" spans="1:53" ht="14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</row>
    <row r="940" spans="1:53" ht="14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</row>
    <row r="941" spans="1:53" ht="14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</row>
    <row r="942" spans="1:53" ht="14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</row>
    <row r="943" spans="1:53" ht="14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</row>
    <row r="944" spans="1:53" ht="14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</row>
    <row r="945" spans="1:53" ht="14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</row>
    <row r="946" spans="1:53" ht="14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</row>
    <row r="947" spans="1:53" ht="14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</row>
    <row r="948" spans="1:53" ht="14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</row>
    <row r="949" spans="1:53" ht="14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</row>
    <row r="950" spans="1:53" ht="14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</row>
    <row r="951" spans="1:53" ht="14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</row>
    <row r="952" spans="1:53" ht="14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</row>
    <row r="953" spans="1:53" ht="14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</row>
    <row r="954" spans="1:53" ht="14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</row>
    <row r="955" spans="1:53" ht="14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</row>
    <row r="956" spans="1:53" ht="14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</row>
    <row r="957" spans="1:53" ht="14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</row>
    <row r="958" spans="1:53" ht="14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</row>
    <row r="959" spans="1:53" ht="14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</row>
    <row r="960" spans="1:53" ht="14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</row>
    <row r="961" spans="1:53" ht="14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</row>
    <row r="962" spans="1:53" ht="14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</row>
    <row r="963" spans="1:53" ht="14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</row>
    <row r="964" spans="1:53" ht="14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</row>
    <row r="965" spans="1:53" ht="14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</row>
    <row r="966" spans="1:53" ht="14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</row>
    <row r="967" spans="1:53" ht="14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</row>
    <row r="968" spans="1:53" ht="14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</row>
    <row r="969" spans="1:53" ht="14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</row>
    <row r="970" spans="1:53" ht="14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</row>
    <row r="971" spans="1:53" ht="14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</row>
    <row r="972" spans="1:53" ht="14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</row>
    <row r="973" spans="1:53" ht="14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</row>
    <row r="974" spans="1:53" ht="14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</row>
    <row r="975" spans="1:53" ht="14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</row>
    <row r="976" spans="1:53" ht="14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</row>
    <row r="977" spans="1:53" ht="14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</row>
    <row r="978" spans="1:53" ht="14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</row>
    <row r="979" spans="1:53" ht="14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</row>
    <row r="980" spans="1:53" ht="14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</row>
    <row r="981" spans="1:53" ht="14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</row>
    <row r="982" spans="1:53" ht="14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</row>
    <row r="983" spans="1:53" ht="14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</row>
    <row r="984" spans="1:53" ht="14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</row>
    <row r="985" spans="1:53" ht="14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</row>
    <row r="986" spans="1:53" ht="14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</row>
    <row r="987" spans="1:53" ht="14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</row>
    <row r="988" spans="1:53" ht="14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</row>
    <row r="989" spans="1:53" ht="14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</row>
    <row r="990" spans="1:53" ht="14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</row>
    <row r="991" spans="1:53" ht="14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</row>
    <row r="992" spans="1:53" ht="14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</row>
    <row r="993" spans="1:53" ht="14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</row>
    <row r="994" spans="1:53" ht="14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</row>
    <row r="995" spans="1:53" ht="14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</row>
    <row r="996" spans="1:53" ht="14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</row>
    <row r="997" spans="1:53" ht="14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</row>
    <row r="998" spans="1:53" ht="14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</row>
    <row r="999" spans="1:53" ht="14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</row>
    <row r="1000" spans="1:53" ht="14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</row>
    <row r="1001" spans="1:53" ht="14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</row>
    <row r="1002" spans="1:53" ht="14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</row>
  </sheetData>
  <mergeCells count="12">
    <mergeCell ref="U1:W1"/>
    <mergeCell ref="Y1:AA1"/>
    <mergeCell ref="B1:D1"/>
    <mergeCell ref="F1:H1"/>
    <mergeCell ref="J1:L1"/>
    <mergeCell ref="N1:P1"/>
    <mergeCell ref="R1:T1"/>
    <mergeCell ref="AC1:AE1"/>
    <mergeCell ref="AG1:AI1"/>
    <mergeCell ref="AK1:AM1"/>
    <mergeCell ref="AO1:AQ1"/>
    <mergeCell ref="AS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 Token Model</vt:lpstr>
      <vt:lpstr>3 Year Forecast</vt:lpstr>
      <vt:lpstr>Capex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Wyatt Zgabay (Student)</cp:lastModifiedBy>
  <dcterms:created xsi:type="dcterms:W3CDTF">2026-02-19T01:18:19Z</dcterms:created>
  <dcterms:modified xsi:type="dcterms:W3CDTF">2026-02-19T01:18:19Z</dcterms:modified>
</cp:coreProperties>
</file>