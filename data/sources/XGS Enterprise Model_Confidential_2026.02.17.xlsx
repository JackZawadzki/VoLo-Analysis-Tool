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wyattzgabay/Desktop/VoLo Software - Fin Modeling/"/>
    </mc:Choice>
  </mc:AlternateContent>
  <xr:revisionPtr revIDLastSave="0" documentId="8_{C0FF9D78-D6A7-B142-9231-F7E9389B8C24}" xr6:coauthVersionLast="47" xr6:coauthVersionMax="47" xr10:uidLastSave="{00000000-0000-0000-0000-000000000000}"/>
  <bookViews>
    <workbookView xWindow="0" yWindow="740" windowWidth="29400" windowHeight="16960" xr2:uid="{FEBD16F6-8077-4746-B3B7-3075AC3934C2}"/>
  </bookViews>
  <sheets>
    <sheet name="Cover" sheetId="25" r:id="rId1"/>
    <sheet name="Intro" sheetId="26" r:id="rId2"/>
    <sheet name="Consolidated Model &gt;" sheetId="8" r:id="rId3"/>
    <sheet name="Inputs" sheetId="1" r:id="rId4"/>
    <sheet name="Consolidated Forecast (A)" sheetId="19" r:id="rId5"/>
    <sheet name="ST Forecast (M)" sheetId="27" r:id="rId6"/>
    <sheet name="Historical PnL (M)" sheetId="12" r:id="rId7"/>
    <sheet name="Historical FS Inputs&gt;" sheetId="7" r:id="rId8"/>
    <sheet name="Historical IS" sheetId="5" r:id="rId9"/>
    <sheet name="Historical CFS" sheetId="6" r:id="rId10"/>
    <sheet name="Historical BS" sheetId="3" r:id="rId11"/>
    <sheet name="Outputs" sheetId="28" state="hidden" r:id="rId12"/>
  </sheets>
  <externalReferences>
    <externalReference r:id="rId13"/>
  </externalReferences>
  <definedNames>
    <definedName name="_Growth_M_Data" localSheetId="5">'ST Forecast (M)'!$N$11:$AQ$67</definedName>
    <definedName name="_Growth_M_Data">'[1]Growth Rnd Forecast (M)'!$I$8:$AT$76</definedName>
    <definedName name="_Growth_M_Labels" localSheetId="5">'ST Forecast (M)'!$C$11:$C$67</definedName>
    <definedName name="_Growth_M_Labels">'[1]Growth Rnd Forecast (M)'!$C$8:$C$76</definedName>
    <definedName name="_Growth_M_MonthEnd" localSheetId="5">'ST Forecast (M)'!$N$5:$AQ$5</definedName>
    <definedName name="_Growth_M_QuarterEnd" localSheetId="5">'ST Forecast (M)'!#REF!</definedName>
    <definedName name="_Growth_M_QuarterEnd">'[1]Growth Rnd Forecast (M)'!$I$3:$AT$3</definedName>
    <definedName name="_Growth_M_YearEnd" localSheetId="5">'ST Forecast (M)'!$N$7:$AQ$7</definedName>
    <definedName name="_GrowthSource2_M_Data">'[1]Cost Forecast (v2)'!$F$9:$AQ$55</definedName>
    <definedName name="_GrowthSource2_M_Labels">'[1]Cost Forecast (v2)'!$D$9:$D$55</definedName>
    <definedName name="_GrowthSource2_M_MonthEnd">'[1]Cost Forecast (v2)'!$F$3:$AQ$3</definedName>
    <definedName name="_Hist_M_Data" localSheetId="11">'[1]Hist PnL (M)'!$H$11:$V$123</definedName>
    <definedName name="_Hist_M_Data">'Historical PnL (M)'!$H$12:$AE$129</definedName>
    <definedName name="_Hist_M_Labels" localSheetId="11">'[1]Hist PnL (M)'!$C$11:$C$123</definedName>
    <definedName name="_Hist_M_Labels">'Historical PnL (M)'!$C$12:$C$129</definedName>
    <definedName name="_Hist_M_MonthEnd">'Historical PnL (M)'!$H$5:$AE$5</definedName>
    <definedName name="_Hist_M_QuarterEnd" localSheetId="11">'[1]Hist PnL (M)'!$H$3:$V$3</definedName>
    <definedName name="_Hist_M_YearEnd">'Historical PnL (M)'!$H$7:$AE$7</definedName>
    <definedName name="_HistBS_M_Data">'Historical BS'!$E$9:$AB$102</definedName>
    <definedName name="_HistBS_M_Labels">'Historical BS'!$C$9:$C$102</definedName>
    <definedName name="_HistBS_M_MonthEnd">'Historical BS'!$E$5:$AB$5</definedName>
    <definedName name="_HistCFS_M_Data" localSheetId="11">'[1]Historical CFS'!$D$9:$R$41</definedName>
    <definedName name="_HistCFS_M_Data">'Historical CFS'!$D$9:$AA$102</definedName>
    <definedName name="_HistCFS_M_Labels" localSheetId="11">'[1]Historical CFS'!$C$9:$C$41</definedName>
    <definedName name="_HistCFS_M_Labels">'Historical CFS'!$C$9:$C$102</definedName>
    <definedName name="_HistCFS_M_MonthEnd" localSheetId="11">'[1]Historical CFS'!$D$5:$R$5</definedName>
    <definedName name="_HistCFS_M_MonthEnd">'Historical CFS'!$D$5:$AA$5</definedName>
    <definedName name="_HistIS_M_Data" localSheetId="11">'[1]Historical IS'!$D$8:$R$123</definedName>
    <definedName name="_HistIS_M_Data">'Historical IS'!$E$8:$AC$145</definedName>
    <definedName name="_HistIS_M_Labels" localSheetId="11">'[1]Historical IS'!$C$8:$C$123</definedName>
    <definedName name="_HistIS_M_Labels">'Historical IS'!$C$8:$C$145</definedName>
    <definedName name="_HistIS_M_MonthEnd" localSheetId="11">'[1]Historical IS'!$D$5:$R$5</definedName>
    <definedName name="_HistIS_M_MonthEnd">'Historical IS'!$E$5:$AC$5</definedName>
    <definedName name="_STForecast_M_Data">'ST Forecast (M)'!$H$12:$AQ$65</definedName>
    <definedName name="_STForecast_M_Labels">'ST Forecast (M)'!$C$12:$C$65</definedName>
    <definedName name="_STForecast_M_MonthEnd">'ST Forecast (M)'!$H$5:$AQ$5</definedName>
    <definedName name="_STForecast_M_YearEnd">'ST Forecast (M)'!$H$7:$AQ$7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27" l="1"/>
  <c r="I53" i="27"/>
  <c r="J63" i="27"/>
  <c r="J65" i="27" s="1"/>
  <c r="N63" i="27"/>
  <c r="O63" i="27"/>
  <c r="P63" i="27"/>
  <c r="Q63" i="27"/>
  <c r="R63" i="27"/>
  <c r="R65" i="27" s="1"/>
  <c r="S63" i="27"/>
  <c r="N65" i="27"/>
  <c r="O65" i="27"/>
  <c r="P65" i="27"/>
  <c r="Q65" i="27"/>
  <c r="S65" i="27"/>
  <c r="K63" i="27" l="1"/>
  <c r="K65" i="27" s="1"/>
  <c r="M63" i="27" l="1"/>
  <c r="M65" i="27" s="1"/>
  <c r="L63" i="27"/>
  <c r="L65" i="27" s="1"/>
  <c r="I97" i="12" l="1"/>
  <c r="J97" i="12"/>
  <c r="K97" i="12"/>
  <c r="L97" i="12"/>
  <c r="M97" i="12"/>
  <c r="N97" i="12"/>
  <c r="O97" i="12"/>
  <c r="P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H97" i="12"/>
  <c r="I118" i="12"/>
  <c r="J118" i="12"/>
  <c r="K118" i="12"/>
  <c r="L118" i="12"/>
  <c r="M118" i="12"/>
  <c r="N118" i="12"/>
  <c r="O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H118" i="12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D68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D66" i="6"/>
  <c r="P63" i="6"/>
  <c r="Q63" i="6"/>
  <c r="R63" i="6"/>
  <c r="S63" i="6"/>
  <c r="T63" i="6"/>
  <c r="U63" i="6"/>
  <c r="V63" i="6"/>
  <c r="W63" i="6"/>
  <c r="X63" i="6"/>
  <c r="Y63" i="6"/>
  <c r="Z63" i="6"/>
  <c r="AA63" i="6"/>
  <c r="V17" i="27" l="1"/>
  <c r="W17" i="27" s="1"/>
  <c r="X17" i="27" s="1"/>
  <c r="Y17" i="27" s="1"/>
  <c r="Z17" i="27" s="1"/>
  <c r="AA17" i="27" s="1"/>
  <c r="AB17" i="27" s="1"/>
  <c r="AC17" i="27" s="1"/>
  <c r="AD17" i="27" s="1"/>
  <c r="AE17" i="27" s="1"/>
  <c r="AF17" i="27" s="1"/>
  <c r="AG17" i="27" s="1"/>
  <c r="AH17" i="27" s="1"/>
  <c r="AI17" i="27" s="1"/>
  <c r="AJ17" i="27" s="1"/>
  <c r="AK17" i="27" s="1"/>
  <c r="AL17" i="27" s="1"/>
  <c r="AM17" i="27" s="1"/>
  <c r="AN17" i="27" s="1"/>
  <c r="AO17" i="27" s="1"/>
  <c r="AP17" i="27" s="1"/>
  <c r="AQ17" i="27" s="1"/>
  <c r="V16" i="27"/>
  <c r="W16" i="27" s="1"/>
  <c r="X16" i="27" s="1"/>
  <c r="Y16" i="27" s="1"/>
  <c r="Z16" i="27" s="1"/>
  <c r="AA16" i="27" s="1"/>
  <c r="AB16" i="27" s="1"/>
  <c r="AC16" i="27" s="1"/>
  <c r="AD16" i="27" s="1"/>
  <c r="AE16" i="27" s="1"/>
  <c r="AF16" i="27" s="1"/>
  <c r="AG16" i="27" s="1"/>
  <c r="AH16" i="27" s="1"/>
  <c r="AI16" i="27" s="1"/>
  <c r="AJ16" i="27" s="1"/>
  <c r="AK16" i="27" s="1"/>
  <c r="AL16" i="27" s="1"/>
  <c r="AM16" i="27" s="1"/>
  <c r="AN16" i="27" s="1"/>
  <c r="AO16" i="27" s="1"/>
  <c r="AP16" i="27" s="1"/>
  <c r="AQ16" i="27" s="1"/>
  <c r="J31" i="19" l="1"/>
  <c r="K31" i="19"/>
  <c r="L31" i="19"/>
  <c r="M31" i="19"/>
  <c r="N31" i="19"/>
  <c r="O31" i="19"/>
  <c r="P31" i="19"/>
  <c r="Q31" i="19"/>
  <c r="R31" i="19"/>
  <c r="S31" i="19"/>
  <c r="J28" i="19"/>
  <c r="K28" i="19"/>
  <c r="L28" i="19"/>
  <c r="M28" i="19"/>
  <c r="N28" i="19"/>
  <c r="O28" i="19"/>
  <c r="P28" i="19"/>
  <c r="Q28" i="19"/>
  <c r="R28" i="19"/>
  <c r="S28" i="19"/>
  <c r="J29" i="19"/>
  <c r="K29" i="19"/>
  <c r="L29" i="19"/>
  <c r="M29" i="19"/>
  <c r="N29" i="19"/>
  <c r="O29" i="19"/>
  <c r="P29" i="19"/>
  <c r="Q29" i="19"/>
  <c r="R29" i="19"/>
  <c r="S29" i="19"/>
  <c r="G174" i="19"/>
  <c r="H165" i="19" s="1"/>
  <c r="F105" i="12"/>
  <c r="J53" i="27"/>
  <c r="K53" i="27"/>
  <c r="L53" i="27"/>
  <c r="M53" i="27"/>
  <c r="N53" i="27"/>
  <c r="O53" i="27"/>
  <c r="P53" i="27"/>
  <c r="Q53" i="27"/>
  <c r="R53" i="27"/>
  <c r="S53" i="27"/>
  <c r="U53" i="27"/>
  <c r="H23" i="5"/>
  <c r="I23" i="5"/>
  <c r="J23" i="5"/>
  <c r="K23" i="5"/>
  <c r="L23" i="5"/>
  <c r="M23" i="5"/>
  <c r="N23" i="5"/>
  <c r="O23" i="5"/>
  <c r="P23" i="5"/>
  <c r="S23" i="5"/>
  <c r="T142" i="5"/>
  <c r="U142" i="5"/>
  <c r="V142" i="5"/>
  <c r="W142" i="5"/>
  <c r="X142" i="5"/>
  <c r="Y142" i="5"/>
  <c r="Z142" i="5"/>
  <c r="AA142" i="5"/>
  <c r="AB142" i="5"/>
  <c r="S144" i="5"/>
  <c r="T144" i="5"/>
  <c r="U144" i="5"/>
  <c r="V144" i="5"/>
  <c r="W144" i="5"/>
  <c r="X144" i="5"/>
  <c r="Y144" i="5"/>
  <c r="Z144" i="5"/>
  <c r="AA144" i="5"/>
  <c r="AB144" i="5"/>
  <c r="H189" i="19"/>
  <c r="H127" i="12"/>
  <c r="P58" i="6"/>
  <c r="Q58" i="6"/>
  <c r="R58" i="6"/>
  <c r="S58" i="6"/>
  <c r="T58" i="6"/>
  <c r="U58" i="6"/>
  <c r="V58" i="6"/>
  <c r="W58" i="6"/>
  <c r="X58" i="6"/>
  <c r="Y58" i="6"/>
  <c r="Z58" i="6"/>
  <c r="AA58" i="6"/>
  <c r="Q54" i="6"/>
  <c r="R54" i="6"/>
  <c r="S54" i="6"/>
  <c r="T54" i="6"/>
  <c r="U54" i="6"/>
  <c r="V54" i="6"/>
  <c r="W54" i="6"/>
  <c r="X54" i="6"/>
  <c r="Y54" i="6"/>
  <c r="Z54" i="6"/>
  <c r="AA54" i="6"/>
  <c r="Q55" i="6"/>
  <c r="R55" i="6"/>
  <c r="S55" i="6"/>
  <c r="T55" i="6"/>
  <c r="U55" i="6"/>
  <c r="V55" i="6"/>
  <c r="W55" i="6"/>
  <c r="X55" i="6"/>
  <c r="Y55" i="6"/>
  <c r="Z55" i="6"/>
  <c r="AA55" i="6"/>
  <c r="Q56" i="6"/>
  <c r="R56" i="6"/>
  <c r="S56" i="6"/>
  <c r="T56" i="6"/>
  <c r="U56" i="6"/>
  <c r="V56" i="6"/>
  <c r="W56" i="6"/>
  <c r="X56" i="6"/>
  <c r="Y56" i="6"/>
  <c r="Z56" i="6"/>
  <c r="AA56" i="6"/>
  <c r="D52" i="6"/>
  <c r="D63" i="6" s="1"/>
  <c r="E52" i="6"/>
  <c r="E63" i="6" s="1"/>
  <c r="F52" i="6"/>
  <c r="F63" i="6" s="1"/>
  <c r="G52" i="6"/>
  <c r="G63" i="6" s="1"/>
  <c r="H52" i="6"/>
  <c r="H63" i="6" s="1"/>
  <c r="I52" i="6"/>
  <c r="I63" i="6" s="1"/>
  <c r="J52" i="6"/>
  <c r="J63" i="6" s="1"/>
  <c r="K52" i="6"/>
  <c r="K63" i="6" s="1"/>
  <c r="L52" i="6"/>
  <c r="L63" i="6" s="1"/>
  <c r="M52" i="6"/>
  <c r="M63" i="6" s="1"/>
  <c r="N52" i="6"/>
  <c r="N63" i="6" s="1"/>
  <c r="O52" i="6"/>
  <c r="O63" i="6" s="1"/>
  <c r="J37" i="6"/>
  <c r="K37" i="6"/>
  <c r="L37" i="6"/>
  <c r="M37" i="6"/>
  <c r="N37" i="6"/>
  <c r="O37" i="6"/>
  <c r="P37" i="6"/>
  <c r="Q37" i="6"/>
  <c r="R37" i="6"/>
  <c r="S37" i="6"/>
  <c r="S49" i="6" s="1"/>
  <c r="T37" i="6"/>
  <c r="T49" i="6" s="1"/>
  <c r="U37" i="6"/>
  <c r="U49" i="6" s="1"/>
  <c r="V37" i="6"/>
  <c r="V49" i="6" s="1"/>
  <c r="W37" i="6"/>
  <c r="W49" i="6" s="1"/>
  <c r="X37" i="6"/>
  <c r="X49" i="6" s="1"/>
  <c r="Y37" i="6"/>
  <c r="Y49" i="6" s="1"/>
  <c r="Z37" i="6"/>
  <c r="Z49" i="6" s="1"/>
  <c r="AA37" i="6"/>
  <c r="D44" i="6"/>
  <c r="E44" i="6"/>
  <c r="F44" i="6"/>
  <c r="G44" i="6"/>
  <c r="H44" i="6"/>
  <c r="I44" i="6"/>
  <c r="J44" i="6"/>
  <c r="K44" i="6"/>
  <c r="L44" i="6"/>
  <c r="M44" i="6"/>
  <c r="N44" i="6"/>
  <c r="O44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E14" i="6"/>
  <c r="D14" i="6"/>
  <c r="D13" i="6"/>
  <c r="S17" i="6"/>
  <c r="S31" i="6" s="1"/>
  <c r="S32" i="6" s="1"/>
  <c r="T17" i="6"/>
  <c r="T31" i="6" s="1"/>
  <c r="T32" i="6" s="1"/>
  <c r="U17" i="6"/>
  <c r="U31" i="6" s="1"/>
  <c r="U32" i="6" s="1"/>
  <c r="V17" i="6"/>
  <c r="V31" i="6" s="1"/>
  <c r="V32" i="6" s="1"/>
  <c r="W17" i="6"/>
  <c r="W31" i="6" s="1"/>
  <c r="W32" i="6" s="1"/>
  <c r="X17" i="6"/>
  <c r="X31" i="6" s="1"/>
  <c r="X32" i="6" s="1"/>
  <c r="Y17" i="6"/>
  <c r="Y31" i="6" s="1"/>
  <c r="Y32" i="6" s="1"/>
  <c r="Z17" i="6"/>
  <c r="Z31" i="6" s="1"/>
  <c r="Z32" i="6" s="1"/>
  <c r="AA17" i="6"/>
  <c r="AA31" i="6" s="1"/>
  <c r="AA32" i="6" s="1"/>
  <c r="AA42" i="6"/>
  <c r="S5" i="6"/>
  <c r="T5" i="6" s="1"/>
  <c r="U5" i="6" s="1"/>
  <c r="V5" i="6" s="1"/>
  <c r="W5" i="6" s="1"/>
  <c r="X5" i="6" s="1"/>
  <c r="Y5" i="6" s="1"/>
  <c r="Z5" i="6" s="1"/>
  <c r="AA5" i="6" s="1"/>
  <c r="AA6" i="6" s="1"/>
  <c r="R42" i="6"/>
  <c r="R17" i="6"/>
  <c r="R7" i="6"/>
  <c r="R6" i="6"/>
  <c r="T78" i="3"/>
  <c r="U78" i="3"/>
  <c r="V78" i="3"/>
  <c r="W78" i="3"/>
  <c r="X78" i="3"/>
  <c r="Y78" i="3"/>
  <c r="Z78" i="3"/>
  <c r="AA78" i="3"/>
  <c r="AB7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S69" i="3" s="1"/>
  <c r="T68" i="3"/>
  <c r="U68" i="3"/>
  <c r="V68" i="3"/>
  <c r="W68" i="3"/>
  <c r="X68" i="3"/>
  <c r="Y68" i="3"/>
  <c r="Z68" i="3"/>
  <c r="AA68" i="3"/>
  <c r="AB68" i="3"/>
  <c r="E68" i="3"/>
  <c r="T5" i="3"/>
  <c r="U5" i="3" s="1"/>
  <c r="V5" i="3" s="1"/>
  <c r="W5" i="3" s="1"/>
  <c r="X5" i="3" s="1"/>
  <c r="Y5" i="3" s="1"/>
  <c r="Z5" i="3" s="1"/>
  <c r="AA5" i="3" s="1"/>
  <c r="AB5" i="3" s="1"/>
  <c r="S93" i="3"/>
  <c r="S89" i="3"/>
  <c r="S73" i="3"/>
  <c r="S78" i="3" s="1"/>
  <c r="S50" i="3"/>
  <c r="S58" i="3" s="1"/>
  <c r="S43" i="3"/>
  <c r="S33" i="3"/>
  <c r="S35" i="3" s="1"/>
  <c r="S21" i="3"/>
  <c r="S59" i="6" l="1"/>
  <c r="S60" i="6" s="1"/>
  <c r="R59" i="6"/>
  <c r="Q59" i="6"/>
  <c r="Y59" i="6"/>
  <c r="Y60" i="6" s="1"/>
  <c r="X59" i="6"/>
  <c r="X60" i="6" s="1"/>
  <c r="W59" i="6"/>
  <c r="W60" i="6" s="1"/>
  <c r="V59" i="6"/>
  <c r="V60" i="6" s="1"/>
  <c r="U59" i="6"/>
  <c r="U60" i="6" s="1"/>
  <c r="T59" i="6"/>
  <c r="T60" i="6" s="1"/>
  <c r="AA59" i="6"/>
  <c r="Z59" i="6"/>
  <c r="Z60" i="6" s="1"/>
  <c r="R49" i="6"/>
  <c r="F97" i="12"/>
  <c r="AA49" i="6"/>
  <c r="AA60" i="6" s="1"/>
  <c r="R31" i="6"/>
  <c r="R32" i="6" s="1"/>
  <c r="AA7" i="6"/>
  <c r="Z7" i="6"/>
  <c r="X7" i="6"/>
  <c r="V7" i="6"/>
  <c r="T6" i="6"/>
  <c r="Y7" i="6"/>
  <c r="W7" i="6"/>
  <c r="U7" i="6"/>
  <c r="T7" i="6"/>
  <c r="S7" i="6"/>
  <c r="Z6" i="6"/>
  <c r="Y6" i="6"/>
  <c r="X6" i="6"/>
  <c r="W6" i="6"/>
  <c r="V6" i="6"/>
  <c r="U6" i="6"/>
  <c r="S6" i="6"/>
  <c r="S79" i="3"/>
  <c r="S85" i="3" s="1"/>
  <c r="S36" i="3"/>
  <c r="S59" i="3" s="1"/>
  <c r="S101" i="3"/>
  <c r="R60" i="6" l="1"/>
  <c r="S102" i="3"/>
  <c r="T8" i="5" l="1"/>
  <c r="U8" i="5"/>
  <c r="V8" i="5"/>
  <c r="W8" i="5"/>
  <c r="X8" i="5"/>
  <c r="Y8" i="5"/>
  <c r="Z8" i="5"/>
  <c r="AA8" i="5"/>
  <c r="AB8" i="5"/>
  <c r="T9" i="5"/>
  <c r="U9" i="5"/>
  <c r="U10" i="5" s="1"/>
  <c r="V9" i="5"/>
  <c r="V10" i="5" s="1"/>
  <c r="W9" i="5"/>
  <c r="X9" i="5"/>
  <c r="Y9" i="5"/>
  <c r="Z9" i="5"/>
  <c r="AA9" i="5"/>
  <c r="AB9" i="5"/>
  <c r="T82" i="5"/>
  <c r="U82" i="5"/>
  <c r="V82" i="5"/>
  <c r="W82" i="5"/>
  <c r="X82" i="5"/>
  <c r="Y82" i="5"/>
  <c r="Z82" i="5"/>
  <c r="AA82" i="5"/>
  <c r="AB82" i="5"/>
  <c r="T88" i="5"/>
  <c r="U88" i="5"/>
  <c r="V88" i="5"/>
  <c r="W88" i="5"/>
  <c r="X88" i="5"/>
  <c r="Y88" i="5"/>
  <c r="Z88" i="5"/>
  <c r="AA88" i="5"/>
  <c r="AB88" i="5"/>
  <c r="T89" i="5"/>
  <c r="U89" i="5"/>
  <c r="V89" i="5"/>
  <c r="W89" i="5"/>
  <c r="X89" i="5"/>
  <c r="Y89" i="5"/>
  <c r="Z89" i="5"/>
  <c r="AA89" i="5"/>
  <c r="AB89" i="5"/>
  <c r="T90" i="5"/>
  <c r="U90" i="5"/>
  <c r="V90" i="5"/>
  <c r="W90" i="5"/>
  <c r="X90" i="5"/>
  <c r="Y90" i="5"/>
  <c r="Z90" i="5"/>
  <c r="AA90" i="5"/>
  <c r="AB90" i="5"/>
  <c r="T91" i="5"/>
  <c r="U91" i="5"/>
  <c r="V91" i="5"/>
  <c r="W91" i="5"/>
  <c r="X91" i="5"/>
  <c r="Y91" i="5"/>
  <c r="Z91" i="5"/>
  <c r="AA91" i="5"/>
  <c r="AB91" i="5"/>
  <c r="T92" i="5"/>
  <c r="U92" i="5"/>
  <c r="V92" i="5"/>
  <c r="W92" i="5"/>
  <c r="X92" i="5"/>
  <c r="Y92" i="5"/>
  <c r="Z92" i="5"/>
  <c r="AA92" i="5"/>
  <c r="AB92" i="5"/>
  <c r="T103" i="5"/>
  <c r="U103" i="5"/>
  <c r="V103" i="5"/>
  <c r="W103" i="5"/>
  <c r="X103" i="5"/>
  <c r="Y103" i="5"/>
  <c r="Z103" i="5"/>
  <c r="AA103" i="5"/>
  <c r="AB103" i="5"/>
  <c r="W10" i="5" l="1"/>
  <c r="T10" i="5"/>
  <c r="AB10" i="5"/>
  <c r="AA10" i="5"/>
  <c r="Z10" i="5"/>
  <c r="Y10" i="5"/>
  <c r="X10" i="5"/>
  <c r="T56" i="5" l="1"/>
  <c r="U56" i="5"/>
  <c r="V56" i="5"/>
  <c r="W56" i="5"/>
  <c r="X56" i="5"/>
  <c r="Y56" i="5"/>
  <c r="Z56" i="5"/>
  <c r="AA56" i="5"/>
  <c r="AB56" i="5"/>
  <c r="T94" i="5"/>
  <c r="U94" i="5"/>
  <c r="V94" i="5"/>
  <c r="W94" i="5"/>
  <c r="X94" i="5"/>
  <c r="Y94" i="5"/>
  <c r="Z94" i="5"/>
  <c r="AA94" i="5"/>
  <c r="AB94" i="5"/>
  <c r="T95" i="5"/>
  <c r="U95" i="5"/>
  <c r="V95" i="5"/>
  <c r="W95" i="5"/>
  <c r="X95" i="5"/>
  <c r="Y95" i="5"/>
  <c r="Z95" i="5"/>
  <c r="AA95" i="5"/>
  <c r="AB95" i="5"/>
  <c r="T96" i="5"/>
  <c r="U96" i="5"/>
  <c r="V96" i="5"/>
  <c r="W96" i="5"/>
  <c r="X96" i="5"/>
  <c r="Y96" i="5"/>
  <c r="Z96" i="5"/>
  <c r="AA96" i="5"/>
  <c r="AB96" i="5"/>
  <c r="T97" i="5"/>
  <c r="U97" i="5"/>
  <c r="V97" i="5"/>
  <c r="W97" i="5"/>
  <c r="X97" i="5"/>
  <c r="Y97" i="5"/>
  <c r="Z97" i="5"/>
  <c r="AA97" i="5"/>
  <c r="AB97" i="5"/>
  <c r="T98" i="5"/>
  <c r="U98" i="5"/>
  <c r="V98" i="5"/>
  <c r="W98" i="5"/>
  <c r="X98" i="5"/>
  <c r="Y98" i="5"/>
  <c r="Z98" i="5"/>
  <c r="AA98" i="5"/>
  <c r="AB98" i="5"/>
  <c r="T99" i="5"/>
  <c r="U99" i="5"/>
  <c r="V99" i="5"/>
  <c r="W99" i="5"/>
  <c r="X99" i="5"/>
  <c r="Y99" i="5"/>
  <c r="Z99" i="5"/>
  <c r="AA99" i="5"/>
  <c r="AB99" i="5"/>
  <c r="T100" i="5"/>
  <c r="T143" i="5" s="1"/>
  <c r="U100" i="5"/>
  <c r="U143" i="5" s="1"/>
  <c r="V100" i="5"/>
  <c r="V143" i="5" s="1"/>
  <c r="W100" i="5"/>
  <c r="W143" i="5" s="1"/>
  <c r="X100" i="5"/>
  <c r="X143" i="5" s="1"/>
  <c r="Y100" i="5"/>
  <c r="Y143" i="5" s="1"/>
  <c r="Z100" i="5"/>
  <c r="Z143" i="5" s="1"/>
  <c r="AA100" i="5"/>
  <c r="AA143" i="5" s="1"/>
  <c r="AB100" i="5"/>
  <c r="AB143" i="5" s="1"/>
  <c r="T69" i="5" l="1"/>
  <c r="U69" i="5"/>
  <c r="V69" i="5"/>
  <c r="W69" i="5"/>
  <c r="X69" i="5"/>
  <c r="Y69" i="5"/>
  <c r="Z69" i="5"/>
  <c r="AA69" i="5"/>
  <c r="AB69" i="5"/>
  <c r="Q69" i="5"/>
  <c r="R69" i="5"/>
  <c r="S69" i="5"/>
  <c r="R68" i="5"/>
  <c r="Q62" i="5"/>
  <c r="R62" i="5"/>
  <c r="S62" i="5"/>
  <c r="R61" i="5"/>
  <c r="Y5" i="5"/>
  <c r="T6" i="5"/>
  <c r="U6" i="5"/>
  <c r="V6" i="5"/>
  <c r="W6" i="5"/>
  <c r="X6" i="5"/>
  <c r="T7" i="5"/>
  <c r="U7" i="5"/>
  <c r="V7" i="5"/>
  <c r="W7" i="5"/>
  <c r="X7" i="5"/>
  <c r="T52" i="27"/>
  <c r="F52" i="27" s="1"/>
  <c r="T51" i="27"/>
  <c r="F51" i="27" s="1"/>
  <c r="T50" i="27"/>
  <c r="F50" i="27" s="1"/>
  <c r="T49" i="27"/>
  <c r="F49" i="27" s="1"/>
  <c r="T48" i="27"/>
  <c r="F48" i="27" s="1"/>
  <c r="T44" i="27"/>
  <c r="T43" i="27"/>
  <c r="T42" i="27"/>
  <c r="F45" i="27"/>
  <c r="F46" i="27"/>
  <c r="F47" i="27"/>
  <c r="I25" i="27"/>
  <c r="J25" i="27"/>
  <c r="K25" i="27"/>
  <c r="L25" i="27"/>
  <c r="M25" i="27"/>
  <c r="N25" i="27"/>
  <c r="O25" i="27"/>
  <c r="P25" i="27"/>
  <c r="Q25" i="27"/>
  <c r="R25" i="27"/>
  <c r="S25" i="27"/>
  <c r="T25" i="27"/>
  <c r="U25" i="27"/>
  <c r="H25" i="27"/>
  <c r="T29" i="27"/>
  <c r="F29" i="27" s="1"/>
  <c r="I37" i="27"/>
  <c r="J37" i="27"/>
  <c r="K37" i="27"/>
  <c r="L37" i="27"/>
  <c r="M37" i="27"/>
  <c r="N37" i="27"/>
  <c r="O37" i="27"/>
  <c r="P37" i="27"/>
  <c r="Q37" i="27"/>
  <c r="R37" i="27"/>
  <c r="S37" i="27"/>
  <c r="T37" i="27"/>
  <c r="U37" i="27"/>
  <c r="H37" i="27"/>
  <c r="I30" i="27"/>
  <c r="J30" i="27"/>
  <c r="K30" i="27"/>
  <c r="L30" i="27"/>
  <c r="M30" i="27"/>
  <c r="N30" i="27"/>
  <c r="O30" i="27"/>
  <c r="P30" i="27"/>
  <c r="Q30" i="27"/>
  <c r="R30" i="27"/>
  <c r="S30" i="27"/>
  <c r="U30" i="27"/>
  <c r="H30" i="27"/>
  <c r="F21" i="27"/>
  <c r="F22" i="27"/>
  <c r="F23" i="27"/>
  <c r="T12" i="27"/>
  <c r="U12" i="27" l="1"/>
  <c r="J39" i="27"/>
  <c r="J55" i="27" s="1"/>
  <c r="I39" i="27"/>
  <c r="I55" i="27" s="1"/>
  <c r="I65" i="27" s="1"/>
  <c r="T53" i="27"/>
  <c r="Y6" i="5"/>
  <c r="Y7" i="5"/>
  <c r="Z5" i="5"/>
  <c r="U39" i="27"/>
  <c r="U55" i="27" s="1"/>
  <c r="S39" i="27"/>
  <c r="S55" i="27" s="1"/>
  <c r="H39" i="27"/>
  <c r="H55" i="27" s="1"/>
  <c r="H65" i="27" s="1"/>
  <c r="R39" i="27"/>
  <c r="R55" i="27" s="1"/>
  <c r="Q39" i="27"/>
  <c r="Q55" i="27" s="1"/>
  <c r="P39" i="27"/>
  <c r="P55" i="27" s="1"/>
  <c r="O39" i="27"/>
  <c r="O55" i="27" s="1"/>
  <c r="N39" i="27"/>
  <c r="N55" i="27" s="1"/>
  <c r="M39" i="27"/>
  <c r="M55" i="27" s="1"/>
  <c r="L39" i="27"/>
  <c r="L55" i="27" s="1"/>
  <c r="K39" i="27"/>
  <c r="K55" i="27" s="1"/>
  <c r="T30" i="27"/>
  <c r="T39" i="27" s="1"/>
  <c r="T55" i="27" l="1"/>
  <c r="AA5" i="5"/>
  <c r="Z6" i="5"/>
  <c r="Z7" i="5"/>
  <c r="E7" i="28"/>
  <c r="F7" i="28" s="1"/>
  <c r="G7" i="28" s="1"/>
  <c r="H7" i="28" s="1"/>
  <c r="I7" i="28" s="1"/>
  <c r="J7" i="28" s="1"/>
  <c r="K7" i="28" s="1"/>
  <c r="L7" i="28" s="1"/>
  <c r="M7" i="28" s="1"/>
  <c r="N7" i="28" s="1"/>
  <c r="AB5" i="5" l="1"/>
  <c r="AA6" i="5"/>
  <c r="AA7" i="5"/>
  <c r="B13" i="26"/>
  <c r="AB6" i="5" l="1"/>
  <c r="AB7" i="5"/>
  <c r="T63" i="27"/>
  <c r="T65" i="27" s="1"/>
  <c r="U63" i="27"/>
  <c r="U65" i="27" s="1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G5" i="27"/>
  <c r="H5" i="27" s="1"/>
  <c r="I5" i="27" s="1"/>
  <c r="F43" i="27"/>
  <c r="F24" i="27"/>
  <c r="F20" i="27"/>
  <c r="I6" i="27" l="1"/>
  <c r="I7" i="27"/>
  <c r="J5" i="27"/>
  <c r="H7" i="27"/>
  <c r="H6" i="27"/>
  <c r="J6" i="27" l="1"/>
  <c r="J7" i="27"/>
  <c r="K5" i="27"/>
  <c r="K7" i="27" l="1"/>
  <c r="L5" i="27"/>
  <c r="K6" i="27"/>
  <c r="L7" i="27" l="1"/>
  <c r="L6" i="27"/>
  <c r="M5" i="27"/>
  <c r="N5" i="27" l="1"/>
  <c r="O5" i="27" s="1"/>
  <c r="M6" i="27"/>
  <c r="M7" i="27"/>
  <c r="F44" i="27"/>
  <c r="P5" i="27" l="1"/>
  <c r="O6" i="27"/>
  <c r="O7" i="27"/>
  <c r="N6" i="27"/>
  <c r="N7" i="27"/>
  <c r="P7" i="27" l="1"/>
  <c r="P6" i="27"/>
  <c r="Q5" i="27"/>
  <c r="R5" i="27" l="1"/>
  <c r="Q6" i="27"/>
  <c r="Q7" i="27"/>
  <c r="R7" i="27" l="1"/>
  <c r="S5" i="27"/>
  <c r="R6" i="27"/>
  <c r="T5" i="27" l="1"/>
  <c r="S6" i="27"/>
  <c r="S7" i="27"/>
  <c r="U5" i="27" l="1"/>
  <c r="T7" i="27"/>
  <c r="T6" i="27"/>
  <c r="U6" i="27" l="1"/>
  <c r="U7" i="27"/>
  <c r="V5" i="27"/>
  <c r="V7" i="27" l="1"/>
  <c r="W5" i="27"/>
  <c r="V6" i="27"/>
  <c r="V53" i="27" l="1"/>
  <c r="V36" i="27"/>
  <c r="V35" i="27"/>
  <c r="V34" i="27"/>
  <c r="V33" i="27"/>
  <c r="V32" i="27"/>
  <c r="V28" i="27"/>
  <c r="V27" i="27"/>
  <c r="V25" i="27"/>
  <c r="W6" i="27"/>
  <c r="W7" i="27"/>
  <c r="X5" i="27"/>
  <c r="W25" i="27" l="1"/>
  <c r="V30" i="27"/>
  <c r="W27" i="27"/>
  <c r="W28" i="27"/>
  <c r="W32" i="27"/>
  <c r="V37" i="27"/>
  <c r="W33" i="27"/>
  <c r="W34" i="27"/>
  <c r="W35" i="27"/>
  <c r="W36" i="27"/>
  <c r="W53" i="27"/>
  <c r="X7" i="27"/>
  <c r="X6" i="27"/>
  <c r="Y5" i="27"/>
  <c r="V39" i="27" l="1"/>
  <c r="V55" i="27" s="1"/>
  <c r="V65" i="27" s="1"/>
  <c r="X53" i="27"/>
  <c r="X36" i="27"/>
  <c r="X35" i="27"/>
  <c r="X34" i="27"/>
  <c r="X33" i="27"/>
  <c r="X32" i="27"/>
  <c r="W37" i="27"/>
  <c r="X28" i="27"/>
  <c r="X27" i="27"/>
  <c r="W30" i="27"/>
  <c r="W39" i="27" s="1"/>
  <c r="W55" i="27" s="1"/>
  <c r="W65" i="27" s="1"/>
  <c r="X25" i="27"/>
  <c r="Z5" i="27"/>
  <c r="Y7" i="27"/>
  <c r="Y6" i="27"/>
  <c r="Y25" i="27" l="1"/>
  <c r="X30" i="27"/>
  <c r="Y27" i="27"/>
  <c r="Y28" i="27"/>
  <c r="Y32" i="27"/>
  <c r="X37" i="27"/>
  <c r="Y33" i="27"/>
  <c r="Y34" i="27"/>
  <c r="Y35" i="27"/>
  <c r="Y36" i="27"/>
  <c r="Y53" i="27"/>
  <c r="AA5" i="27"/>
  <c r="Z6" i="27"/>
  <c r="Z7" i="27"/>
  <c r="X39" i="27" l="1"/>
  <c r="X55" i="27" s="1"/>
  <c r="X65" i="27" s="1"/>
  <c r="Z53" i="27"/>
  <c r="Z36" i="27"/>
  <c r="Z35" i="27"/>
  <c r="Z34" i="27"/>
  <c r="Z33" i="27"/>
  <c r="Z32" i="27"/>
  <c r="Y37" i="27"/>
  <c r="Z28" i="27"/>
  <c r="Z27" i="27"/>
  <c r="Y30" i="27"/>
  <c r="Y39" i="27" s="1"/>
  <c r="Y55" i="27" s="1"/>
  <c r="Y65" i="27" s="1"/>
  <c r="Z25" i="27"/>
  <c r="AA6" i="27"/>
  <c r="AB5" i="27"/>
  <c r="AA7" i="27"/>
  <c r="AA25" i="27" l="1"/>
  <c r="AA27" i="27"/>
  <c r="Z30" i="27"/>
  <c r="AA28" i="27"/>
  <c r="AA32" i="27"/>
  <c r="Z37" i="27"/>
  <c r="AA33" i="27"/>
  <c r="AA34" i="27"/>
  <c r="AA35" i="27"/>
  <c r="AA36" i="27"/>
  <c r="AA53" i="27"/>
  <c r="AC5" i="27"/>
  <c r="AB7" i="27"/>
  <c r="AB6" i="27"/>
  <c r="Z39" i="27" l="1"/>
  <c r="Z55" i="27" s="1"/>
  <c r="Z65" i="27" s="1"/>
  <c r="AB53" i="27"/>
  <c r="AB36" i="27"/>
  <c r="AB35" i="27"/>
  <c r="AB34" i="27"/>
  <c r="AB33" i="27"/>
  <c r="AB32" i="27"/>
  <c r="AA37" i="27"/>
  <c r="AB28" i="27"/>
  <c r="AB27" i="27"/>
  <c r="AA30" i="27"/>
  <c r="AA39" i="27" s="1"/>
  <c r="AA55" i="27" s="1"/>
  <c r="AA65" i="27" s="1"/>
  <c r="AB25" i="27"/>
  <c r="AC7" i="27"/>
  <c r="AC6" i="27"/>
  <c r="AD5" i="27"/>
  <c r="AC25" i="27" l="1"/>
  <c r="AC27" i="27"/>
  <c r="AB30" i="27"/>
  <c r="AC28" i="27"/>
  <c r="AC32" i="27"/>
  <c r="AB37" i="27"/>
  <c r="AC33" i="27"/>
  <c r="AC34" i="27"/>
  <c r="AC35" i="27"/>
  <c r="AC36" i="27"/>
  <c r="AC53" i="27"/>
  <c r="AE5" i="27"/>
  <c r="AD6" i="27"/>
  <c r="AD7" i="27"/>
  <c r="AB39" i="27" l="1"/>
  <c r="AB55" i="27" s="1"/>
  <c r="AB65" i="27" s="1"/>
  <c r="AD53" i="27"/>
  <c r="AD36" i="27"/>
  <c r="AD35" i="27"/>
  <c r="AD34" i="27"/>
  <c r="AD33" i="27"/>
  <c r="AD32" i="27"/>
  <c r="AC37" i="27"/>
  <c r="AD28" i="27"/>
  <c r="AD27" i="27"/>
  <c r="AC30" i="27"/>
  <c r="AC39" i="27" s="1"/>
  <c r="AC55" i="27" s="1"/>
  <c r="AC65" i="27" s="1"/>
  <c r="AD25" i="27"/>
  <c r="AE7" i="27"/>
  <c r="AE6" i="27"/>
  <c r="AF5" i="27"/>
  <c r="AE25" i="27" l="1"/>
  <c r="AD30" i="27"/>
  <c r="AE27" i="27"/>
  <c r="AE28" i="27"/>
  <c r="AE32" i="27"/>
  <c r="AD37" i="27"/>
  <c r="AE33" i="27"/>
  <c r="AE34" i="27"/>
  <c r="AE35" i="27"/>
  <c r="AE36" i="27"/>
  <c r="AE53" i="27"/>
  <c r="AF7" i="27"/>
  <c r="AF6" i="27"/>
  <c r="AG5" i="27"/>
  <c r="AD39" i="27" l="1"/>
  <c r="AD55" i="27" s="1"/>
  <c r="AD65" i="27" s="1"/>
  <c r="AF53" i="27"/>
  <c r="AF36" i="27"/>
  <c r="AF35" i="27"/>
  <c r="AF34" i="27"/>
  <c r="AF33" i="27"/>
  <c r="AF32" i="27"/>
  <c r="AE37" i="27"/>
  <c r="AF28" i="27"/>
  <c r="AE30" i="27"/>
  <c r="AF27" i="27"/>
  <c r="AF25" i="27"/>
  <c r="AH5" i="27"/>
  <c r="AG6" i="27"/>
  <c r="AG7" i="27"/>
  <c r="AE39" i="27" l="1"/>
  <c r="AE55" i="27" s="1"/>
  <c r="AE65" i="27" s="1"/>
  <c r="AG25" i="27"/>
  <c r="AF30" i="27"/>
  <c r="AG27" i="27"/>
  <c r="AG28" i="27"/>
  <c r="AF37" i="27"/>
  <c r="AG32" i="27"/>
  <c r="AG33" i="27"/>
  <c r="AG34" i="27"/>
  <c r="AG35" i="27"/>
  <c r="AG36" i="27"/>
  <c r="AG53" i="27"/>
  <c r="AI5" i="27"/>
  <c r="AH6" i="27"/>
  <c r="AH7" i="27"/>
  <c r="AF39" i="27" l="1"/>
  <c r="AF55" i="27" s="1"/>
  <c r="AF65" i="27" s="1"/>
  <c r="AH53" i="27"/>
  <c r="AH36" i="27"/>
  <c r="AH35" i="27"/>
  <c r="AH34" i="27"/>
  <c r="AH33" i="27"/>
  <c r="AG37" i="27"/>
  <c r="AH32" i="27"/>
  <c r="AH28" i="27"/>
  <c r="AG30" i="27"/>
  <c r="AG39" i="27" s="1"/>
  <c r="AG55" i="27" s="1"/>
  <c r="AG65" i="27" s="1"/>
  <c r="AH27" i="27"/>
  <c r="AH30" i="27" s="1"/>
  <c r="AH25" i="27"/>
  <c r="AJ5" i="27"/>
  <c r="AI7" i="27"/>
  <c r="AI6" i="27"/>
  <c r="AH37" i="27" l="1"/>
  <c r="AH39" i="27" s="1"/>
  <c r="AH55" i="27" s="1"/>
  <c r="AH65" i="27" s="1"/>
  <c r="AI25" i="27"/>
  <c r="AI53" i="27"/>
  <c r="AI28" i="27"/>
  <c r="AI33" i="27"/>
  <c r="AI32" i="27"/>
  <c r="AI34" i="27"/>
  <c r="AI36" i="27"/>
  <c r="AI35" i="27"/>
  <c r="AI27" i="27"/>
  <c r="AK5" i="27"/>
  <c r="AJ7" i="27"/>
  <c r="AJ6" i="27"/>
  <c r="AI30" i="27" l="1"/>
  <c r="AJ53" i="27"/>
  <c r="AJ25" i="27"/>
  <c r="AI37" i="27"/>
  <c r="AI39" i="27"/>
  <c r="AJ34" i="27"/>
  <c r="AI63" i="27"/>
  <c r="AJ32" i="27"/>
  <c r="AJ33" i="27"/>
  <c r="AJ27" i="27"/>
  <c r="AJ35" i="27"/>
  <c r="AJ28" i="27"/>
  <c r="AK7" i="27"/>
  <c r="AK6" i="27"/>
  <c r="AL5" i="27"/>
  <c r="AJ36" i="27"/>
  <c r="AK25" i="27" l="1"/>
  <c r="AK53" i="27"/>
  <c r="AI55" i="27"/>
  <c r="AI65" i="27" s="1"/>
  <c r="AJ37" i="27"/>
  <c r="AJ30" i="27"/>
  <c r="AJ39" i="27" s="1"/>
  <c r="AJ63" i="27"/>
  <c r="AK28" i="27"/>
  <c r="AK36" i="27"/>
  <c r="AL6" i="27"/>
  <c r="AM5" i="27"/>
  <c r="AL7" i="27"/>
  <c r="AK35" i="27"/>
  <c r="AK27" i="27"/>
  <c r="AK33" i="27"/>
  <c r="AK32" i="27"/>
  <c r="AK34" i="27"/>
  <c r="AL53" i="27" l="1"/>
  <c r="AL25" i="27"/>
  <c r="AJ55" i="27"/>
  <c r="AJ65" i="27" s="1"/>
  <c r="AK30" i="27"/>
  <c r="AK37" i="27"/>
  <c r="AK63" i="27"/>
  <c r="AL36" i="27"/>
  <c r="AL33" i="27"/>
  <c r="AL34" i="27"/>
  <c r="AL32" i="27"/>
  <c r="AM7" i="27"/>
  <c r="AN5" i="27"/>
  <c r="AM6" i="27"/>
  <c r="AL35" i="27"/>
  <c r="AL27" i="27"/>
  <c r="AL28" i="27"/>
  <c r="AK39" i="27" l="1"/>
  <c r="AK55" i="27" s="1"/>
  <c r="AK65" i="27" s="1"/>
  <c r="AM25" i="27"/>
  <c r="AM53" i="27"/>
  <c r="AL30" i="27"/>
  <c r="AL37" i="27"/>
  <c r="AL63" i="27"/>
  <c r="AM35" i="27"/>
  <c r="AM33" i="27"/>
  <c r="AN6" i="27"/>
  <c r="AO5" i="27"/>
  <c r="AN7" i="27"/>
  <c r="AM27" i="27"/>
  <c r="AM34" i="27"/>
  <c r="AM32" i="27"/>
  <c r="AM63" i="27"/>
  <c r="AM28" i="27"/>
  <c r="AM36" i="27"/>
  <c r="AN53" i="27" l="1"/>
  <c r="AN25" i="27"/>
  <c r="AL39" i="27"/>
  <c r="AL55" i="27" s="1"/>
  <c r="AL65" i="27" s="1"/>
  <c r="AM37" i="27"/>
  <c r="AM30" i="27"/>
  <c r="AM39" i="27" s="1"/>
  <c r="AN35" i="27"/>
  <c r="AN34" i="27"/>
  <c r="AN32" i="27"/>
  <c r="AN28" i="27"/>
  <c r="AN36" i="27"/>
  <c r="AN33" i="27"/>
  <c r="AN27" i="27"/>
  <c r="AO7" i="27"/>
  <c r="AP5" i="27"/>
  <c r="AO6" i="27"/>
  <c r="AN30" i="27" l="1"/>
  <c r="AO25" i="27"/>
  <c r="AO53" i="27"/>
  <c r="AM55" i="27"/>
  <c r="AM65" i="27" s="1"/>
  <c r="AO35" i="27"/>
  <c r="AN37" i="27"/>
  <c r="AN63" i="27"/>
  <c r="AO28" i="27"/>
  <c r="AO36" i="27"/>
  <c r="AO34" i="27"/>
  <c r="AO33" i="27"/>
  <c r="AP7" i="27"/>
  <c r="AP6" i="27"/>
  <c r="AQ5" i="27"/>
  <c r="AO27" i="27"/>
  <c r="AO30" i="27" s="1"/>
  <c r="AO32" i="27"/>
  <c r="AN39" i="27" l="1"/>
  <c r="AP53" i="27"/>
  <c r="AP25" i="27"/>
  <c r="AN55" i="27"/>
  <c r="AN65" i="27" s="1"/>
  <c r="AP35" i="27"/>
  <c r="AO37" i="27"/>
  <c r="AO39" i="27" s="1"/>
  <c r="AO63" i="27"/>
  <c r="AP33" i="27"/>
  <c r="AP34" i="27"/>
  <c r="AP32" i="27"/>
  <c r="AP28" i="27"/>
  <c r="AP27" i="27"/>
  <c r="AQ6" i="27"/>
  <c r="AQ7" i="27"/>
  <c r="AP36" i="27"/>
  <c r="AP30" i="27" l="1"/>
  <c r="AQ25" i="27"/>
  <c r="AQ53" i="27"/>
  <c r="AQ35" i="27"/>
  <c r="AO55" i="27"/>
  <c r="AO65" i="27" s="1"/>
  <c r="AP37" i="27"/>
  <c r="AP63" i="27"/>
  <c r="AQ28" i="27"/>
  <c r="F13" i="27"/>
  <c r="AQ33" i="27"/>
  <c r="AQ32" i="27"/>
  <c r="AQ36" i="27"/>
  <c r="AQ27" i="27"/>
  <c r="AQ34" i="27"/>
  <c r="AP39" i="27" l="1"/>
  <c r="AQ30" i="27"/>
  <c r="AP55" i="27"/>
  <c r="AP65" i="27" s="1"/>
  <c r="AQ37" i="27"/>
  <c r="AQ39" i="27"/>
  <c r="AQ63" i="27"/>
  <c r="AQ55" i="27" l="1"/>
  <c r="AQ65" i="27" s="1"/>
  <c r="F60" i="27" l="1"/>
  <c r="F62" i="27"/>
  <c r="F59" i="27"/>
  <c r="F61" i="27"/>
  <c r="F19" i="27" l="1"/>
  <c r="F58" i="27"/>
  <c r="F63" i="27"/>
  <c r="F42" i="27"/>
  <c r="B17" i="26" l="1"/>
  <c r="B16" i="26"/>
  <c r="B15" i="26"/>
  <c r="M94" i="19"/>
  <c r="N94" i="19"/>
  <c r="O94" i="19"/>
  <c r="P94" i="19"/>
  <c r="Q94" i="19"/>
  <c r="R94" i="19"/>
  <c r="S94" i="19"/>
  <c r="B14" i="26"/>
  <c r="B12" i="26"/>
  <c r="B11" i="26"/>
  <c r="B10" i="26"/>
  <c r="D10" i="25"/>
  <c r="D9" i="25"/>
  <c r="H91" i="19" l="1"/>
  <c r="E90" i="19"/>
  <c r="E92" i="19"/>
  <c r="E93" i="19"/>
  <c r="M27" i="19"/>
  <c r="H25" i="28" s="1"/>
  <c r="N27" i="19"/>
  <c r="I25" i="28" s="1"/>
  <c r="O27" i="19"/>
  <c r="J25" i="28" s="1"/>
  <c r="P27" i="19"/>
  <c r="K25" i="28" s="1"/>
  <c r="Q27" i="19"/>
  <c r="L25" i="28" s="1"/>
  <c r="R27" i="19"/>
  <c r="M25" i="28" s="1"/>
  <c r="S27" i="19"/>
  <c r="N25" i="28" s="1"/>
  <c r="M26" i="19"/>
  <c r="N26" i="19"/>
  <c r="O26" i="19"/>
  <c r="P26" i="19"/>
  <c r="Q26" i="19"/>
  <c r="R26" i="19"/>
  <c r="S26" i="19"/>
  <c r="E61" i="19"/>
  <c r="F53" i="1"/>
  <c r="G31" i="1"/>
  <c r="G25" i="1"/>
  <c r="H25" i="1" s="1"/>
  <c r="I25" i="1" s="1"/>
  <c r="J25" i="1" s="1"/>
  <c r="K25" i="1" s="1"/>
  <c r="L25" i="1" s="1"/>
  <c r="M25" i="1" s="1"/>
  <c r="N25" i="1" s="1"/>
  <c r="E44" i="19"/>
  <c r="Q14" i="1"/>
  <c r="Q15" i="1"/>
  <c r="Q16" i="1"/>
  <c r="Q17" i="1"/>
  <c r="Q18" i="1"/>
  <c r="Q19" i="1"/>
  <c r="Q20" i="1"/>
  <c r="Q21" i="1"/>
  <c r="P14" i="1"/>
  <c r="P15" i="1"/>
  <c r="P16" i="1"/>
  <c r="P17" i="1"/>
  <c r="P18" i="1"/>
  <c r="P19" i="1"/>
  <c r="P20" i="1"/>
  <c r="P21" i="1"/>
  <c r="N22" i="1"/>
  <c r="N28" i="1" s="1"/>
  <c r="N31" i="1" s="1"/>
  <c r="M22" i="1"/>
  <c r="M28" i="1" s="1"/>
  <c r="M31" i="1" s="1"/>
  <c r="L22" i="1"/>
  <c r="L28" i="1" s="1"/>
  <c r="L31" i="1" s="1"/>
  <c r="K22" i="1"/>
  <c r="K28" i="1" s="1"/>
  <c r="K31" i="1" s="1"/>
  <c r="J22" i="1"/>
  <c r="J28" i="1" s="1"/>
  <c r="J31" i="1" s="1"/>
  <c r="I22" i="1"/>
  <c r="I28" i="1" s="1"/>
  <c r="I31" i="1" s="1"/>
  <c r="H22" i="1"/>
  <c r="H28" i="1" s="1"/>
  <c r="H31" i="1" s="1"/>
  <c r="G22" i="1"/>
  <c r="G28" i="1" s="1"/>
  <c r="F22" i="1"/>
  <c r="F28" i="1" s="1"/>
  <c r="Q13" i="1"/>
  <c r="P13" i="1"/>
  <c r="G12" i="1"/>
  <c r="H12" i="1" s="1"/>
  <c r="I12" i="1" s="1"/>
  <c r="J12" i="1" s="1"/>
  <c r="K12" i="1" s="1"/>
  <c r="L12" i="1" s="1"/>
  <c r="M12" i="1" s="1"/>
  <c r="N12" i="1" s="1"/>
  <c r="M29" i="1" l="1"/>
  <c r="H29" i="1"/>
  <c r="N29" i="1"/>
  <c r="F31" i="1"/>
  <c r="G29" i="1"/>
  <c r="J29" i="1"/>
  <c r="L29" i="1"/>
  <c r="F29" i="1"/>
  <c r="I29" i="1"/>
  <c r="K29" i="1"/>
  <c r="F34" i="27"/>
  <c r="F6" i="27"/>
  <c r="F25" i="27"/>
  <c r="F36" i="27"/>
  <c r="F53" i="27"/>
  <c r="F35" i="27"/>
  <c r="F17" i="27"/>
  <c r="F28" i="27"/>
  <c r="N24" i="28"/>
  <c r="M24" i="28"/>
  <c r="L24" i="28"/>
  <c r="K24" i="28"/>
  <c r="J24" i="28"/>
  <c r="I24" i="28"/>
  <c r="H24" i="28"/>
  <c r="Q22" i="1"/>
  <c r="P22" i="1"/>
  <c r="F37" i="27" l="1"/>
  <c r="F32" i="27"/>
  <c r="F33" i="27"/>
  <c r="R23" i="19"/>
  <c r="M19" i="28" s="1"/>
  <c r="S23" i="19"/>
  <c r="N19" i="28" s="1"/>
  <c r="F16" i="27" l="1"/>
  <c r="M23" i="19"/>
  <c r="H19" i="28" s="1"/>
  <c r="N23" i="19"/>
  <c r="I19" i="28" s="1"/>
  <c r="O23" i="19"/>
  <c r="J19" i="28" s="1"/>
  <c r="P23" i="19"/>
  <c r="K19" i="28" s="1"/>
  <c r="Q23" i="19"/>
  <c r="L19" i="28" s="1"/>
  <c r="F39" i="27" l="1"/>
  <c r="F27" i="27"/>
  <c r="F30" i="27" s="1"/>
  <c r="F65" i="27"/>
  <c r="F55" i="27"/>
  <c r="E45" i="19"/>
  <c r="E5" i="19"/>
  <c r="G5" i="19" s="1"/>
  <c r="H5" i="19" l="1"/>
  <c r="H7" i="19" l="1"/>
  <c r="I5" i="19"/>
  <c r="H6" i="19"/>
  <c r="V5" i="19" l="1"/>
  <c r="U5" i="19"/>
  <c r="H92" i="19"/>
  <c r="I7" i="19"/>
  <c r="I6" i="19"/>
  <c r="J5" i="19"/>
  <c r="J100" i="19" s="1"/>
  <c r="J120" i="19" l="1"/>
  <c r="J149" i="19"/>
  <c r="J107" i="19"/>
  <c r="J109" i="19"/>
  <c r="J110" i="19"/>
  <c r="J111" i="19"/>
  <c r="J112" i="19"/>
  <c r="J106" i="19"/>
  <c r="V114" i="19"/>
  <c r="V106" i="19"/>
  <c r="I92" i="19"/>
  <c r="J147" i="19"/>
  <c r="J127" i="19"/>
  <c r="J118" i="19"/>
  <c r="J124" i="19"/>
  <c r="J145" i="19"/>
  <c r="J146" i="19"/>
  <c r="J126" i="19"/>
  <c r="J123" i="19"/>
  <c r="J148" i="19"/>
  <c r="J119" i="19"/>
  <c r="J125" i="19"/>
  <c r="J137" i="19"/>
  <c r="J99" i="19"/>
  <c r="J103" i="19"/>
  <c r="J104" i="19"/>
  <c r="U7" i="19"/>
  <c r="U6" i="19"/>
  <c r="V127" i="19"/>
  <c r="V128" i="19"/>
  <c r="V147" i="19"/>
  <c r="V118" i="19"/>
  <c r="V129" i="19"/>
  <c r="V148" i="19"/>
  <c r="V119" i="19"/>
  <c r="V137" i="19"/>
  <c r="V125" i="19"/>
  <c r="V99" i="19"/>
  <c r="V123" i="19"/>
  <c r="V138" i="19"/>
  <c r="V145" i="19"/>
  <c r="V100" i="19"/>
  <c r="V124" i="19"/>
  <c r="V139" i="19"/>
  <c r="V103" i="19"/>
  <c r="V104" i="19"/>
  <c r="V126" i="19"/>
  <c r="V146" i="19"/>
  <c r="V7" i="19"/>
  <c r="V6" i="19"/>
  <c r="D21" i="28"/>
  <c r="J7" i="19"/>
  <c r="J6" i="19"/>
  <c r="K5" i="19"/>
  <c r="K100" i="19" s="1"/>
  <c r="K116" i="19" l="1"/>
  <c r="J116" i="19"/>
  <c r="J52" i="19" s="1"/>
  <c r="J150" i="19"/>
  <c r="K120" i="19"/>
  <c r="J121" i="19"/>
  <c r="V116" i="19"/>
  <c r="J140" i="19"/>
  <c r="J130" i="19"/>
  <c r="J92" i="19"/>
  <c r="V121" i="19"/>
  <c r="V130" i="19"/>
  <c r="V140" i="19"/>
  <c r="K124" i="19"/>
  <c r="K103" i="19"/>
  <c r="K137" i="19"/>
  <c r="K126" i="19"/>
  <c r="K123" i="19"/>
  <c r="K99" i="19"/>
  <c r="K119" i="19"/>
  <c r="K125" i="19"/>
  <c r="K104" i="19"/>
  <c r="K127" i="19"/>
  <c r="K118" i="19"/>
  <c r="V150" i="19"/>
  <c r="D22" i="28"/>
  <c r="E21" i="28"/>
  <c r="K6" i="19"/>
  <c r="K7" i="19"/>
  <c r="L5" i="19"/>
  <c r="L100" i="19" s="1"/>
  <c r="L116" i="19" l="1"/>
  <c r="J132" i="19"/>
  <c r="J134" i="19" s="1"/>
  <c r="F149" i="19"/>
  <c r="L120" i="19"/>
  <c r="K121" i="19"/>
  <c r="F112" i="19"/>
  <c r="V132" i="19"/>
  <c r="V134" i="19" s="1"/>
  <c r="V142" i="19" s="1"/>
  <c r="V152" i="19" s="1"/>
  <c r="K140" i="19"/>
  <c r="K130" i="19"/>
  <c r="L126" i="19"/>
  <c r="L103" i="19"/>
  <c r="L118" i="19"/>
  <c r="L123" i="19"/>
  <c r="L127" i="19"/>
  <c r="L119" i="19"/>
  <c r="L125" i="19"/>
  <c r="L104" i="19"/>
  <c r="L137" i="19"/>
  <c r="L99" i="19"/>
  <c r="L124" i="19"/>
  <c r="K92" i="19"/>
  <c r="E22" i="28"/>
  <c r="F21" i="28"/>
  <c r="L7" i="19"/>
  <c r="L6" i="19"/>
  <c r="M5" i="19"/>
  <c r="L52" i="19" l="1"/>
  <c r="K132" i="19"/>
  <c r="K134" i="19" s="1"/>
  <c r="L121" i="19"/>
  <c r="K52" i="19"/>
  <c r="L140" i="19"/>
  <c r="L92" i="19"/>
  <c r="L130" i="19"/>
  <c r="F22" i="28"/>
  <c r="G21" i="28"/>
  <c r="M7" i="19"/>
  <c r="M6" i="19"/>
  <c r="N5" i="19"/>
  <c r="L132" i="19" l="1"/>
  <c r="L134" i="19" s="1"/>
  <c r="H21" i="28"/>
  <c r="O5" i="19"/>
  <c r="G22" i="28"/>
  <c r="N7" i="19"/>
  <c r="N6" i="19"/>
  <c r="I21" i="28" l="1"/>
  <c r="O6" i="19"/>
  <c r="O7" i="19"/>
  <c r="P5" i="19"/>
  <c r="H22" i="28"/>
  <c r="M72" i="19"/>
  <c r="J21" i="28" l="1"/>
  <c r="P6" i="19"/>
  <c r="P7" i="19"/>
  <c r="Q5" i="19"/>
  <c r="I22" i="28"/>
  <c r="N72" i="19"/>
  <c r="K21" i="28" l="1"/>
  <c r="R5" i="19"/>
  <c r="S5" i="19" s="1"/>
  <c r="O72" i="19"/>
  <c r="Q7" i="19"/>
  <c r="Q6" i="19"/>
  <c r="J22" i="28"/>
  <c r="R7" i="19" l="1"/>
  <c r="R6" i="19"/>
  <c r="S6" i="19"/>
  <c r="S7" i="19"/>
  <c r="K22" i="28"/>
  <c r="P72" i="19"/>
  <c r="M21" i="28" l="1"/>
  <c r="L21" i="28"/>
  <c r="L22" i="28"/>
  <c r="Q72" i="19"/>
  <c r="M22" i="28" l="1"/>
  <c r="R72" i="19"/>
  <c r="N22" i="28"/>
  <c r="S72" i="19"/>
  <c r="N21" i="28"/>
  <c r="F6" i="19"/>
  <c r="E98" i="12" l="1"/>
  <c r="G17" i="6"/>
  <c r="S77" i="5"/>
  <c r="J36" i="5"/>
  <c r="G98" i="12" l="1"/>
  <c r="H89" i="12" s="1"/>
  <c r="H94" i="19" l="1"/>
  <c r="H82" i="19"/>
  <c r="H27" i="19" s="1"/>
  <c r="I91" i="19" l="1"/>
  <c r="K70" i="19"/>
  <c r="J70" i="19"/>
  <c r="L70" i="19"/>
  <c r="K68" i="19"/>
  <c r="J69" i="19"/>
  <c r="K51" i="19"/>
  <c r="K69" i="19"/>
  <c r="L69" i="19"/>
  <c r="J51" i="19"/>
  <c r="J68" i="19"/>
  <c r="L68" i="19"/>
  <c r="L51" i="19"/>
  <c r="J67" i="19" l="1"/>
  <c r="J23" i="19"/>
  <c r="E19" i="28" s="1"/>
  <c r="K67" i="19"/>
  <c r="K72" i="19" s="1"/>
  <c r="K23" i="19"/>
  <c r="F19" i="28" s="1"/>
  <c r="L67" i="19"/>
  <c r="L23" i="19"/>
  <c r="G19" i="28" s="1"/>
  <c r="L61" i="19"/>
  <c r="K54" i="19"/>
  <c r="J53" i="19"/>
  <c r="J54" i="19"/>
  <c r="J61" i="19"/>
  <c r="J20" i="19" s="1"/>
  <c r="E15" i="28" s="1"/>
  <c r="K61" i="19"/>
  <c r="K20" i="19" s="1"/>
  <c r="F15" i="28" s="1"/>
  <c r="K53" i="19"/>
  <c r="L53" i="19"/>
  <c r="L54" i="19"/>
  <c r="L50" i="19"/>
  <c r="K50" i="19"/>
  <c r="J50" i="19"/>
  <c r="L20" i="19" l="1"/>
  <c r="G15" i="28" s="1"/>
  <c r="M61" i="19"/>
  <c r="N61" i="19" s="1"/>
  <c r="O61" i="19" s="1"/>
  <c r="P61" i="19" s="1"/>
  <c r="Q61" i="19" s="1"/>
  <c r="R61" i="19" s="1"/>
  <c r="S61" i="19" s="1"/>
  <c r="L72" i="19"/>
  <c r="J72" i="19"/>
  <c r="K55" i="19"/>
  <c r="K17" i="19" s="1"/>
  <c r="F12" i="28" s="1"/>
  <c r="J55" i="19"/>
  <c r="J17" i="19" s="1"/>
  <c r="E12" i="28" s="1"/>
  <c r="L55" i="19"/>
  <c r="L17" i="19" s="1"/>
  <c r="G12" i="28" s="1"/>
  <c r="M20" i="19" l="1"/>
  <c r="H15" i="28" s="1"/>
  <c r="O20" i="19"/>
  <c r="J15" i="28" s="1"/>
  <c r="N20" i="19"/>
  <c r="I15" i="28" s="1"/>
  <c r="P20" i="19" l="1"/>
  <c r="K15" i="28" s="1"/>
  <c r="R20" i="19" l="1"/>
  <c r="M15" i="28" s="1"/>
  <c r="Q20" i="19"/>
  <c r="L15" i="28" s="1"/>
  <c r="S20" i="19" l="1"/>
  <c r="N15" i="28" s="1"/>
  <c r="F93" i="3" l="1"/>
  <c r="G93" i="3"/>
  <c r="H93" i="3"/>
  <c r="I93" i="3"/>
  <c r="J93" i="3"/>
  <c r="K93" i="3"/>
  <c r="L93" i="3"/>
  <c r="M93" i="3"/>
  <c r="N93" i="3"/>
  <c r="O93" i="3"/>
  <c r="P93" i="3"/>
  <c r="Q93" i="3"/>
  <c r="R93" i="3"/>
  <c r="E93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E89" i="3"/>
  <c r="F73" i="3"/>
  <c r="F78" i="3" s="1"/>
  <c r="G73" i="3"/>
  <c r="G78" i="3" s="1"/>
  <c r="H73" i="3"/>
  <c r="H78" i="3" s="1"/>
  <c r="I73" i="3"/>
  <c r="I78" i="3" s="1"/>
  <c r="J73" i="3"/>
  <c r="J78" i="3" s="1"/>
  <c r="K73" i="3"/>
  <c r="K78" i="3" s="1"/>
  <c r="L73" i="3"/>
  <c r="L78" i="3" s="1"/>
  <c r="M73" i="3"/>
  <c r="M78" i="3" s="1"/>
  <c r="N73" i="3"/>
  <c r="N78" i="3" s="1"/>
  <c r="O73" i="3"/>
  <c r="O78" i="3" s="1"/>
  <c r="P73" i="3"/>
  <c r="P78" i="3" s="1"/>
  <c r="Q73" i="3"/>
  <c r="Q78" i="3" s="1"/>
  <c r="R73" i="3"/>
  <c r="R78" i="3" s="1"/>
  <c r="E73" i="3"/>
  <c r="E78" i="3" s="1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E69" i="3"/>
  <c r="F50" i="3"/>
  <c r="F58" i="3" s="1"/>
  <c r="G50" i="3"/>
  <c r="G58" i="3" s="1"/>
  <c r="H50" i="3"/>
  <c r="H58" i="3" s="1"/>
  <c r="I50" i="3"/>
  <c r="I58" i="3" s="1"/>
  <c r="J50" i="3"/>
  <c r="J58" i="3" s="1"/>
  <c r="K50" i="3"/>
  <c r="K58" i="3" s="1"/>
  <c r="L50" i="3"/>
  <c r="L58" i="3" s="1"/>
  <c r="M50" i="3"/>
  <c r="M58" i="3" s="1"/>
  <c r="N50" i="3"/>
  <c r="N58" i="3" s="1"/>
  <c r="O50" i="3"/>
  <c r="O58" i="3" s="1"/>
  <c r="P50" i="3"/>
  <c r="P58" i="3" s="1"/>
  <c r="Q50" i="3"/>
  <c r="Q58" i="3" s="1"/>
  <c r="R50" i="3"/>
  <c r="R58" i="3" s="1"/>
  <c r="E50" i="3"/>
  <c r="E58" i="3" s="1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E43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E21" i="3"/>
  <c r="F33" i="3"/>
  <c r="F35" i="3" s="1"/>
  <c r="G33" i="3"/>
  <c r="G35" i="3" s="1"/>
  <c r="H33" i="3"/>
  <c r="H35" i="3" s="1"/>
  <c r="I33" i="3"/>
  <c r="I35" i="3" s="1"/>
  <c r="J33" i="3"/>
  <c r="J35" i="3" s="1"/>
  <c r="K33" i="3"/>
  <c r="K35" i="3" s="1"/>
  <c r="L33" i="3"/>
  <c r="L35" i="3" s="1"/>
  <c r="M33" i="3"/>
  <c r="M35" i="3" s="1"/>
  <c r="N33" i="3"/>
  <c r="N35" i="3" s="1"/>
  <c r="O33" i="3"/>
  <c r="O35" i="3" s="1"/>
  <c r="P33" i="3"/>
  <c r="P35" i="3" s="1"/>
  <c r="Q33" i="3"/>
  <c r="Q35" i="3" s="1"/>
  <c r="R33" i="3"/>
  <c r="R35" i="3" s="1"/>
  <c r="E33" i="3"/>
  <c r="E35" i="3" s="1"/>
  <c r="AM5" i="3"/>
  <c r="AD5" i="3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AL5" i="6" s="1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AC5" i="6" s="1"/>
  <c r="D16" i="6"/>
  <c r="E16" i="6"/>
  <c r="H17" i="6"/>
  <c r="I17" i="6"/>
  <c r="J17" i="6"/>
  <c r="K17" i="6"/>
  <c r="L17" i="6"/>
  <c r="M17" i="6"/>
  <c r="N17" i="6"/>
  <c r="O17" i="6"/>
  <c r="P17" i="6"/>
  <c r="P31" i="6" s="1"/>
  <c r="P32" i="6" s="1"/>
  <c r="Q17" i="6"/>
  <c r="Q31" i="6" s="1"/>
  <c r="Q32" i="6" s="1"/>
  <c r="D26" i="6"/>
  <c r="E26" i="6"/>
  <c r="F26" i="6"/>
  <c r="G26" i="6"/>
  <c r="H26" i="6"/>
  <c r="I26" i="6"/>
  <c r="J26" i="6"/>
  <c r="L26" i="6"/>
  <c r="N26" i="6"/>
  <c r="O26" i="6"/>
  <c r="E29" i="6"/>
  <c r="F29" i="6"/>
  <c r="G29" i="6"/>
  <c r="H29" i="6"/>
  <c r="L29" i="6"/>
  <c r="M29" i="6"/>
  <c r="N29" i="6"/>
  <c r="O29" i="6"/>
  <c r="J36" i="6"/>
  <c r="K36" i="6"/>
  <c r="L36" i="6"/>
  <c r="M36" i="6"/>
  <c r="N36" i="6"/>
  <c r="O36" i="6"/>
  <c r="E36" i="6"/>
  <c r="G36" i="6"/>
  <c r="E37" i="6"/>
  <c r="F37" i="6"/>
  <c r="H36" i="6"/>
  <c r="H37" i="6"/>
  <c r="D36" i="6"/>
  <c r="D37" i="6"/>
  <c r="J45" i="6"/>
  <c r="K45" i="6"/>
  <c r="M45" i="6"/>
  <c r="N45" i="6"/>
  <c r="O45" i="6"/>
  <c r="E45" i="6"/>
  <c r="F45" i="6"/>
  <c r="G45" i="6"/>
  <c r="H45" i="6"/>
  <c r="E38" i="6"/>
  <c r="F38" i="6"/>
  <c r="L45" i="6"/>
  <c r="L38" i="6"/>
  <c r="N38" i="6"/>
  <c r="O38" i="6"/>
  <c r="D38" i="6"/>
  <c r="D39" i="6"/>
  <c r="I36" i="6"/>
  <c r="I37" i="6"/>
  <c r="I45" i="6"/>
  <c r="I38" i="6"/>
  <c r="I39" i="6"/>
  <c r="D41" i="6"/>
  <c r="E41" i="6"/>
  <c r="F41" i="6"/>
  <c r="G41" i="6"/>
  <c r="I41" i="6"/>
  <c r="J41" i="6"/>
  <c r="K41" i="6"/>
  <c r="L41" i="6"/>
  <c r="M41" i="6"/>
  <c r="N41" i="6"/>
  <c r="O41" i="6"/>
  <c r="D46" i="6"/>
  <c r="E46" i="6"/>
  <c r="F46" i="6"/>
  <c r="G46" i="6"/>
  <c r="H46" i="6"/>
  <c r="I46" i="6"/>
  <c r="J46" i="6"/>
  <c r="K46" i="6"/>
  <c r="L46" i="6"/>
  <c r="M46" i="6"/>
  <c r="N46" i="6"/>
  <c r="O46" i="6"/>
  <c r="D48" i="6"/>
  <c r="E48" i="6"/>
  <c r="F48" i="6"/>
  <c r="H48" i="6"/>
  <c r="I48" i="6"/>
  <c r="J48" i="6"/>
  <c r="K48" i="6"/>
  <c r="L48" i="6"/>
  <c r="M48" i="6"/>
  <c r="N48" i="6"/>
  <c r="O48" i="6"/>
  <c r="I42" i="6"/>
  <c r="J42" i="6"/>
  <c r="K42" i="6"/>
  <c r="L42" i="6"/>
  <c r="M42" i="6"/>
  <c r="N42" i="6"/>
  <c r="O42" i="6"/>
  <c r="P42" i="6"/>
  <c r="P49" i="6" s="1"/>
  <c r="L54" i="6"/>
  <c r="M54" i="6"/>
  <c r="N54" i="6"/>
  <c r="O54" i="6"/>
  <c r="P54" i="6"/>
  <c r="L55" i="6"/>
  <c r="M55" i="6"/>
  <c r="N55" i="6"/>
  <c r="O55" i="6"/>
  <c r="P55" i="6"/>
  <c r="D42" i="6"/>
  <c r="F42" i="6"/>
  <c r="G42" i="6"/>
  <c r="Q42" i="6"/>
  <c r="Q49" i="6" s="1"/>
  <c r="E42" i="6"/>
  <c r="E54" i="6"/>
  <c r="G54" i="6"/>
  <c r="H54" i="6"/>
  <c r="I54" i="6"/>
  <c r="J54" i="6"/>
  <c r="K54" i="6"/>
  <c r="E56" i="6"/>
  <c r="I56" i="6"/>
  <c r="K56" i="6"/>
  <c r="L56" i="6"/>
  <c r="M56" i="6"/>
  <c r="N56" i="6"/>
  <c r="O56" i="6"/>
  <c r="P56" i="6"/>
  <c r="D58" i="6"/>
  <c r="E58" i="6"/>
  <c r="F58" i="6"/>
  <c r="G58" i="6"/>
  <c r="H58" i="6"/>
  <c r="I58" i="6"/>
  <c r="J58" i="6"/>
  <c r="K58" i="6"/>
  <c r="L58" i="6"/>
  <c r="M58" i="6"/>
  <c r="N58" i="6"/>
  <c r="O58" i="6"/>
  <c r="E5" i="12"/>
  <c r="G5" i="12" s="1"/>
  <c r="H5" i="12" s="1"/>
  <c r="AL65" i="6" l="1"/>
  <c r="AL64" i="6"/>
  <c r="AL63" i="6"/>
  <c r="H117" i="12"/>
  <c r="AL68" i="6"/>
  <c r="AC68" i="6"/>
  <c r="Q60" i="6"/>
  <c r="AL66" i="6"/>
  <c r="AL24" i="6"/>
  <c r="AL20" i="6"/>
  <c r="AL53" i="6"/>
  <c r="AL13" i="6"/>
  <c r="AL47" i="6"/>
  <c r="AL27" i="6"/>
  <c r="AL28" i="6"/>
  <c r="AL30" i="6"/>
  <c r="AL23" i="6"/>
  <c r="O59" i="6"/>
  <c r="AC66" i="6"/>
  <c r="AC24" i="6"/>
  <c r="AC57" i="6"/>
  <c r="AC27" i="6"/>
  <c r="AC30" i="6"/>
  <c r="AC47" i="6"/>
  <c r="AC20" i="6"/>
  <c r="AC23" i="6"/>
  <c r="AC13" i="6"/>
  <c r="AC46" i="6"/>
  <c r="AC28" i="6"/>
  <c r="AC53" i="6"/>
  <c r="AC64" i="6" s="1"/>
  <c r="P59" i="6"/>
  <c r="P60" i="6" s="1"/>
  <c r="N59" i="6"/>
  <c r="M59" i="6"/>
  <c r="L59" i="6"/>
  <c r="H128" i="12"/>
  <c r="H95" i="12" s="1"/>
  <c r="H77" i="12"/>
  <c r="H123" i="12"/>
  <c r="AM5" i="6"/>
  <c r="AL44" i="6"/>
  <c r="AC7" i="6"/>
  <c r="AC44" i="6"/>
  <c r="AM9" i="6"/>
  <c r="AM6" i="6"/>
  <c r="AD61" i="3"/>
  <c r="AD77" i="3"/>
  <c r="AD25" i="3"/>
  <c r="AD56" i="3"/>
  <c r="AD67" i="3"/>
  <c r="AD24" i="3"/>
  <c r="AD20" i="3"/>
  <c r="AD66" i="3"/>
  <c r="AD83" i="3"/>
  <c r="AD30" i="3"/>
  <c r="AM95" i="3"/>
  <c r="AM56" i="3"/>
  <c r="AM67" i="3"/>
  <c r="AM20" i="3"/>
  <c r="AM83" i="3"/>
  <c r="AM24" i="3"/>
  <c r="AM25" i="3"/>
  <c r="AM66" i="3"/>
  <c r="AM30" i="3"/>
  <c r="AN5" i="3"/>
  <c r="AM77" i="3"/>
  <c r="AM21" i="3"/>
  <c r="AM27" i="3"/>
  <c r="AM52" i="3"/>
  <c r="M101" i="3"/>
  <c r="AM43" i="3"/>
  <c r="AM90" i="3"/>
  <c r="H26" i="12"/>
  <c r="H27" i="12"/>
  <c r="H116" i="12"/>
  <c r="AD35" i="3"/>
  <c r="AM29" i="3"/>
  <c r="AM60" i="3"/>
  <c r="AM91" i="3"/>
  <c r="AM31" i="3"/>
  <c r="AM62" i="3"/>
  <c r="AM96" i="3"/>
  <c r="O101" i="3"/>
  <c r="G101" i="3"/>
  <c r="AM39" i="3"/>
  <c r="AM63" i="3"/>
  <c r="AM98" i="3"/>
  <c r="AM41" i="3"/>
  <c r="AM72" i="3"/>
  <c r="AM99" i="3"/>
  <c r="AM12" i="3"/>
  <c r="AM42" i="3"/>
  <c r="AM76" i="3"/>
  <c r="AM14" i="3"/>
  <c r="AM48" i="3"/>
  <c r="AM80" i="3"/>
  <c r="AM15" i="3"/>
  <c r="AM51" i="3"/>
  <c r="AM87" i="3"/>
  <c r="AD88" i="3"/>
  <c r="AD95" i="3"/>
  <c r="AD49" i="3"/>
  <c r="AD57" i="3"/>
  <c r="AD38" i="3"/>
  <c r="AD11" i="3"/>
  <c r="AD13" i="3"/>
  <c r="AD94" i="3"/>
  <c r="AD84" i="3"/>
  <c r="AD70" i="3"/>
  <c r="AD55" i="3"/>
  <c r="AD46" i="3"/>
  <c r="AD37" i="3"/>
  <c r="AD18" i="3"/>
  <c r="AD10" i="3"/>
  <c r="AD92" i="3"/>
  <c r="AD82" i="3"/>
  <c r="AD65" i="3"/>
  <c r="AD54" i="3"/>
  <c r="AD45" i="3"/>
  <c r="AD34" i="3"/>
  <c r="AD17" i="3"/>
  <c r="AD9" i="3"/>
  <c r="AD89" i="3"/>
  <c r="AD41" i="3"/>
  <c r="AD100" i="3"/>
  <c r="AD91" i="3"/>
  <c r="AD81" i="3"/>
  <c r="AD64" i="3"/>
  <c r="AD53" i="3"/>
  <c r="AD44" i="3"/>
  <c r="AD32" i="3"/>
  <c r="AD16" i="3"/>
  <c r="AD76" i="3"/>
  <c r="AD51" i="3"/>
  <c r="AD14" i="3"/>
  <c r="AE5" i="3"/>
  <c r="AD99" i="3"/>
  <c r="AD90" i="3"/>
  <c r="AD80" i="3"/>
  <c r="AD63" i="3"/>
  <c r="AD52" i="3"/>
  <c r="AD42" i="3"/>
  <c r="AD31" i="3"/>
  <c r="AD15" i="3"/>
  <c r="AD98" i="3"/>
  <c r="AD62" i="3"/>
  <c r="AD29" i="3"/>
  <c r="AD96" i="3"/>
  <c r="AD87" i="3"/>
  <c r="AD72" i="3"/>
  <c r="AD60" i="3"/>
  <c r="AD48" i="3"/>
  <c r="AD39" i="3"/>
  <c r="AD27" i="3"/>
  <c r="AD12" i="3"/>
  <c r="AD40" i="3"/>
  <c r="AD47" i="3"/>
  <c r="AD97" i="3"/>
  <c r="AD58" i="3"/>
  <c r="AD19" i="3"/>
  <c r="AD71" i="3"/>
  <c r="AD86" i="3"/>
  <c r="AD28" i="3"/>
  <c r="AD75" i="3"/>
  <c r="AM35" i="3"/>
  <c r="AD21" i="3"/>
  <c r="AD43" i="3"/>
  <c r="R101" i="3"/>
  <c r="J101" i="3"/>
  <c r="AM13" i="3"/>
  <c r="AM28" i="3"/>
  <c r="AM40" i="3"/>
  <c r="AM49" i="3"/>
  <c r="AM61" i="3"/>
  <c r="AM75" i="3"/>
  <c r="AM88" i="3"/>
  <c r="AM97" i="3"/>
  <c r="N36" i="3"/>
  <c r="N59" i="3" s="1"/>
  <c r="AM89" i="3"/>
  <c r="AD101" i="3"/>
  <c r="AM16" i="3"/>
  <c r="AM32" i="3"/>
  <c r="AM44" i="3"/>
  <c r="AM53" i="3"/>
  <c r="AM64" i="3"/>
  <c r="AM81" i="3"/>
  <c r="AM92" i="3"/>
  <c r="AM100" i="3"/>
  <c r="AM78" i="3"/>
  <c r="AM9" i="3"/>
  <c r="AM17" i="3"/>
  <c r="AM34" i="3"/>
  <c r="AM45" i="3"/>
  <c r="AM54" i="3"/>
  <c r="AM65" i="3"/>
  <c r="AM82" i="3"/>
  <c r="AM93" i="3"/>
  <c r="F36" i="3"/>
  <c r="F59" i="3" s="1"/>
  <c r="AD78" i="3"/>
  <c r="AM10" i="3"/>
  <c r="AM18" i="3"/>
  <c r="AM37" i="3"/>
  <c r="AM46" i="3"/>
  <c r="AM55" i="3"/>
  <c r="AM70" i="3"/>
  <c r="AM84" i="3"/>
  <c r="AM94" i="3"/>
  <c r="AD69" i="3"/>
  <c r="AM11" i="3"/>
  <c r="AM19" i="3"/>
  <c r="AM38" i="3"/>
  <c r="AM47" i="3"/>
  <c r="AM57" i="3"/>
  <c r="AM71" i="3"/>
  <c r="AM86" i="3"/>
  <c r="H7" i="12"/>
  <c r="I5" i="12"/>
  <c r="Q101" i="3"/>
  <c r="I101" i="3"/>
  <c r="AD93" i="3"/>
  <c r="L101" i="3"/>
  <c r="K101" i="3"/>
  <c r="AM73" i="3"/>
  <c r="AD73" i="3"/>
  <c r="AM68" i="3"/>
  <c r="AM69" i="3"/>
  <c r="AD68" i="3"/>
  <c r="AM58" i="3"/>
  <c r="AM50" i="3"/>
  <c r="AD50" i="3"/>
  <c r="AM33" i="3"/>
  <c r="AD33" i="3"/>
  <c r="E101" i="3"/>
  <c r="P101" i="3"/>
  <c r="H101" i="3"/>
  <c r="N101" i="3"/>
  <c r="F101" i="3"/>
  <c r="O36" i="3"/>
  <c r="O59" i="3" s="1"/>
  <c r="G36" i="3"/>
  <c r="AD36" i="3" s="1"/>
  <c r="E79" i="3"/>
  <c r="E85" i="3" s="1"/>
  <c r="L79" i="3"/>
  <c r="L85" i="3" s="1"/>
  <c r="K79" i="3"/>
  <c r="K85" i="3" s="1"/>
  <c r="Q79" i="3"/>
  <c r="Q85" i="3" s="1"/>
  <c r="I79" i="3"/>
  <c r="I85" i="3" s="1"/>
  <c r="P79" i="3"/>
  <c r="H79" i="3"/>
  <c r="H85" i="3" s="1"/>
  <c r="J79" i="3"/>
  <c r="O79" i="3"/>
  <c r="O85" i="3" s="1"/>
  <c r="G79" i="3"/>
  <c r="R79" i="3"/>
  <c r="R85" i="3" s="1"/>
  <c r="R102" i="3" s="1"/>
  <c r="N79" i="3"/>
  <c r="N85" i="3" s="1"/>
  <c r="F79" i="3"/>
  <c r="F85" i="3" s="1"/>
  <c r="M79" i="3"/>
  <c r="M36" i="3"/>
  <c r="E36" i="3"/>
  <c r="E59" i="3" s="1"/>
  <c r="L36" i="3"/>
  <c r="L59" i="3" s="1"/>
  <c r="K36" i="3"/>
  <c r="K59" i="3" s="1"/>
  <c r="R36" i="3"/>
  <c r="R59" i="3" s="1"/>
  <c r="J36" i="3"/>
  <c r="Q36" i="3"/>
  <c r="Q59" i="3" s="1"/>
  <c r="I36" i="3"/>
  <c r="I59" i="3" s="1"/>
  <c r="P36" i="3"/>
  <c r="H36" i="3"/>
  <c r="H59" i="3" s="1"/>
  <c r="AL7" i="6"/>
  <c r="AL46" i="6"/>
  <c r="AL58" i="6"/>
  <c r="AC41" i="6"/>
  <c r="AC37" i="6"/>
  <c r="AC6" i="6"/>
  <c r="AC26" i="6"/>
  <c r="AC38" i="6"/>
  <c r="AC48" i="6"/>
  <c r="AC42" i="6"/>
  <c r="AC58" i="6"/>
  <c r="AD5" i="6"/>
  <c r="AD68" i="6" s="1"/>
  <c r="AL6" i="6"/>
  <c r="H6" i="12"/>
  <c r="AM68" i="6" l="1"/>
  <c r="AM65" i="6"/>
  <c r="AM64" i="6"/>
  <c r="AM63" i="6"/>
  <c r="AM37" i="6"/>
  <c r="AM36" i="6"/>
  <c r="AM7" i="6"/>
  <c r="AM55" i="6"/>
  <c r="AM56" i="6"/>
  <c r="AM45" i="6"/>
  <c r="H119" i="12"/>
  <c r="H96" i="12" s="1"/>
  <c r="I117" i="12"/>
  <c r="AD66" i="6"/>
  <c r="AD24" i="6"/>
  <c r="AD46" i="6"/>
  <c r="AD57" i="6"/>
  <c r="AD27" i="6"/>
  <c r="AD30" i="6"/>
  <c r="AD20" i="6"/>
  <c r="AD47" i="6"/>
  <c r="AD13" i="6"/>
  <c r="AD23" i="6"/>
  <c r="AD45" i="6"/>
  <c r="AD28" i="6"/>
  <c r="AD53" i="6"/>
  <c r="AD64" i="6" s="1"/>
  <c r="AM44" i="6"/>
  <c r="AM66" i="6"/>
  <c r="AM29" i="6"/>
  <c r="AM23" i="6"/>
  <c r="AM24" i="6"/>
  <c r="AM20" i="6"/>
  <c r="AM53" i="6"/>
  <c r="AM13" i="6"/>
  <c r="AM54" i="6"/>
  <c r="AM14" i="6"/>
  <c r="AM17" i="6"/>
  <c r="AM47" i="6"/>
  <c r="AM48" i="6"/>
  <c r="AM27" i="6"/>
  <c r="AM15" i="6"/>
  <c r="AM16" i="6"/>
  <c r="AM28" i="6"/>
  <c r="AM30" i="6"/>
  <c r="H129" i="12"/>
  <c r="I127" i="12" s="1"/>
  <c r="I128" i="12"/>
  <c r="I95" i="12" s="1"/>
  <c r="I43" i="12"/>
  <c r="I77" i="12"/>
  <c r="I123" i="12"/>
  <c r="AM42" i="6"/>
  <c r="AM41" i="6"/>
  <c r="AD7" i="6"/>
  <c r="AD44" i="6"/>
  <c r="AE43" i="3"/>
  <c r="AE66" i="3"/>
  <c r="AE25" i="3"/>
  <c r="AE56" i="3"/>
  <c r="AE67" i="3"/>
  <c r="AE77" i="3"/>
  <c r="AE24" i="3"/>
  <c r="AE20" i="3"/>
  <c r="AE83" i="3"/>
  <c r="AE30" i="3"/>
  <c r="AN25" i="3"/>
  <c r="AN29" i="3"/>
  <c r="AN52" i="3"/>
  <c r="AN81" i="3"/>
  <c r="AN33" i="3"/>
  <c r="AN55" i="3"/>
  <c r="AN85" i="3"/>
  <c r="AN68" i="3"/>
  <c r="AN67" i="3"/>
  <c r="AN34" i="3"/>
  <c r="AN57" i="3"/>
  <c r="AN86" i="3"/>
  <c r="AN35" i="3"/>
  <c r="AN58" i="3"/>
  <c r="AN87" i="3"/>
  <c r="AN83" i="3"/>
  <c r="AN36" i="3"/>
  <c r="AN59" i="3"/>
  <c r="AN88" i="3"/>
  <c r="AN20" i="3"/>
  <c r="AN37" i="3"/>
  <c r="AN60" i="3"/>
  <c r="AN89" i="3"/>
  <c r="AN9" i="3"/>
  <c r="AN38" i="3"/>
  <c r="AN61" i="3"/>
  <c r="AN90" i="3"/>
  <c r="AN10" i="3"/>
  <c r="AN39" i="3"/>
  <c r="AN62" i="3"/>
  <c r="AN91" i="3"/>
  <c r="AN24" i="3"/>
  <c r="AN11" i="3"/>
  <c r="AN40" i="3"/>
  <c r="AN63" i="3"/>
  <c r="AN92" i="3"/>
  <c r="AN12" i="3"/>
  <c r="AN41" i="3"/>
  <c r="AN64" i="3"/>
  <c r="AN93" i="3"/>
  <c r="AN30" i="3"/>
  <c r="AN13" i="3"/>
  <c r="AN31" i="3"/>
  <c r="AN79" i="3"/>
  <c r="AN32" i="3"/>
  <c r="AN80" i="3"/>
  <c r="AN42" i="3"/>
  <c r="AN82" i="3"/>
  <c r="AN66" i="3"/>
  <c r="AN43" i="3"/>
  <c r="AN84" i="3"/>
  <c r="AN44" i="3"/>
  <c r="AN94" i="3"/>
  <c r="AN45" i="3"/>
  <c r="AN95" i="3"/>
  <c r="AN46" i="3"/>
  <c r="AN96" i="3"/>
  <c r="AN47" i="3"/>
  <c r="AN97" i="3"/>
  <c r="AN48" i="3"/>
  <c r="AN98" i="3"/>
  <c r="AN49" i="3"/>
  <c r="AN99" i="3"/>
  <c r="AN78" i="3"/>
  <c r="AN50" i="3"/>
  <c r="AN100" i="3"/>
  <c r="AN51" i="3"/>
  <c r="AN101" i="3"/>
  <c r="AN56" i="3"/>
  <c r="AN53" i="3"/>
  <c r="AN102" i="3"/>
  <c r="AN14" i="3"/>
  <c r="AN54" i="3"/>
  <c r="AN15" i="3"/>
  <c r="AN65" i="3"/>
  <c r="AN16" i="3"/>
  <c r="AN69" i="3"/>
  <c r="AN77" i="3"/>
  <c r="AN17" i="3"/>
  <c r="AN70" i="3"/>
  <c r="AN18" i="3"/>
  <c r="AN71" i="3"/>
  <c r="AN19" i="3"/>
  <c r="AN72" i="3"/>
  <c r="AN21" i="3"/>
  <c r="AN73" i="3"/>
  <c r="AN27" i="3"/>
  <c r="AN75" i="3"/>
  <c r="AN28" i="3"/>
  <c r="AN76" i="3"/>
  <c r="AE73" i="3"/>
  <c r="AE21" i="3"/>
  <c r="AE78" i="3"/>
  <c r="I26" i="12"/>
  <c r="I27" i="12"/>
  <c r="I113" i="12"/>
  <c r="I112" i="12"/>
  <c r="I116" i="12"/>
  <c r="O102" i="3"/>
  <c r="AF5" i="3"/>
  <c r="AE16" i="3"/>
  <c r="AE32" i="3"/>
  <c r="AE49" i="3"/>
  <c r="AE61" i="3"/>
  <c r="AE75" i="3"/>
  <c r="AE88" i="3"/>
  <c r="AE95" i="3"/>
  <c r="AE11" i="3"/>
  <c r="AE19" i="3"/>
  <c r="AE38" i="3"/>
  <c r="AE44" i="3"/>
  <c r="AE53" i="3"/>
  <c r="AE64" i="3"/>
  <c r="AE81" i="3"/>
  <c r="AE92" i="3"/>
  <c r="AE98" i="3"/>
  <c r="AE82" i="3"/>
  <c r="AE93" i="3"/>
  <c r="AE14" i="3"/>
  <c r="AE29" i="3"/>
  <c r="AE41" i="3"/>
  <c r="AE47" i="3"/>
  <c r="AE57" i="3"/>
  <c r="AE71" i="3"/>
  <c r="AE86" i="3"/>
  <c r="AE12" i="3"/>
  <c r="AE27" i="3"/>
  <c r="AE45" i="3"/>
  <c r="AE99" i="3"/>
  <c r="AE9" i="3"/>
  <c r="AE17" i="3"/>
  <c r="AE34" i="3"/>
  <c r="AE51" i="3"/>
  <c r="AE62" i="3"/>
  <c r="AE76" i="3"/>
  <c r="AE90" i="3"/>
  <c r="AE96" i="3"/>
  <c r="AE39" i="3"/>
  <c r="AE54" i="3"/>
  <c r="AE65" i="3"/>
  <c r="AE10" i="3"/>
  <c r="AE18" i="3"/>
  <c r="AE37" i="3"/>
  <c r="AE52" i="3"/>
  <c r="AE63" i="3"/>
  <c r="AE80" i="3"/>
  <c r="AE91" i="3"/>
  <c r="AE97" i="3"/>
  <c r="AE13" i="3"/>
  <c r="AE28" i="3"/>
  <c r="AE40" i="3"/>
  <c r="AE46" i="3"/>
  <c r="AE55" i="3"/>
  <c r="AE70" i="3"/>
  <c r="AE84" i="3"/>
  <c r="AE31" i="3"/>
  <c r="AE60" i="3"/>
  <c r="AE94" i="3"/>
  <c r="AE15" i="3"/>
  <c r="AE87" i="3"/>
  <c r="AE42" i="3"/>
  <c r="AE72" i="3"/>
  <c r="AE100" i="3"/>
  <c r="AE48" i="3"/>
  <c r="AE33" i="3"/>
  <c r="AE50" i="3"/>
  <c r="AE35" i="3"/>
  <c r="AE89" i="3"/>
  <c r="AE101" i="3"/>
  <c r="AE58" i="3"/>
  <c r="AE68" i="3"/>
  <c r="AE69" i="3"/>
  <c r="I7" i="12"/>
  <c r="J5" i="12"/>
  <c r="N102" i="3"/>
  <c r="Q102" i="3"/>
  <c r="I102" i="3"/>
  <c r="K102" i="3"/>
  <c r="L102" i="3"/>
  <c r="AM101" i="3"/>
  <c r="F102" i="3"/>
  <c r="M85" i="3"/>
  <c r="G85" i="3"/>
  <c r="AD79" i="3"/>
  <c r="J85" i="3"/>
  <c r="AE79" i="3"/>
  <c r="P85" i="3"/>
  <c r="AM79" i="3"/>
  <c r="P59" i="3"/>
  <c r="AM36" i="3"/>
  <c r="M59" i="3"/>
  <c r="J59" i="3"/>
  <c r="AE59" i="3" s="1"/>
  <c r="AE36" i="3"/>
  <c r="G59" i="3"/>
  <c r="AD59" i="3" s="1"/>
  <c r="E102" i="3"/>
  <c r="H102" i="3"/>
  <c r="AD6" i="6"/>
  <c r="AD58" i="6"/>
  <c r="AD54" i="6"/>
  <c r="AD65" i="6" s="1"/>
  <c r="AD36" i="6"/>
  <c r="AD26" i="6"/>
  <c r="AD52" i="6"/>
  <c r="AD63" i="6" s="1"/>
  <c r="AE5" i="6"/>
  <c r="AE68" i="6" s="1"/>
  <c r="I6" i="12"/>
  <c r="I119" i="12" l="1"/>
  <c r="I96" i="12" s="1"/>
  <c r="J117" i="12"/>
  <c r="AE66" i="6"/>
  <c r="AE13" i="6"/>
  <c r="AE53" i="6"/>
  <c r="AE64" i="6" s="1"/>
  <c r="AE46" i="6"/>
  <c r="AE57" i="6"/>
  <c r="AE27" i="6"/>
  <c r="AE20" i="6"/>
  <c r="AE30" i="6"/>
  <c r="AE47" i="6"/>
  <c r="AE23" i="6"/>
  <c r="AE45" i="6"/>
  <c r="AE24" i="6"/>
  <c r="AE28" i="6"/>
  <c r="I129" i="12"/>
  <c r="J127" i="12" s="1"/>
  <c r="J128" i="12"/>
  <c r="J95" i="12" s="1"/>
  <c r="J43" i="12"/>
  <c r="J77" i="12"/>
  <c r="J123" i="12"/>
  <c r="I114" i="12"/>
  <c r="I94" i="12" s="1"/>
  <c r="AE7" i="6"/>
  <c r="AE44" i="6"/>
  <c r="AF36" i="3"/>
  <c r="AF20" i="3"/>
  <c r="AF25" i="3"/>
  <c r="AF56" i="3"/>
  <c r="AF67" i="3"/>
  <c r="AF77" i="3"/>
  <c r="AF24" i="3"/>
  <c r="AF66" i="3"/>
  <c r="AF83" i="3"/>
  <c r="AF30" i="3"/>
  <c r="AF79" i="3"/>
  <c r="AF59" i="3"/>
  <c r="J26" i="12"/>
  <c r="J27" i="12"/>
  <c r="J113" i="12"/>
  <c r="J116" i="12"/>
  <c r="AE6" i="6"/>
  <c r="AG5" i="3"/>
  <c r="AF13" i="3"/>
  <c r="AF28" i="3"/>
  <c r="AF40" i="3"/>
  <c r="AF46" i="3"/>
  <c r="AF55" i="3"/>
  <c r="AF70" i="3"/>
  <c r="AF84" i="3"/>
  <c r="AF100" i="3"/>
  <c r="AF16" i="3"/>
  <c r="AF32" i="3"/>
  <c r="AF49" i="3"/>
  <c r="AF61" i="3"/>
  <c r="AF75" i="3"/>
  <c r="AF88" i="3"/>
  <c r="AF95" i="3"/>
  <c r="AF17" i="3"/>
  <c r="AF11" i="3"/>
  <c r="AF19" i="3"/>
  <c r="AF38" i="3"/>
  <c r="AF44" i="3"/>
  <c r="AF53" i="3"/>
  <c r="AF64" i="3"/>
  <c r="AF81" i="3"/>
  <c r="AF92" i="3"/>
  <c r="AF98" i="3"/>
  <c r="AF34" i="3"/>
  <c r="AF51" i="3"/>
  <c r="AF62" i="3"/>
  <c r="AF14" i="3"/>
  <c r="AF29" i="3"/>
  <c r="AF41" i="3"/>
  <c r="AF47" i="3"/>
  <c r="AF57" i="3"/>
  <c r="AF71" i="3"/>
  <c r="AF86" i="3"/>
  <c r="AF9" i="3"/>
  <c r="AF76" i="3"/>
  <c r="AF90" i="3"/>
  <c r="AF96" i="3"/>
  <c r="AF15" i="3"/>
  <c r="AF31" i="3"/>
  <c r="AF42" i="3"/>
  <c r="AF48" i="3"/>
  <c r="AF60" i="3"/>
  <c r="AF72" i="3"/>
  <c r="AF87" i="3"/>
  <c r="AF94" i="3"/>
  <c r="AF10" i="3"/>
  <c r="AF18" i="3"/>
  <c r="AF37" i="3"/>
  <c r="AF52" i="3"/>
  <c r="AF63" i="3"/>
  <c r="AF80" i="3"/>
  <c r="AF91" i="3"/>
  <c r="AF97" i="3"/>
  <c r="AF54" i="3"/>
  <c r="AF82" i="3"/>
  <c r="AF39" i="3"/>
  <c r="AF65" i="3"/>
  <c r="AF99" i="3"/>
  <c r="AF45" i="3"/>
  <c r="AF12" i="3"/>
  <c r="AF27" i="3"/>
  <c r="AF21" i="3"/>
  <c r="AF50" i="3"/>
  <c r="AF35" i="3"/>
  <c r="AF69" i="3"/>
  <c r="AF93" i="3"/>
  <c r="AF89" i="3"/>
  <c r="AF101" i="3"/>
  <c r="AF68" i="3"/>
  <c r="AF33" i="3"/>
  <c r="AF58" i="3"/>
  <c r="AF43" i="3"/>
  <c r="AF73" i="3"/>
  <c r="AF78" i="3"/>
  <c r="J7" i="12"/>
  <c r="K5" i="12"/>
  <c r="J6" i="12"/>
  <c r="P102" i="3"/>
  <c r="AM85" i="3"/>
  <c r="J102" i="3"/>
  <c r="AE102" i="3" s="1"/>
  <c r="AE85" i="3"/>
  <c r="G102" i="3"/>
  <c r="AD102" i="3" s="1"/>
  <c r="AD85" i="3"/>
  <c r="M102" i="3"/>
  <c r="AF102" i="3" s="1"/>
  <c r="AF85" i="3"/>
  <c r="AG59" i="3"/>
  <c r="AM59" i="3"/>
  <c r="AF5" i="6"/>
  <c r="AF68" i="6" s="1"/>
  <c r="AE41" i="6"/>
  <c r="AE54" i="6"/>
  <c r="AE65" i="6" s="1"/>
  <c r="AE48" i="6"/>
  <c r="AE36" i="6"/>
  <c r="AE37" i="6"/>
  <c r="AE17" i="6"/>
  <c r="AE52" i="6"/>
  <c r="AE63" i="6" s="1"/>
  <c r="AE58" i="6"/>
  <c r="AE42" i="6"/>
  <c r="J119" i="12" l="1"/>
  <c r="J96" i="12" s="1"/>
  <c r="K117" i="12"/>
  <c r="AF44" i="6"/>
  <c r="AF66" i="6"/>
  <c r="AF13" i="6"/>
  <c r="AF53" i="6"/>
  <c r="AF64" i="6" s="1"/>
  <c r="AF29" i="6"/>
  <c r="AF46" i="6"/>
  <c r="AF57" i="6"/>
  <c r="AF20" i="6"/>
  <c r="AF27" i="6"/>
  <c r="AF30" i="6"/>
  <c r="AF23" i="6"/>
  <c r="AF45" i="6"/>
  <c r="AF24" i="6"/>
  <c r="AF47" i="6"/>
  <c r="AF28" i="6"/>
  <c r="J129" i="12"/>
  <c r="K127" i="12" s="1"/>
  <c r="K128" i="12"/>
  <c r="K95" i="12" s="1"/>
  <c r="K43" i="12"/>
  <c r="K77" i="12"/>
  <c r="K123" i="12"/>
  <c r="AF7" i="6"/>
  <c r="AG5" i="6"/>
  <c r="AG68" i="6" s="1"/>
  <c r="AG77" i="3"/>
  <c r="AG25" i="3"/>
  <c r="AG56" i="3"/>
  <c r="AG67" i="3"/>
  <c r="AG83" i="3"/>
  <c r="AG24" i="3"/>
  <c r="AG66" i="3"/>
  <c r="AG20" i="3"/>
  <c r="AG30" i="3"/>
  <c r="AG85" i="3"/>
  <c r="AH5" i="3"/>
  <c r="K26" i="12"/>
  <c r="K27" i="12"/>
  <c r="K113" i="12"/>
  <c r="AF6" i="6"/>
  <c r="AG10" i="3"/>
  <c r="AG18" i="3"/>
  <c r="AG37" i="3"/>
  <c r="AG43" i="3"/>
  <c r="AG52" i="3"/>
  <c r="AG63" i="3"/>
  <c r="AG80" i="3"/>
  <c r="AG91" i="3"/>
  <c r="AG97" i="3"/>
  <c r="AG13" i="3"/>
  <c r="AG28" i="3"/>
  <c r="AG40" i="3"/>
  <c r="AG46" i="3"/>
  <c r="AG55" i="3"/>
  <c r="AG70" i="3"/>
  <c r="AG84" i="3"/>
  <c r="AG100" i="3"/>
  <c r="AG41" i="3"/>
  <c r="AG57" i="3"/>
  <c r="AG16" i="3"/>
  <c r="AG32" i="3"/>
  <c r="AG49" i="3"/>
  <c r="AG61" i="3"/>
  <c r="AG75" i="3"/>
  <c r="AG88" i="3"/>
  <c r="AG95" i="3"/>
  <c r="AG71" i="3"/>
  <c r="AG86" i="3"/>
  <c r="AG11" i="3"/>
  <c r="AG19" i="3"/>
  <c r="AG38" i="3"/>
  <c r="AG44" i="3"/>
  <c r="AG53" i="3"/>
  <c r="AG64" i="3"/>
  <c r="AG81" i="3"/>
  <c r="AG92" i="3"/>
  <c r="AG98" i="3"/>
  <c r="AG14" i="3"/>
  <c r="AG29" i="3"/>
  <c r="AG47" i="3"/>
  <c r="AG12" i="3"/>
  <c r="AG27" i="3"/>
  <c r="AG39" i="3"/>
  <c r="AG45" i="3"/>
  <c r="AG54" i="3"/>
  <c r="AG65" i="3"/>
  <c r="AG82" i="3"/>
  <c r="AG99" i="3"/>
  <c r="AG15" i="3"/>
  <c r="AG31" i="3"/>
  <c r="AG42" i="3"/>
  <c r="AG48" i="3"/>
  <c r="AG60" i="3"/>
  <c r="AG72" i="3"/>
  <c r="AG87" i="3"/>
  <c r="AG94" i="3"/>
  <c r="AG51" i="3"/>
  <c r="AG34" i="3"/>
  <c r="AG62" i="3"/>
  <c r="AG96" i="3"/>
  <c r="AG9" i="3"/>
  <c r="AG76" i="3"/>
  <c r="AG17" i="3"/>
  <c r="AG90" i="3"/>
  <c r="AG93" i="3"/>
  <c r="AG69" i="3"/>
  <c r="AG50" i="3"/>
  <c r="AG35" i="3"/>
  <c r="AG78" i="3"/>
  <c r="AG58" i="3"/>
  <c r="AG73" i="3"/>
  <c r="AG68" i="3"/>
  <c r="AG89" i="3"/>
  <c r="AG21" i="3"/>
  <c r="AG33" i="3"/>
  <c r="AG36" i="3"/>
  <c r="AG101" i="3"/>
  <c r="AG79" i="3"/>
  <c r="K7" i="12"/>
  <c r="L5" i="12"/>
  <c r="K6" i="12"/>
  <c r="AM102" i="3"/>
  <c r="AG102" i="3"/>
  <c r="AF54" i="6"/>
  <c r="AF65" i="6" s="1"/>
  <c r="AF48" i="6"/>
  <c r="AF36" i="6"/>
  <c r="AF52" i="6"/>
  <c r="AF63" i="6" s="1"/>
  <c r="AF58" i="6"/>
  <c r="AF55" i="6"/>
  <c r="AF37" i="6"/>
  <c r="AF17" i="6"/>
  <c r="AF42" i="6"/>
  <c r="AF56" i="6"/>
  <c r="AF41" i="6"/>
  <c r="L117" i="12" l="1"/>
  <c r="AG44" i="6"/>
  <c r="AG66" i="6"/>
  <c r="AG45" i="6"/>
  <c r="AG29" i="6"/>
  <c r="AG46" i="6"/>
  <c r="AG20" i="6"/>
  <c r="AG57" i="6"/>
  <c r="AG27" i="6"/>
  <c r="AG30" i="6"/>
  <c r="AG13" i="6"/>
  <c r="AG23" i="6"/>
  <c r="AG53" i="6"/>
  <c r="AG64" i="6" s="1"/>
  <c r="AG24" i="6"/>
  <c r="AG47" i="6"/>
  <c r="AG28" i="6"/>
  <c r="K129" i="12"/>
  <c r="L127" i="12" s="1"/>
  <c r="L128" i="12"/>
  <c r="L129" i="12" s="1"/>
  <c r="M127" i="12" s="1"/>
  <c r="L43" i="12"/>
  <c r="L77" i="12"/>
  <c r="L123" i="12"/>
  <c r="AH5" i="6"/>
  <c r="AH68" i="6" s="1"/>
  <c r="AG36" i="6"/>
  <c r="AG54" i="6"/>
  <c r="AG65" i="6" s="1"/>
  <c r="AG55" i="6"/>
  <c r="AG42" i="6"/>
  <c r="AG7" i="6"/>
  <c r="AG48" i="6"/>
  <c r="AG41" i="6"/>
  <c r="AG6" i="6"/>
  <c r="AG56" i="6"/>
  <c r="AG37" i="6"/>
  <c r="AG17" i="6"/>
  <c r="AH25" i="3"/>
  <c r="AH56" i="3"/>
  <c r="AH67" i="3"/>
  <c r="AH83" i="3"/>
  <c r="AH24" i="3"/>
  <c r="AH66" i="3"/>
  <c r="AH20" i="3"/>
  <c r="AH30" i="3"/>
  <c r="AH77" i="3"/>
  <c r="AH14" i="3"/>
  <c r="AH38" i="3"/>
  <c r="AH44" i="3"/>
  <c r="AH62" i="3"/>
  <c r="AH70" i="3"/>
  <c r="AH9" i="3"/>
  <c r="AH15" i="3"/>
  <c r="AH39" i="3"/>
  <c r="AH45" i="3"/>
  <c r="AH63" i="3"/>
  <c r="AH71" i="3"/>
  <c r="AH91" i="3"/>
  <c r="AH97" i="3"/>
  <c r="AH27" i="3"/>
  <c r="AH34" i="3"/>
  <c r="AH51" i="3"/>
  <c r="AH58" i="3"/>
  <c r="AH79" i="3"/>
  <c r="AH86" i="3"/>
  <c r="AH10" i="3"/>
  <c r="AH16" i="3"/>
  <c r="AH40" i="3"/>
  <c r="AH46" i="3"/>
  <c r="AH64" i="3"/>
  <c r="AH72" i="3"/>
  <c r="AI5" i="3"/>
  <c r="AH49" i="3"/>
  <c r="AH80" i="3"/>
  <c r="AH96" i="3"/>
  <c r="AH18" i="3"/>
  <c r="AH33" i="3"/>
  <c r="AH60" i="3"/>
  <c r="AH81" i="3"/>
  <c r="AH89" i="3"/>
  <c r="AH42" i="3"/>
  <c r="AH50" i="3"/>
  <c r="AH35" i="3"/>
  <c r="AH98" i="3"/>
  <c r="AH11" i="3"/>
  <c r="AH43" i="3"/>
  <c r="AH52" i="3"/>
  <c r="AH19" i="3"/>
  <c r="AH61" i="3"/>
  <c r="AH82" i="3"/>
  <c r="AH90" i="3"/>
  <c r="AH36" i="3"/>
  <c r="AH12" i="3"/>
  <c r="AH47" i="3"/>
  <c r="AH93" i="3"/>
  <c r="AH31" i="3"/>
  <c r="AH102" i="3"/>
  <c r="AH32" i="3"/>
  <c r="AH78" i="3"/>
  <c r="AH13" i="3"/>
  <c r="AH48" i="3"/>
  <c r="AH94" i="3"/>
  <c r="AH65" i="3"/>
  <c r="AH37" i="3"/>
  <c r="AH84" i="3"/>
  <c r="AH53" i="3"/>
  <c r="AH68" i="3"/>
  <c r="AH95" i="3"/>
  <c r="AH54" i="3"/>
  <c r="AH17" i="3"/>
  <c r="AH85" i="3"/>
  <c r="AH99" i="3"/>
  <c r="AH69" i="3"/>
  <c r="AH21" i="3"/>
  <c r="AH73" i="3"/>
  <c r="AH87" i="3"/>
  <c r="AH55" i="3"/>
  <c r="AH28" i="3"/>
  <c r="AH100" i="3"/>
  <c r="AH41" i="3"/>
  <c r="AH57" i="3"/>
  <c r="AH75" i="3"/>
  <c r="AH88" i="3"/>
  <c r="AH29" i="3"/>
  <c r="AH59" i="3"/>
  <c r="AH101" i="3"/>
  <c r="AH92" i="3"/>
  <c r="AH76" i="3"/>
  <c r="L27" i="12"/>
  <c r="L26" i="12"/>
  <c r="L113" i="12"/>
  <c r="L116" i="12"/>
  <c r="L7" i="12"/>
  <c r="M5" i="12"/>
  <c r="L6" i="12"/>
  <c r="L119" i="12" l="1"/>
  <c r="L96" i="12" s="1"/>
  <c r="M117" i="12"/>
  <c r="AH44" i="6"/>
  <c r="AH66" i="6"/>
  <c r="AH45" i="6"/>
  <c r="AH24" i="6"/>
  <c r="AH29" i="6"/>
  <c r="AH20" i="6"/>
  <c r="AH46" i="6"/>
  <c r="AH57" i="6"/>
  <c r="AH27" i="6"/>
  <c r="AH28" i="6"/>
  <c r="AH53" i="6"/>
  <c r="AH64" i="6" s="1"/>
  <c r="AH13" i="6"/>
  <c r="AH30" i="6"/>
  <c r="AH23" i="6"/>
  <c r="AH47" i="6"/>
  <c r="L95" i="12"/>
  <c r="M128" i="12"/>
  <c r="M129" i="12" s="1"/>
  <c r="N127" i="12" s="1"/>
  <c r="M43" i="12"/>
  <c r="M77" i="12"/>
  <c r="M123" i="12"/>
  <c r="AH6" i="6"/>
  <c r="AH60" i="6"/>
  <c r="AH26" i="6"/>
  <c r="AH39" i="6"/>
  <c r="AH14" i="6"/>
  <c r="AH15" i="6"/>
  <c r="AH40" i="6"/>
  <c r="AH22" i="6"/>
  <c r="AH55" i="6"/>
  <c r="AH54" i="6"/>
  <c r="AH65" i="6" s="1"/>
  <c r="AH7" i="6"/>
  <c r="AH12" i="6"/>
  <c r="AH41" i="6"/>
  <c r="AH48" i="6"/>
  <c r="AH42" i="6"/>
  <c r="AH16" i="6"/>
  <c r="AH36" i="6"/>
  <c r="AH59" i="6"/>
  <c r="AH56" i="6"/>
  <c r="AI5" i="6"/>
  <c r="AI68" i="6" s="1"/>
  <c r="AH9" i="6"/>
  <c r="AH31" i="6"/>
  <c r="AH49" i="6"/>
  <c r="AH17" i="6"/>
  <c r="AH38" i="6"/>
  <c r="AH58" i="6"/>
  <c r="AH32" i="6"/>
  <c r="AH52" i="6"/>
  <c r="AH63" i="6" s="1"/>
  <c r="AH37" i="6"/>
  <c r="AI20" i="3"/>
  <c r="AI25" i="3"/>
  <c r="AI56" i="3"/>
  <c r="AI67" i="3"/>
  <c r="AI83" i="3"/>
  <c r="AI24" i="3"/>
  <c r="AI66" i="3"/>
  <c r="AI30" i="3"/>
  <c r="AI77" i="3"/>
  <c r="AI21" i="3"/>
  <c r="AI33" i="3"/>
  <c r="AI50" i="3"/>
  <c r="AI57" i="3"/>
  <c r="AI78" i="3"/>
  <c r="AI85" i="3"/>
  <c r="AI102" i="3"/>
  <c r="AI9" i="3"/>
  <c r="AI15" i="3"/>
  <c r="AI39" i="3"/>
  <c r="AI45" i="3"/>
  <c r="AI63" i="3"/>
  <c r="AI71" i="3"/>
  <c r="AI91" i="3"/>
  <c r="AI97" i="3"/>
  <c r="AI27" i="3"/>
  <c r="AI34" i="3"/>
  <c r="AI51" i="3"/>
  <c r="AI58" i="3"/>
  <c r="AI79" i="3"/>
  <c r="AI86" i="3"/>
  <c r="AI32" i="3"/>
  <c r="AI41" i="3"/>
  <c r="AI69" i="3"/>
  <c r="AJ5" i="3"/>
  <c r="AI49" i="3"/>
  <c r="AI80" i="3"/>
  <c r="AI10" i="3"/>
  <c r="AI96" i="3"/>
  <c r="AI18" i="3"/>
  <c r="AI60" i="3"/>
  <c r="AI70" i="3"/>
  <c r="AI81" i="3"/>
  <c r="AI89" i="3"/>
  <c r="AI42" i="3"/>
  <c r="AI35" i="3"/>
  <c r="AI72" i="3"/>
  <c r="AI98" i="3"/>
  <c r="AI11" i="3"/>
  <c r="AI43" i="3"/>
  <c r="AI52" i="3"/>
  <c r="AI19" i="3"/>
  <c r="AI61" i="3"/>
  <c r="AI82" i="3"/>
  <c r="AI90" i="3"/>
  <c r="AI76" i="3"/>
  <c r="AI12" i="3"/>
  <c r="AI47" i="3"/>
  <c r="AI62" i="3"/>
  <c r="AI93" i="3"/>
  <c r="AI31" i="3"/>
  <c r="AI64" i="3"/>
  <c r="AI36" i="3"/>
  <c r="AI13" i="3"/>
  <c r="AI48" i="3"/>
  <c r="AI94" i="3"/>
  <c r="AI14" i="3"/>
  <c r="AI65" i="3"/>
  <c r="AI16" i="3"/>
  <c r="AI37" i="3"/>
  <c r="AI84" i="3"/>
  <c r="AI53" i="3"/>
  <c r="AI68" i="3"/>
  <c r="AI95" i="3"/>
  <c r="AI38" i="3"/>
  <c r="AI54" i="3"/>
  <c r="AI17" i="3"/>
  <c r="AI99" i="3"/>
  <c r="AI40" i="3"/>
  <c r="AI73" i="3"/>
  <c r="AI87" i="3"/>
  <c r="AI55" i="3"/>
  <c r="AI28" i="3"/>
  <c r="AI100" i="3"/>
  <c r="AI44" i="3"/>
  <c r="AI75" i="3"/>
  <c r="AI88" i="3"/>
  <c r="AI46" i="3"/>
  <c r="AI29" i="3"/>
  <c r="AI59" i="3"/>
  <c r="AI101" i="3"/>
  <c r="AI92" i="3"/>
  <c r="M27" i="12"/>
  <c r="M26" i="12"/>
  <c r="M113" i="12"/>
  <c r="M112" i="12"/>
  <c r="M116" i="12"/>
  <c r="M42" i="12"/>
  <c r="M7" i="12"/>
  <c r="N5" i="12"/>
  <c r="M6" i="12"/>
  <c r="M119" i="12" l="1"/>
  <c r="M96" i="12" s="1"/>
  <c r="N117" i="12"/>
  <c r="AI44" i="6"/>
  <c r="AI66" i="6"/>
  <c r="AI28" i="6"/>
  <c r="AI24" i="6"/>
  <c r="AI20" i="6"/>
  <c r="AI29" i="6"/>
  <c r="AI46" i="6"/>
  <c r="AI57" i="6"/>
  <c r="AI27" i="6"/>
  <c r="AI53" i="6"/>
  <c r="AI64" i="6" s="1"/>
  <c r="AI13" i="6"/>
  <c r="AI30" i="6"/>
  <c r="AI45" i="6"/>
  <c r="AI47" i="6"/>
  <c r="AI23" i="6"/>
  <c r="M95" i="12"/>
  <c r="N128" i="12"/>
  <c r="N95" i="12" s="1"/>
  <c r="N77" i="12"/>
  <c r="N123" i="12"/>
  <c r="N43" i="12"/>
  <c r="M114" i="12"/>
  <c r="M94" i="12" s="1"/>
  <c r="AI6" i="6"/>
  <c r="AI12" i="6"/>
  <c r="AI26" i="6"/>
  <c r="AI14" i="6"/>
  <c r="AI40" i="6"/>
  <c r="AI15" i="6"/>
  <c r="AI22" i="6"/>
  <c r="AI54" i="6"/>
  <c r="AI65" i="6" s="1"/>
  <c r="AI55" i="6"/>
  <c r="AI37" i="6"/>
  <c r="AI7" i="6"/>
  <c r="AI60" i="6"/>
  <c r="AI39" i="6"/>
  <c r="AI48" i="6"/>
  <c r="AI41" i="6"/>
  <c r="AI16" i="6"/>
  <c r="AI42" i="6"/>
  <c r="AI36" i="6"/>
  <c r="AI56" i="6"/>
  <c r="AI59" i="6"/>
  <c r="AI9" i="6"/>
  <c r="AI31" i="6"/>
  <c r="AI49" i="6"/>
  <c r="AI17" i="6"/>
  <c r="AI38" i="6"/>
  <c r="AI58" i="6"/>
  <c r="AI32" i="6"/>
  <c r="AI52" i="6"/>
  <c r="AI63" i="6" s="1"/>
  <c r="AJ5" i="6"/>
  <c r="AJ68" i="6" s="1"/>
  <c r="AJ25" i="3"/>
  <c r="AJ20" i="3"/>
  <c r="AJ56" i="3"/>
  <c r="AJ67" i="3"/>
  <c r="AJ83" i="3"/>
  <c r="AJ24" i="3"/>
  <c r="AJ66" i="3"/>
  <c r="AJ30" i="3"/>
  <c r="AJ77" i="3"/>
  <c r="AJ13" i="3"/>
  <c r="AJ19" i="3"/>
  <c r="AJ32" i="3"/>
  <c r="AJ49" i="3"/>
  <c r="AJ55" i="3"/>
  <c r="AK5" i="3"/>
  <c r="AJ21" i="3"/>
  <c r="AJ33" i="3"/>
  <c r="AJ50" i="3"/>
  <c r="AJ57" i="3"/>
  <c r="AJ78" i="3"/>
  <c r="AJ85" i="3"/>
  <c r="AJ102" i="3"/>
  <c r="AJ9" i="3"/>
  <c r="AJ15" i="3"/>
  <c r="AJ39" i="3"/>
  <c r="AJ45" i="3"/>
  <c r="AJ63" i="3"/>
  <c r="AJ71" i="3"/>
  <c r="AJ91" i="3"/>
  <c r="AJ97" i="3"/>
  <c r="AJ27" i="3"/>
  <c r="AJ34" i="3"/>
  <c r="AJ51" i="3"/>
  <c r="AJ58" i="3"/>
  <c r="AJ79" i="3"/>
  <c r="AJ86" i="3"/>
  <c r="AJ17" i="3"/>
  <c r="AJ59" i="3"/>
  <c r="AJ88" i="3"/>
  <c r="AJ41" i="3"/>
  <c r="AJ69" i="3"/>
  <c r="AJ10" i="3"/>
  <c r="AJ96" i="3"/>
  <c r="AJ18" i="3"/>
  <c r="AJ60" i="3"/>
  <c r="AJ70" i="3"/>
  <c r="AJ81" i="3"/>
  <c r="AJ89" i="3"/>
  <c r="AJ35" i="3"/>
  <c r="AJ72" i="3"/>
  <c r="AJ98" i="3"/>
  <c r="AJ11" i="3"/>
  <c r="AJ43" i="3"/>
  <c r="AJ52" i="3"/>
  <c r="AJ76" i="3"/>
  <c r="AJ12" i="3"/>
  <c r="AJ47" i="3"/>
  <c r="AJ62" i="3"/>
  <c r="AJ93" i="3"/>
  <c r="AJ64" i="3"/>
  <c r="AJ36" i="3"/>
  <c r="AJ82" i="3"/>
  <c r="AJ48" i="3"/>
  <c r="AJ94" i="3"/>
  <c r="AJ14" i="3"/>
  <c r="AJ16" i="3"/>
  <c r="AJ37" i="3"/>
  <c r="AJ84" i="3"/>
  <c r="AJ68" i="3"/>
  <c r="AJ95" i="3"/>
  <c r="AJ38" i="3"/>
  <c r="AJ54" i="3"/>
  <c r="AJ99" i="3"/>
  <c r="AJ40" i="3"/>
  <c r="AJ73" i="3"/>
  <c r="AJ87" i="3"/>
  <c r="AJ28" i="3"/>
  <c r="AJ100" i="3"/>
  <c r="AJ44" i="3"/>
  <c r="AJ75" i="3"/>
  <c r="AJ90" i="3"/>
  <c r="AJ46" i="3"/>
  <c r="AJ29" i="3"/>
  <c r="AJ61" i="3"/>
  <c r="AJ101" i="3"/>
  <c r="AJ92" i="3"/>
  <c r="AJ80" i="3"/>
  <c r="AJ65" i="3"/>
  <c r="AJ53" i="3"/>
  <c r="AJ42" i="3"/>
  <c r="AJ31" i="3"/>
  <c r="N26" i="12"/>
  <c r="N27" i="12"/>
  <c r="N113" i="12"/>
  <c r="N116" i="12"/>
  <c r="N42" i="12"/>
  <c r="N7" i="12"/>
  <c r="O5" i="12"/>
  <c r="N6" i="12"/>
  <c r="N119" i="12" l="1"/>
  <c r="N96" i="12" s="1"/>
  <c r="O117" i="12"/>
  <c r="AJ44" i="6"/>
  <c r="AJ66" i="6"/>
  <c r="AJ28" i="6"/>
  <c r="AJ13" i="6"/>
  <c r="AJ53" i="6"/>
  <c r="AJ64" i="6" s="1"/>
  <c r="AJ20" i="6"/>
  <c r="AJ24" i="6"/>
  <c r="AJ29" i="6"/>
  <c r="AJ46" i="6"/>
  <c r="AJ57" i="6"/>
  <c r="AJ23" i="6"/>
  <c r="AJ45" i="6"/>
  <c r="AJ27" i="6"/>
  <c r="AJ30" i="6"/>
  <c r="AJ47" i="6"/>
  <c r="N129" i="12"/>
  <c r="O127" i="12" s="1"/>
  <c r="O128" i="12"/>
  <c r="O95" i="12" s="1"/>
  <c r="O77" i="12"/>
  <c r="O123" i="12"/>
  <c r="O43" i="12"/>
  <c r="AJ14" i="6"/>
  <c r="AJ12" i="6"/>
  <c r="AJ37" i="6"/>
  <c r="AJ40" i="6"/>
  <c r="AJ54" i="6"/>
  <c r="AJ65" i="6" s="1"/>
  <c r="AJ22" i="6"/>
  <c r="AJ6" i="6"/>
  <c r="AJ42" i="6"/>
  <c r="AJ26" i="6"/>
  <c r="AJ32" i="6"/>
  <c r="AJ60" i="6"/>
  <c r="AJ15" i="6"/>
  <c r="AJ39" i="6"/>
  <c r="AJ41" i="6"/>
  <c r="AJ55" i="6"/>
  <c r="AJ52" i="6"/>
  <c r="AJ63" i="6" s="1"/>
  <c r="AJ7" i="6"/>
  <c r="AJ36" i="6"/>
  <c r="AJ59" i="6"/>
  <c r="AJ48" i="6"/>
  <c r="AJ16" i="6"/>
  <c r="AJ56" i="6"/>
  <c r="AJ9" i="6"/>
  <c r="AJ31" i="6"/>
  <c r="AJ49" i="6"/>
  <c r="AJ17" i="6"/>
  <c r="AJ38" i="6"/>
  <c r="AJ58" i="6"/>
  <c r="AK56" i="3"/>
  <c r="AK20" i="3"/>
  <c r="AK67" i="3"/>
  <c r="AK83" i="3"/>
  <c r="AK24" i="3"/>
  <c r="AK25" i="3"/>
  <c r="AK66" i="3"/>
  <c r="AK30" i="3"/>
  <c r="AK77" i="3"/>
  <c r="AK13" i="3"/>
  <c r="AK14" i="3"/>
  <c r="AK38" i="3"/>
  <c r="AK44" i="3"/>
  <c r="AK62" i="3"/>
  <c r="AK70" i="3"/>
  <c r="AK90" i="3"/>
  <c r="AK96" i="3"/>
  <c r="AK21" i="3"/>
  <c r="AK33" i="3"/>
  <c r="AK50" i="3"/>
  <c r="AK57" i="3"/>
  <c r="AK78" i="3"/>
  <c r="AK85" i="3"/>
  <c r="AK102" i="3"/>
  <c r="AK9" i="3"/>
  <c r="AK15" i="3"/>
  <c r="AK39" i="3"/>
  <c r="AK45" i="3"/>
  <c r="AK63" i="3"/>
  <c r="AK71" i="3"/>
  <c r="AK91" i="3"/>
  <c r="AK97" i="3"/>
  <c r="AK95" i="3"/>
  <c r="AK17" i="3"/>
  <c r="AK32" i="3"/>
  <c r="AK59" i="3"/>
  <c r="AK88" i="3"/>
  <c r="AK41" i="3"/>
  <c r="AK49" i="3"/>
  <c r="AK69" i="3"/>
  <c r="AK34" i="3"/>
  <c r="AK10" i="3"/>
  <c r="AK51" i="3"/>
  <c r="AK18" i="3"/>
  <c r="AK60" i="3"/>
  <c r="AK81" i="3"/>
  <c r="AK89" i="3"/>
  <c r="AK35" i="3"/>
  <c r="AK72" i="3"/>
  <c r="AK98" i="3"/>
  <c r="AK11" i="3"/>
  <c r="AK19" i="3"/>
  <c r="AK43" i="3"/>
  <c r="AK52" i="3"/>
  <c r="AK29" i="3"/>
  <c r="AK61" i="3"/>
  <c r="AK101" i="3"/>
  <c r="AK76" i="3"/>
  <c r="AK12" i="3"/>
  <c r="AK47" i="3"/>
  <c r="AK93" i="3"/>
  <c r="AK79" i="3"/>
  <c r="AK64" i="3"/>
  <c r="AK36" i="3"/>
  <c r="AK82" i="3"/>
  <c r="AK48" i="3"/>
  <c r="AK94" i="3"/>
  <c r="AK16" i="3"/>
  <c r="AK37" i="3"/>
  <c r="AK84" i="3"/>
  <c r="AK68" i="3"/>
  <c r="AK86" i="3"/>
  <c r="AK54" i="3"/>
  <c r="AK27" i="3"/>
  <c r="AK99" i="3"/>
  <c r="AK40" i="3"/>
  <c r="AK55" i="3"/>
  <c r="AK73" i="3"/>
  <c r="AK87" i="3"/>
  <c r="AK28" i="3"/>
  <c r="AK58" i="3"/>
  <c r="AK100" i="3"/>
  <c r="AK75" i="3"/>
  <c r="AK46" i="3"/>
  <c r="AK92" i="3"/>
  <c r="AK80" i="3"/>
  <c r="AK65" i="3"/>
  <c r="AK53" i="3"/>
  <c r="AK42" i="3"/>
  <c r="AK31" i="3"/>
  <c r="O27" i="12"/>
  <c r="O26" i="12"/>
  <c r="O113" i="12"/>
  <c r="O112" i="12"/>
  <c r="O116" i="12"/>
  <c r="O42" i="12"/>
  <c r="O7" i="12"/>
  <c r="P5" i="12"/>
  <c r="O6" i="12"/>
  <c r="O119" i="12" l="1"/>
  <c r="O96" i="12" s="1"/>
  <c r="P117" i="12"/>
  <c r="O129" i="12"/>
  <c r="P127" i="12" s="1"/>
  <c r="P128" i="12"/>
  <c r="P95" i="12" s="1"/>
  <c r="P77" i="12"/>
  <c r="P123" i="12"/>
  <c r="P43" i="12"/>
  <c r="O114" i="12"/>
  <c r="O94" i="12" s="1"/>
  <c r="Q5" i="12"/>
  <c r="P26" i="12"/>
  <c r="P27" i="12"/>
  <c r="P113" i="12"/>
  <c r="P112" i="12"/>
  <c r="P116" i="12"/>
  <c r="P122" i="12"/>
  <c r="P7" i="12"/>
  <c r="P6" i="12"/>
  <c r="P119" i="12" l="1"/>
  <c r="P96" i="12" s="1"/>
  <c r="Q42" i="12"/>
  <c r="Q117" i="12"/>
  <c r="R5" i="12"/>
  <c r="Q122" i="12"/>
  <c r="Q116" i="12"/>
  <c r="Q113" i="12"/>
  <c r="Q6" i="12"/>
  <c r="Q7" i="12"/>
  <c r="P124" i="12"/>
  <c r="P129" i="12"/>
  <c r="Q127" i="12" s="1"/>
  <c r="Q128" i="12"/>
  <c r="Q95" i="12" s="1"/>
  <c r="Q43" i="12"/>
  <c r="Q77" i="12"/>
  <c r="Q123" i="12"/>
  <c r="P114" i="12"/>
  <c r="P94" i="12" s="1"/>
  <c r="Q112" i="12"/>
  <c r="Q27" i="12"/>
  <c r="Q26" i="12"/>
  <c r="Q119" i="12" l="1"/>
  <c r="Q96" i="12" s="1"/>
  <c r="R122" i="12"/>
  <c r="R117" i="12"/>
  <c r="R112" i="12"/>
  <c r="R42" i="12"/>
  <c r="R113" i="12"/>
  <c r="R27" i="12"/>
  <c r="R26" i="12"/>
  <c r="R77" i="12"/>
  <c r="R43" i="12"/>
  <c r="R128" i="12"/>
  <c r="R95" i="12" s="1"/>
  <c r="S5" i="12"/>
  <c r="R7" i="12"/>
  <c r="R116" i="12"/>
  <c r="R123" i="12"/>
  <c r="R6" i="12"/>
  <c r="Q129" i="12"/>
  <c r="R127" i="12" s="1"/>
  <c r="Q124" i="12"/>
  <c r="Q93" i="12" s="1"/>
  <c r="Q114" i="12"/>
  <c r="Q94" i="12" s="1"/>
  <c r="R119" i="12" l="1"/>
  <c r="R96" i="12" s="1"/>
  <c r="R114" i="12"/>
  <c r="R94" i="12" s="1"/>
  <c r="R124" i="12"/>
  <c r="R93" i="12" s="1"/>
  <c r="S113" i="12"/>
  <c r="S117" i="12"/>
  <c r="S7" i="12"/>
  <c r="S116" i="12"/>
  <c r="S42" i="12"/>
  <c r="S26" i="12"/>
  <c r="S27" i="12"/>
  <c r="S123" i="12"/>
  <c r="S43" i="12"/>
  <c r="S77" i="12"/>
  <c r="S128" i="12"/>
  <c r="S95" i="12" s="1"/>
  <c r="R129" i="12"/>
  <c r="S127" i="12" s="1"/>
  <c r="S6" i="12"/>
  <c r="T5" i="12"/>
  <c r="S112" i="12"/>
  <c r="S122" i="12"/>
  <c r="T33" i="12"/>
  <c r="T32" i="12"/>
  <c r="T113" i="12"/>
  <c r="T25" i="12"/>
  <c r="S114" i="12" l="1"/>
  <c r="S94" i="12" s="1"/>
  <c r="S119" i="12"/>
  <c r="S96" i="12" s="1"/>
  <c r="T117" i="12"/>
  <c r="T107" i="12"/>
  <c r="T78" i="12"/>
  <c r="T38" i="12"/>
  <c r="T22" i="12"/>
  <c r="T116" i="12"/>
  <c r="S124" i="12"/>
  <c r="S93" i="12" s="1"/>
  <c r="S129" i="12"/>
  <c r="T127" i="12" s="1"/>
  <c r="U5" i="12"/>
  <c r="T7" i="12"/>
  <c r="T41" i="12"/>
  <c r="T112" i="12"/>
  <c r="T114" i="12" s="1"/>
  <c r="T94" i="12" s="1"/>
  <c r="T56" i="12"/>
  <c r="T26" i="12"/>
  <c r="T27" i="12"/>
  <c r="T43" i="12"/>
  <c r="T123" i="12"/>
  <c r="T77" i="12"/>
  <c r="T79" i="12" s="1"/>
  <c r="T128" i="12"/>
  <c r="T95" i="12" s="1"/>
  <c r="T6" i="12"/>
  <c r="T23" i="12"/>
  <c r="T122" i="12"/>
  <c r="T42" i="12"/>
  <c r="U22" i="12"/>
  <c r="T119" i="12" l="1"/>
  <c r="T96" i="12" s="1"/>
  <c r="U117" i="12"/>
  <c r="U27" i="12"/>
  <c r="U116" i="12"/>
  <c r="U107" i="12"/>
  <c r="U77" i="12"/>
  <c r="U43" i="12"/>
  <c r="U123" i="12"/>
  <c r="U128" i="12"/>
  <c r="U95" i="12" s="1"/>
  <c r="U6" i="12"/>
  <c r="V5" i="12"/>
  <c r="U7" i="12"/>
  <c r="U55" i="12"/>
  <c r="U23" i="12"/>
  <c r="U37" i="12"/>
  <c r="U112" i="12"/>
  <c r="U56" i="12"/>
  <c r="U41" i="12"/>
  <c r="U78" i="12"/>
  <c r="U32" i="12"/>
  <c r="U122" i="12"/>
  <c r="U26" i="12"/>
  <c r="U28" i="12"/>
  <c r="T129" i="12"/>
  <c r="U127" i="12" s="1"/>
  <c r="T124" i="12"/>
  <c r="T93" i="12" s="1"/>
  <c r="U119" i="12" l="1"/>
  <c r="U96" i="12" s="1"/>
  <c r="U124" i="12"/>
  <c r="U93" i="12" s="1"/>
  <c r="V117" i="12"/>
  <c r="W5" i="12"/>
  <c r="V7" i="12"/>
  <c r="V56" i="12"/>
  <c r="V65" i="12"/>
  <c r="V41" i="12"/>
  <c r="U129" i="12"/>
  <c r="V127" i="12" s="1"/>
  <c r="V32" i="12"/>
  <c r="V22" i="12"/>
  <c r="V82" i="12"/>
  <c r="V107" i="12"/>
  <c r="W116" i="12"/>
  <c r="W117" i="12"/>
  <c r="V122" i="12"/>
  <c r="V38" i="12"/>
  <c r="V25" i="12"/>
  <c r="V42" i="12"/>
  <c r="V21" i="12"/>
  <c r="V123" i="12"/>
  <c r="V116" i="12"/>
  <c r="V24" i="12"/>
  <c r="V29" i="12"/>
  <c r="V28" i="12"/>
  <c r="V26" i="12"/>
  <c r="V27" i="12"/>
  <c r="V6" i="12"/>
  <c r="V40" i="12"/>
  <c r="V128" i="12"/>
  <c r="V95" i="12" s="1"/>
  <c r="V23" i="12"/>
  <c r="V68" i="12"/>
  <c r="V33" i="12"/>
  <c r="V77" i="12"/>
  <c r="V112" i="12"/>
  <c r="V43" i="12"/>
  <c r="V78" i="12"/>
  <c r="W77" i="12"/>
  <c r="W43" i="12"/>
  <c r="W123" i="12"/>
  <c r="W68" i="12"/>
  <c r="W128" i="12"/>
  <c r="W95" i="12" s="1"/>
  <c r="W34" i="12"/>
  <c r="W27" i="12"/>
  <c r="W26" i="12"/>
  <c r="W22" i="12"/>
  <c r="W55" i="12"/>
  <c r="W24" i="12"/>
  <c r="W12" i="12"/>
  <c r="W39" i="12"/>
  <c r="W113" i="12"/>
  <c r="W21" i="12"/>
  <c r="W42" i="12"/>
  <c r="W54" i="12"/>
  <c r="W33" i="12"/>
  <c r="W82" i="12"/>
  <c r="W38" i="12"/>
  <c r="W122" i="12"/>
  <c r="W40" i="12"/>
  <c r="W107" i="12"/>
  <c r="W25" i="12"/>
  <c r="W41" i="12"/>
  <c r="W65" i="12"/>
  <c r="W66" i="12"/>
  <c r="W78" i="12"/>
  <c r="W37" i="12"/>
  <c r="W56" i="12"/>
  <c r="W108" i="12"/>
  <c r="W18" i="12"/>
  <c r="W104" i="12"/>
  <c r="W91" i="12" s="1"/>
  <c r="W58" i="12"/>
  <c r="W23" i="12"/>
  <c r="W47" i="12"/>
  <c r="W32" i="12"/>
  <c r="W7" i="12"/>
  <c r="X5" i="12"/>
  <c r="W6" i="12"/>
  <c r="W119" i="12" l="1"/>
  <c r="W96" i="12" s="1"/>
  <c r="V124" i="12"/>
  <c r="V93" i="12" s="1"/>
  <c r="V119" i="12"/>
  <c r="V96" i="12" s="1"/>
  <c r="V70" i="12"/>
  <c r="V30" i="12"/>
  <c r="W112" i="12"/>
  <c r="W29" i="12"/>
  <c r="W19" i="12"/>
  <c r="W28" i="12"/>
  <c r="X116" i="12"/>
  <c r="X119" i="12" s="1"/>
  <c r="X96" i="12" s="1"/>
  <c r="X117" i="12"/>
  <c r="V129" i="12"/>
  <c r="W127" i="12" s="1"/>
  <c r="W124" i="12"/>
  <c r="W93" i="12" s="1"/>
  <c r="X77" i="12"/>
  <c r="X43" i="12"/>
  <c r="X123" i="12"/>
  <c r="X68" i="12"/>
  <c r="W129" i="12"/>
  <c r="X127" i="12" s="1"/>
  <c r="X128" i="12"/>
  <c r="W114" i="12"/>
  <c r="W94" i="12" s="1"/>
  <c r="X34" i="12"/>
  <c r="W30" i="12"/>
  <c r="W35" i="12"/>
  <c r="X29" i="12"/>
  <c r="X27" i="12"/>
  <c r="X28" i="12"/>
  <c r="X26" i="12"/>
  <c r="W44" i="12"/>
  <c r="W79" i="12"/>
  <c r="W67" i="12"/>
  <c r="W70" i="12"/>
  <c r="X18" i="12"/>
  <c r="X40" i="12"/>
  <c r="X22" i="12"/>
  <c r="X55" i="12"/>
  <c r="X65" i="12"/>
  <c r="X12" i="12"/>
  <c r="X39" i="12"/>
  <c r="X33" i="12"/>
  <c r="X82" i="12"/>
  <c r="X113" i="12"/>
  <c r="X38" i="12"/>
  <c r="X19" i="12"/>
  <c r="X41" i="12"/>
  <c r="X66" i="12"/>
  <c r="X122" i="12"/>
  <c r="X25" i="12"/>
  <c r="X58" i="12"/>
  <c r="X78" i="12"/>
  <c r="X112" i="12"/>
  <c r="X56" i="12"/>
  <c r="X108" i="12"/>
  <c r="X24" i="12"/>
  <c r="X54" i="12"/>
  <c r="X104" i="12"/>
  <c r="X91" i="12" s="1"/>
  <c r="X42" i="12"/>
  <c r="X23" i="12"/>
  <c r="X47" i="12"/>
  <c r="X32" i="12"/>
  <c r="X107" i="12"/>
  <c r="X37" i="12"/>
  <c r="X21" i="12"/>
  <c r="W109" i="12"/>
  <c r="W92" i="12" s="1"/>
  <c r="W57" i="12"/>
  <c r="W60" i="12"/>
  <c r="X7" i="12"/>
  <c r="Y5" i="12"/>
  <c r="X6" i="12"/>
  <c r="W46" i="12" l="1"/>
  <c r="W51" i="12" s="1"/>
  <c r="W62" i="12" s="1"/>
  <c r="Y116" i="12"/>
  <c r="Y119" i="12" s="1"/>
  <c r="Y96" i="12" s="1"/>
  <c r="Y117" i="12"/>
  <c r="X114" i="12"/>
  <c r="X94" i="12" s="1"/>
  <c r="X124" i="12"/>
  <c r="X93" i="12" s="1"/>
  <c r="Y77" i="12"/>
  <c r="Y123" i="12"/>
  <c r="Y43" i="12"/>
  <c r="Y68" i="12"/>
  <c r="X95" i="12"/>
  <c r="X129" i="12"/>
  <c r="Y127" i="12" s="1"/>
  <c r="Y128" i="12"/>
  <c r="Y95" i="12" s="1"/>
  <c r="X79" i="12"/>
  <c r="X35" i="12"/>
  <c r="Y34" i="12"/>
  <c r="X30" i="12"/>
  <c r="X109" i="12"/>
  <c r="X92" i="12" s="1"/>
  <c r="Y27" i="12"/>
  <c r="Y29" i="12"/>
  <c r="Y26" i="12"/>
  <c r="Y28" i="12"/>
  <c r="X67" i="12"/>
  <c r="X70" i="12"/>
  <c r="Y37" i="12"/>
  <c r="Y18" i="12"/>
  <c r="Y40" i="12"/>
  <c r="Y33" i="12"/>
  <c r="Y65" i="12"/>
  <c r="Y108" i="12"/>
  <c r="Y82" i="12"/>
  <c r="Y12" i="12"/>
  <c r="Y42" i="12"/>
  <c r="Y55" i="12"/>
  <c r="Y58" i="12"/>
  <c r="Y19" i="12"/>
  <c r="Y22" i="12"/>
  <c r="Y21" i="12"/>
  <c r="Y47" i="12"/>
  <c r="Y38" i="12"/>
  <c r="Y113" i="12"/>
  <c r="Y41" i="12"/>
  <c r="Y104" i="12"/>
  <c r="Y91" i="12" s="1"/>
  <c r="Y66" i="12"/>
  <c r="Y122" i="12"/>
  <c r="Y25" i="12"/>
  <c r="Y78" i="12"/>
  <c r="Y56" i="12"/>
  <c r="Y39" i="12"/>
  <c r="Y24" i="12"/>
  <c r="Y54" i="12"/>
  <c r="Y23" i="12"/>
  <c r="Y32" i="12"/>
  <c r="Y107" i="12"/>
  <c r="Y112" i="12"/>
  <c r="X57" i="12"/>
  <c r="X60" i="12"/>
  <c r="X44" i="12"/>
  <c r="Y7" i="12"/>
  <c r="Z5" i="12"/>
  <c r="Y6" i="12"/>
  <c r="W49" i="12" l="1"/>
  <c r="Z116" i="12"/>
  <c r="Z119" i="12" s="1"/>
  <c r="Z96" i="12" s="1"/>
  <c r="Z117" i="12"/>
  <c r="Y124" i="12"/>
  <c r="Y93" i="12" s="1"/>
  <c r="Z77" i="12"/>
  <c r="Z123" i="12"/>
  <c r="Z43" i="12"/>
  <c r="Z68" i="12"/>
  <c r="X46" i="12"/>
  <c r="X51" i="12" s="1"/>
  <c r="X62" i="12" s="1"/>
  <c r="Y129" i="12"/>
  <c r="Z127" i="12" s="1"/>
  <c r="Z128" i="12"/>
  <c r="Y114" i="12"/>
  <c r="Y94" i="12" s="1"/>
  <c r="W72" i="12"/>
  <c r="W84" i="12" s="1"/>
  <c r="W90" i="12" s="1"/>
  <c r="Z34" i="12"/>
  <c r="Y30" i="12"/>
  <c r="Y35" i="12"/>
  <c r="Y109" i="12"/>
  <c r="Y92" i="12" s="1"/>
  <c r="Z28" i="12"/>
  <c r="Z29" i="12"/>
  <c r="Z26" i="12"/>
  <c r="Z27" i="12"/>
  <c r="Y67" i="12"/>
  <c r="Y70" i="12"/>
  <c r="Y57" i="12"/>
  <c r="Y60" i="12"/>
  <c r="Z66" i="12"/>
  <c r="Z37" i="12"/>
  <c r="Z107" i="12"/>
  <c r="Z33" i="12"/>
  <c r="Z108" i="12"/>
  <c r="Z38" i="12"/>
  <c r="Z122" i="12"/>
  <c r="Z40" i="12"/>
  <c r="Z42" i="12"/>
  <c r="Z55" i="12"/>
  <c r="Z58" i="12"/>
  <c r="Z19" i="12"/>
  <c r="Z22" i="12"/>
  <c r="Z12" i="12"/>
  <c r="Z32" i="12"/>
  <c r="Z21" i="12"/>
  <c r="Z47" i="12"/>
  <c r="Z113" i="12"/>
  <c r="Z65" i="12"/>
  <c r="Z82" i="12"/>
  <c r="Z24" i="12"/>
  <c r="Z54" i="12"/>
  <c r="Z25" i="12"/>
  <c r="Z78" i="12"/>
  <c r="Z41" i="12"/>
  <c r="Z56" i="12"/>
  <c r="Z18" i="12"/>
  <c r="Z39" i="12"/>
  <c r="Z104" i="12"/>
  <c r="Z91" i="12" s="1"/>
  <c r="Z23" i="12"/>
  <c r="Z112" i="12"/>
  <c r="Y79" i="12"/>
  <c r="Y44" i="12"/>
  <c r="Z7" i="12"/>
  <c r="AA5" i="12"/>
  <c r="Z6" i="12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E6" i="5"/>
  <c r="AD5" i="5" s="1"/>
  <c r="E8" i="5"/>
  <c r="H12" i="12" s="1"/>
  <c r="F8" i="5"/>
  <c r="I12" i="12" s="1"/>
  <c r="G8" i="5"/>
  <c r="J12" i="12" s="1"/>
  <c r="H8" i="5"/>
  <c r="K12" i="12" s="1"/>
  <c r="I8" i="5"/>
  <c r="L12" i="12" s="1"/>
  <c r="J8" i="5"/>
  <c r="M12" i="12" s="1"/>
  <c r="K8" i="5"/>
  <c r="N12" i="12" s="1"/>
  <c r="L8" i="5"/>
  <c r="O12" i="12" s="1"/>
  <c r="M8" i="5"/>
  <c r="P12" i="12" s="1"/>
  <c r="N8" i="5"/>
  <c r="Q12" i="12" s="1"/>
  <c r="O8" i="5"/>
  <c r="R12" i="12" s="1"/>
  <c r="P8" i="5"/>
  <c r="S12" i="12" s="1"/>
  <c r="Q8" i="5"/>
  <c r="T12" i="12" s="1"/>
  <c r="R8" i="5"/>
  <c r="U12" i="12" s="1"/>
  <c r="S8" i="5"/>
  <c r="V12" i="12" s="1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F12" i="5"/>
  <c r="K12" i="5"/>
  <c r="L12" i="5"/>
  <c r="M12" i="5"/>
  <c r="P12" i="5"/>
  <c r="Q12" i="5"/>
  <c r="T37" i="12" s="1"/>
  <c r="S12" i="5"/>
  <c r="V37" i="12" s="1"/>
  <c r="E12" i="5"/>
  <c r="E13" i="5"/>
  <c r="G12" i="5"/>
  <c r="G13" i="5"/>
  <c r="I13" i="5"/>
  <c r="E14" i="5"/>
  <c r="H38" i="12" s="1"/>
  <c r="F14" i="5"/>
  <c r="I38" i="12" s="1"/>
  <c r="G14" i="5"/>
  <c r="J38" i="12" s="1"/>
  <c r="H14" i="5"/>
  <c r="K38" i="12" s="1"/>
  <c r="I14" i="5"/>
  <c r="L38" i="12" s="1"/>
  <c r="J14" i="5"/>
  <c r="M38" i="12" s="1"/>
  <c r="R14" i="5"/>
  <c r="U38" i="12" s="1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Q18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E20" i="5"/>
  <c r="F20" i="5"/>
  <c r="G20" i="5"/>
  <c r="H20" i="5"/>
  <c r="I20" i="5"/>
  <c r="J20" i="5"/>
  <c r="L20" i="5"/>
  <c r="M20" i="5"/>
  <c r="N20" i="5"/>
  <c r="O20" i="5"/>
  <c r="P20" i="5"/>
  <c r="Q20" i="5"/>
  <c r="R20" i="5"/>
  <c r="S20" i="5"/>
  <c r="E23" i="5"/>
  <c r="F23" i="5"/>
  <c r="G23" i="5"/>
  <c r="Q24" i="5"/>
  <c r="R24" i="5"/>
  <c r="R38" i="5" s="1"/>
  <c r="U39" i="12" s="1"/>
  <c r="S24" i="5"/>
  <c r="F25" i="5"/>
  <c r="G25" i="5"/>
  <c r="J25" i="5"/>
  <c r="L25" i="5"/>
  <c r="M25" i="5"/>
  <c r="O25" i="5"/>
  <c r="P25" i="5"/>
  <c r="E25" i="5"/>
  <c r="E27" i="5"/>
  <c r="I25" i="5"/>
  <c r="I27" i="5"/>
  <c r="K25" i="5"/>
  <c r="K27" i="5"/>
  <c r="N27" i="5"/>
  <c r="Q28" i="5"/>
  <c r="S27" i="5"/>
  <c r="S28" i="5"/>
  <c r="E29" i="5"/>
  <c r="G29" i="5"/>
  <c r="I29" i="5"/>
  <c r="K29" i="5"/>
  <c r="F32" i="5"/>
  <c r="I32" i="5"/>
  <c r="K32" i="5"/>
  <c r="L32" i="5"/>
  <c r="M32" i="5"/>
  <c r="N32" i="5"/>
  <c r="O32" i="5"/>
  <c r="P32" i="5"/>
  <c r="I33" i="5"/>
  <c r="J33" i="5"/>
  <c r="K33" i="5"/>
  <c r="S33" i="5"/>
  <c r="F34" i="5"/>
  <c r="H34" i="5"/>
  <c r="I34" i="5"/>
  <c r="J34" i="5"/>
  <c r="K34" i="5"/>
  <c r="L34" i="5"/>
  <c r="M34" i="5"/>
  <c r="N34" i="5"/>
  <c r="O34" i="5"/>
  <c r="P34" i="5"/>
  <c r="Q34" i="5"/>
  <c r="E32" i="5"/>
  <c r="E33" i="5"/>
  <c r="E34" i="5"/>
  <c r="E36" i="5"/>
  <c r="E37" i="5"/>
  <c r="F37" i="5"/>
  <c r="G37" i="5"/>
  <c r="I37" i="5"/>
  <c r="J37" i="5"/>
  <c r="L37" i="5"/>
  <c r="M37" i="5"/>
  <c r="N37" i="5"/>
  <c r="O37" i="5"/>
  <c r="P37" i="5"/>
  <c r="Q37" i="5"/>
  <c r="S36" i="5"/>
  <c r="S37" i="5"/>
  <c r="E39" i="5"/>
  <c r="F39" i="5"/>
  <c r="G39" i="5"/>
  <c r="H39" i="5"/>
  <c r="I39" i="5"/>
  <c r="K39" i="5"/>
  <c r="L39" i="5"/>
  <c r="M39" i="5"/>
  <c r="N39" i="5"/>
  <c r="O39" i="5"/>
  <c r="Q39" i="5"/>
  <c r="R39" i="5"/>
  <c r="S39" i="5"/>
  <c r="P39" i="5"/>
  <c r="P40" i="5"/>
  <c r="F41" i="5"/>
  <c r="G41" i="5"/>
  <c r="H41" i="5"/>
  <c r="J39" i="5"/>
  <c r="J40" i="5"/>
  <c r="J41" i="5"/>
  <c r="M41" i="5"/>
  <c r="N41" i="5"/>
  <c r="O41" i="5"/>
  <c r="P41" i="5"/>
  <c r="R41" i="5"/>
  <c r="Q42" i="5"/>
  <c r="R42" i="5"/>
  <c r="L43" i="5"/>
  <c r="S41" i="5"/>
  <c r="S42" i="5"/>
  <c r="S43" i="5"/>
  <c r="F44" i="5"/>
  <c r="G44" i="5"/>
  <c r="L44" i="5"/>
  <c r="M44" i="5"/>
  <c r="H43" i="5"/>
  <c r="H44" i="5"/>
  <c r="H45" i="5"/>
  <c r="J43" i="5"/>
  <c r="J44" i="5"/>
  <c r="J45" i="5"/>
  <c r="N43" i="5"/>
  <c r="N44" i="5"/>
  <c r="N45" i="5"/>
  <c r="P43" i="5"/>
  <c r="P44" i="5"/>
  <c r="P45" i="5"/>
  <c r="F46" i="5"/>
  <c r="G46" i="5"/>
  <c r="H46" i="5"/>
  <c r="J46" i="5"/>
  <c r="K46" i="5"/>
  <c r="M46" i="5"/>
  <c r="N46" i="5"/>
  <c r="O46" i="5"/>
  <c r="P46" i="5"/>
  <c r="R46" i="5"/>
  <c r="S45" i="5"/>
  <c r="S46" i="5"/>
  <c r="S47" i="5"/>
  <c r="G48" i="5"/>
  <c r="L48" i="5"/>
  <c r="M48" i="5"/>
  <c r="N48" i="5"/>
  <c r="O48" i="5"/>
  <c r="P48" i="5"/>
  <c r="Q48" i="5"/>
  <c r="R48" i="5"/>
  <c r="E49" i="5"/>
  <c r="F49" i="5"/>
  <c r="H49" i="5"/>
  <c r="I49" i="5"/>
  <c r="J49" i="5"/>
  <c r="K49" i="5"/>
  <c r="L49" i="5"/>
  <c r="M49" i="5"/>
  <c r="N49" i="5"/>
  <c r="O49" i="5"/>
  <c r="P49" i="5"/>
  <c r="Q49" i="5"/>
  <c r="R49" i="5"/>
  <c r="J53" i="5"/>
  <c r="M33" i="12" s="1"/>
  <c r="N53" i="5"/>
  <c r="Q33" i="12" s="1"/>
  <c r="R53" i="5"/>
  <c r="U33" i="12" s="1"/>
  <c r="U35" i="12" s="1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R56" i="5" s="1"/>
  <c r="U34" i="12" s="1"/>
  <c r="S54" i="5"/>
  <c r="S56" i="5" s="1"/>
  <c r="V34" i="12" s="1"/>
  <c r="V35" i="12" s="1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F59" i="5"/>
  <c r="H59" i="5"/>
  <c r="I59" i="5"/>
  <c r="J59" i="5"/>
  <c r="O59" i="5"/>
  <c r="R59" i="5"/>
  <c r="U19" i="12" s="1"/>
  <c r="L60" i="5"/>
  <c r="M60" i="5"/>
  <c r="N60" i="5"/>
  <c r="O60" i="5"/>
  <c r="Q59" i="5"/>
  <c r="Q60" i="5"/>
  <c r="E61" i="5"/>
  <c r="F61" i="5"/>
  <c r="I61" i="5"/>
  <c r="K61" i="5"/>
  <c r="L61" i="5"/>
  <c r="M61" i="5"/>
  <c r="O61" i="5"/>
  <c r="P61" i="5"/>
  <c r="S60" i="5"/>
  <c r="V19" i="12" s="1"/>
  <c r="E62" i="5"/>
  <c r="F62" i="5"/>
  <c r="G62" i="5"/>
  <c r="H62" i="5"/>
  <c r="I62" i="5"/>
  <c r="J62" i="5"/>
  <c r="K62" i="5"/>
  <c r="M62" i="5"/>
  <c r="N62" i="5"/>
  <c r="O62" i="5"/>
  <c r="P62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K66" i="5"/>
  <c r="N21" i="12" s="1"/>
  <c r="L66" i="5"/>
  <c r="O21" i="12" s="1"/>
  <c r="M66" i="5"/>
  <c r="P21" i="12" s="1"/>
  <c r="N66" i="5"/>
  <c r="Q21" i="12" s="1"/>
  <c r="O66" i="5"/>
  <c r="R21" i="12" s="1"/>
  <c r="P66" i="5"/>
  <c r="S21" i="12" s="1"/>
  <c r="Q66" i="5"/>
  <c r="T21" i="12" s="1"/>
  <c r="R66" i="5"/>
  <c r="U21" i="12" s="1"/>
  <c r="E67" i="5"/>
  <c r="H23" i="12" s="1"/>
  <c r="F67" i="5"/>
  <c r="I23" i="12" s="1"/>
  <c r="G67" i="5"/>
  <c r="J23" i="12" s="1"/>
  <c r="H67" i="5"/>
  <c r="K23" i="12" s="1"/>
  <c r="K67" i="5"/>
  <c r="N23" i="12" s="1"/>
  <c r="L67" i="5"/>
  <c r="O23" i="12" s="1"/>
  <c r="J67" i="5"/>
  <c r="M23" i="12" s="1"/>
  <c r="J68" i="5"/>
  <c r="P68" i="5"/>
  <c r="S22" i="12" s="1"/>
  <c r="E69" i="5"/>
  <c r="F69" i="5"/>
  <c r="G69" i="5"/>
  <c r="I69" i="5"/>
  <c r="J69" i="5"/>
  <c r="K69" i="5"/>
  <c r="L69" i="5"/>
  <c r="M69" i="5"/>
  <c r="N69" i="5"/>
  <c r="O69" i="5"/>
  <c r="P69" i="5"/>
  <c r="R71" i="5"/>
  <c r="U25" i="12" s="1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E73" i="5"/>
  <c r="F73" i="5"/>
  <c r="G73" i="5"/>
  <c r="H73" i="5"/>
  <c r="I73" i="5"/>
  <c r="J73" i="5"/>
  <c r="K73" i="5"/>
  <c r="L73" i="5"/>
  <c r="M73" i="5"/>
  <c r="N73" i="5"/>
  <c r="Q24" i="12" s="1"/>
  <c r="O73" i="5"/>
  <c r="R24" i="12" s="1"/>
  <c r="P73" i="5"/>
  <c r="S24" i="12" s="1"/>
  <c r="Q73" i="5"/>
  <c r="T24" i="12" s="1"/>
  <c r="R73" i="5"/>
  <c r="U24" i="12" s="1"/>
  <c r="E75" i="5"/>
  <c r="H28" i="12" s="1"/>
  <c r="F75" i="5"/>
  <c r="I28" i="12" s="1"/>
  <c r="G75" i="5"/>
  <c r="J28" i="12" s="1"/>
  <c r="H75" i="5"/>
  <c r="K28" i="12" s="1"/>
  <c r="I75" i="5"/>
  <c r="L28" i="12" s="1"/>
  <c r="J75" i="5"/>
  <c r="M28" i="12" s="1"/>
  <c r="K75" i="5"/>
  <c r="N28" i="12" s="1"/>
  <c r="L75" i="5"/>
  <c r="O28" i="12" s="1"/>
  <c r="M75" i="5"/>
  <c r="P28" i="12" s="1"/>
  <c r="N75" i="5"/>
  <c r="Q28" i="12" s="1"/>
  <c r="O75" i="5"/>
  <c r="R28" i="12" s="1"/>
  <c r="P75" i="5"/>
  <c r="S28" i="12" s="1"/>
  <c r="Q75" i="5"/>
  <c r="T28" i="12" s="1"/>
  <c r="E76" i="5"/>
  <c r="H29" i="12" s="1"/>
  <c r="F76" i="5"/>
  <c r="I29" i="12" s="1"/>
  <c r="G76" i="5"/>
  <c r="J29" i="12" s="1"/>
  <c r="H76" i="5"/>
  <c r="K29" i="12" s="1"/>
  <c r="I76" i="5"/>
  <c r="L29" i="12" s="1"/>
  <c r="J76" i="5"/>
  <c r="M29" i="12" s="1"/>
  <c r="K76" i="5"/>
  <c r="N29" i="12" s="1"/>
  <c r="L76" i="5"/>
  <c r="O29" i="12" s="1"/>
  <c r="M76" i="5"/>
  <c r="P29" i="12" s="1"/>
  <c r="N76" i="5"/>
  <c r="Q29" i="12" s="1"/>
  <c r="O76" i="5"/>
  <c r="R29" i="12" s="1"/>
  <c r="P76" i="5"/>
  <c r="S29" i="12" s="1"/>
  <c r="Q76" i="5"/>
  <c r="T29" i="12" s="1"/>
  <c r="R76" i="5"/>
  <c r="U29" i="12" s="1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E81" i="5"/>
  <c r="G81" i="5"/>
  <c r="K81" i="5"/>
  <c r="Q82" i="5"/>
  <c r="R82" i="5"/>
  <c r="S82" i="5"/>
  <c r="E83" i="5"/>
  <c r="F83" i="5"/>
  <c r="G83" i="5"/>
  <c r="H83" i="5"/>
  <c r="I83" i="5"/>
  <c r="J83" i="5"/>
  <c r="L83" i="5"/>
  <c r="M83" i="5"/>
  <c r="N83" i="5"/>
  <c r="P83" i="5"/>
  <c r="Q83" i="5"/>
  <c r="R83" i="5"/>
  <c r="S83" i="5"/>
  <c r="I84" i="5"/>
  <c r="J84" i="5"/>
  <c r="K84" i="5"/>
  <c r="L84" i="5"/>
  <c r="M84" i="5"/>
  <c r="N84" i="5"/>
  <c r="O84" i="5"/>
  <c r="P84" i="5"/>
  <c r="E88" i="5"/>
  <c r="F88" i="5"/>
  <c r="H88" i="5"/>
  <c r="I88" i="5"/>
  <c r="J88" i="5"/>
  <c r="K88" i="5"/>
  <c r="I89" i="5"/>
  <c r="J89" i="5"/>
  <c r="K89" i="5"/>
  <c r="I90" i="5"/>
  <c r="J90" i="5"/>
  <c r="K90" i="5"/>
  <c r="I91" i="5"/>
  <c r="J91" i="5"/>
  <c r="K91" i="5"/>
  <c r="L88" i="5"/>
  <c r="M88" i="5"/>
  <c r="N88" i="5"/>
  <c r="O88" i="5"/>
  <c r="P88" i="5"/>
  <c r="Q88" i="5"/>
  <c r="R88" i="5"/>
  <c r="S88" i="5"/>
  <c r="L89" i="5"/>
  <c r="M89" i="5"/>
  <c r="N89" i="5"/>
  <c r="O89" i="5"/>
  <c r="P89" i="5"/>
  <c r="Q89" i="5"/>
  <c r="R89" i="5"/>
  <c r="S89" i="5"/>
  <c r="L90" i="5"/>
  <c r="M90" i="5"/>
  <c r="N90" i="5"/>
  <c r="O90" i="5"/>
  <c r="P90" i="5"/>
  <c r="Q90" i="5"/>
  <c r="R90" i="5"/>
  <c r="S90" i="5"/>
  <c r="L91" i="5"/>
  <c r="M91" i="5"/>
  <c r="N91" i="5"/>
  <c r="O91" i="5"/>
  <c r="P91" i="5"/>
  <c r="Q91" i="5"/>
  <c r="R91" i="5"/>
  <c r="S91" i="5"/>
  <c r="L92" i="5"/>
  <c r="M92" i="5"/>
  <c r="N92" i="5"/>
  <c r="O92" i="5"/>
  <c r="P92" i="5"/>
  <c r="Q92" i="5"/>
  <c r="R92" i="5"/>
  <c r="S92" i="5"/>
  <c r="F90" i="5"/>
  <c r="G88" i="5"/>
  <c r="G89" i="5"/>
  <c r="G90" i="5"/>
  <c r="G91" i="5"/>
  <c r="G92" i="5"/>
  <c r="I94" i="5"/>
  <c r="K94" i="5"/>
  <c r="L94" i="5"/>
  <c r="N94" i="5"/>
  <c r="O94" i="5"/>
  <c r="R94" i="5"/>
  <c r="E95" i="5"/>
  <c r="G95" i="5"/>
  <c r="J94" i="5"/>
  <c r="J95" i="5"/>
  <c r="M94" i="5"/>
  <c r="M95" i="5"/>
  <c r="E96" i="5"/>
  <c r="F96" i="5"/>
  <c r="G96" i="5"/>
  <c r="E97" i="5"/>
  <c r="F97" i="5"/>
  <c r="G97" i="5"/>
  <c r="H97" i="5"/>
  <c r="K97" i="5"/>
  <c r="L97" i="5"/>
  <c r="E98" i="5"/>
  <c r="F98" i="5"/>
  <c r="G98" i="5"/>
  <c r="H98" i="5"/>
  <c r="I98" i="5"/>
  <c r="M97" i="5"/>
  <c r="M98" i="5"/>
  <c r="O97" i="5"/>
  <c r="O98" i="5"/>
  <c r="R96" i="5"/>
  <c r="R97" i="5"/>
  <c r="R98" i="5"/>
  <c r="E99" i="5"/>
  <c r="F99" i="5"/>
  <c r="G99" i="5"/>
  <c r="H99" i="5"/>
  <c r="I99" i="5"/>
  <c r="J99" i="5"/>
  <c r="N96" i="5"/>
  <c r="N97" i="5"/>
  <c r="N98" i="5"/>
  <c r="N99" i="5"/>
  <c r="Q94" i="5"/>
  <c r="Q95" i="5"/>
  <c r="Q96" i="5"/>
  <c r="Q97" i="5"/>
  <c r="Q98" i="5"/>
  <c r="Q99" i="5"/>
  <c r="S94" i="5"/>
  <c r="S95" i="5"/>
  <c r="S96" i="5"/>
  <c r="S97" i="5"/>
  <c r="S98" i="5"/>
  <c r="S99" i="5"/>
  <c r="E100" i="5"/>
  <c r="H66" i="12" s="1"/>
  <c r="F100" i="5"/>
  <c r="I66" i="12" s="1"/>
  <c r="G100" i="5"/>
  <c r="J66" i="12" s="1"/>
  <c r="H100" i="5"/>
  <c r="K66" i="12" s="1"/>
  <c r="I100" i="5"/>
  <c r="L66" i="12" s="1"/>
  <c r="M100" i="5"/>
  <c r="P66" i="12" s="1"/>
  <c r="N100" i="5"/>
  <c r="Q66" i="12" s="1"/>
  <c r="O100" i="5"/>
  <c r="R66" i="12" s="1"/>
  <c r="M101" i="5"/>
  <c r="N101" i="5"/>
  <c r="O101" i="5"/>
  <c r="Q100" i="5"/>
  <c r="T66" i="12" s="1"/>
  <c r="R100" i="5"/>
  <c r="U66" i="12" s="1"/>
  <c r="S100" i="5"/>
  <c r="V66" i="12" s="1"/>
  <c r="V67" i="12" s="1"/>
  <c r="E101" i="5"/>
  <c r="F101" i="5"/>
  <c r="G101" i="5"/>
  <c r="H101" i="5"/>
  <c r="I101" i="5"/>
  <c r="J101" i="5"/>
  <c r="Q101" i="5"/>
  <c r="R101" i="5"/>
  <c r="Q102" i="5"/>
  <c r="R102" i="5"/>
  <c r="E102" i="5"/>
  <c r="F102" i="5"/>
  <c r="G102" i="5"/>
  <c r="H102" i="5"/>
  <c r="I102" i="5"/>
  <c r="J102" i="5"/>
  <c r="K102" i="5"/>
  <c r="L102" i="5"/>
  <c r="E103" i="5"/>
  <c r="F103" i="5"/>
  <c r="G103" i="5"/>
  <c r="H103" i="5"/>
  <c r="I103" i="5"/>
  <c r="J103" i="5"/>
  <c r="K103" i="5"/>
  <c r="L103" i="5"/>
  <c r="M103" i="5"/>
  <c r="P94" i="5"/>
  <c r="P95" i="5"/>
  <c r="P96" i="5"/>
  <c r="P97" i="5"/>
  <c r="P98" i="5"/>
  <c r="P99" i="5"/>
  <c r="P100" i="5"/>
  <c r="S66" i="12" s="1"/>
  <c r="P101" i="5"/>
  <c r="P102" i="5"/>
  <c r="P103" i="5"/>
  <c r="S102" i="5"/>
  <c r="S103" i="5"/>
  <c r="E105" i="5"/>
  <c r="F105" i="5"/>
  <c r="G105" i="5"/>
  <c r="H105" i="5"/>
  <c r="I105" i="5"/>
  <c r="J105" i="5"/>
  <c r="K105" i="5"/>
  <c r="L105" i="5"/>
  <c r="M105" i="5"/>
  <c r="N105" i="5"/>
  <c r="P105" i="5"/>
  <c r="Q105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S106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F114" i="5"/>
  <c r="F144" i="5" s="1"/>
  <c r="I68" i="12" s="1"/>
  <c r="G114" i="5"/>
  <c r="G144" i="5" s="1"/>
  <c r="J68" i="12" s="1"/>
  <c r="H114" i="5"/>
  <c r="H144" i="5" s="1"/>
  <c r="K68" i="12" s="1"/>
  <c r="I114" i="5"/>
  <c r="I144" i="5" s="1"/>
  <c r="L68" i="12" s="1"/>
  <c r="J114" i="5"/>
  <c r="J144" i="5" s="1"/>
  <c r="M68" i="12" s="1"/>
  <c r="K114" i="5"/>
  <c r="K144" i="5" s="1"/>
  <c r="N68" i="12" s="1"/>
  <c r="L114" i="5"/>
  <c r="L144" i="5" s="1"/>
  <c r="O68" i="12" s="1"/>
  <c r="N114" i="5"/>
  <c r="Q114" i="5"/>
  <c r="R114" i="5"/>
  <c r="E114" i="5"/>
  <c r="N120" i="5"/>
  <c r="Q82" i="12" s="1"/>
  <c r="O120" i="5"/>
  <c r="R82" i="12" s="1"/>
  <c r="P120" i="5"/>
  <c r="S82" i="12" s="1"/>
  <c r="Q120" i="5"/>
  <c r="T82" i="12" s="1"/>
  <c r="R120" i="5"/>
  <c r="U82" i="12" s="1"/>
  <c r="E120" i="5"/>
  <c r="G120" i="5"/>
  <c r="H120" i="5"/>
  <c r="I120" i="5"/>
  <c r="J120" i="5"/>
  <c r="K120" i="5"/>
  <c r="L120" i="5"/>
  <c r="Q121" i="5"/>
  <c r="T40" i="12" s="1"/>
  <c r="R121" i="5"/>
  <c r="U40" i="12" s="1"/>
  <c r="E122" i="5"/>
  <c r="F122" i="5"/>
  <c r="G122" i="5"/>
  <c r="H122" i="5"/>
  <c r="J122" i="5"/>
  <c r="K122" i="5"/>
  <c r="L122" i="5"/>
  <c r="M122" i="5"/>
  <c r="N122" i="5"/>
  <c r="O122" i="5"/>
  <c r="P122" i="5"/>
  <c r="Y46" i="12" l="1"/>
  <c r="Y49" i="12" s="1"/>
  <c r="X49" i="12"/>
  <c r="AA116" i="12"/>
  <c r="AA119" i="12" s="1"/>
  <c r="AA96" i="12" s="1"/>
  <c r="AA117" i="12"/>
  <c r="Z124" i="12"/>
  <c r="Z93" i="12" s="1"/>
  <c r="AA77" i="12"/>
  <c r="AA123" i="12"/>
  <c r="AA43" i="12"/>
  <c r="AA68" i="12"/>
  <c r="Z95" i="12"/>
  <c r="V54" i="12"/>
  <c r="U54" i="12"/>
  <c r="T54" i="12"/>
  <c r="T30" i="12"/>
  <c r="T19" i="12"/>
  <c r="R144" i="5"/>
  <c r="U68" i="12" s="1"/>
  <c r="U65" i="12"/>
  <c r="U30" i="12"/>
  <c r="S54" i="12"/>
  <c r="Q144" i="5"/>
  <c r="T68" i="12" s="1"/>
  <c r="T65" i="12"/>
  <c r="N144" i="5"/>
  <c r="Q68" i="12" s="1"/>
  <c r="Q65" i="12"/>
  <c r="Z129" i="12"/>
  <c r="AA127" i="12" s="1"/>
  <c r="AA128" i="12"/>
  <c r="AA95" i="12" s="1"/>
  <c r="Z114" i="12"/>
  <c r="Z94" i="12" s="1"/>
  <c r="Z109" i="12"/>
  <c r="Z92" i="12" s="1"/>
  <c r="X72" i="12"/>
  <c r="X84" i="12" s="1"/>
  <c r="X90" i="12" s="1"/>
  <c r="AA34" i="12"/>
  <c r="Z30" i="12"/>
  <c r="Z35" i="12"/>
  <c r="AA28" i="12"/>
  <c r="AA27" i="12"/>
  <c r="AA29" i="12"/>
  <c r="AA26" i="12"/>
  <c r="Z57" i="12"/>
  <c r="Z60" i="12"/>
  <c r="Z44" i="12"/>
  <c r="Z79" i="12"/>
  <c r="AA66" i="12"/>
  <c r="AA24" i="12"/>
  <c r="AA107" i="12"/>
  <c r="AA33" i="12"/>
  <c r="AA47" i="12"/>
  <c r="AA108" i="12"/>
  <c r="AA12" i="12"/>
  <c r="AA113" i="12"/>
  <c r="AA38" i="12"/>
  <c r="AA122" i="12"/>
  <c r="AA40" i="12"/>
  <c r="AA42" i="12"/>
  <c r="AA55" i="12"/>
  <c r="AA58" i="12"/>
  <c r="AA19" i="12"/>
  <c r="AA32" i="12"/>
  <c r="AA21" i="12"/>
  <c r="AA54" i="12"/>
  <c r="AA25" i="12"/>
  <c r="AA65" i="12"/>
  <c r="AA82" i="12"/>
  <c r="AA41" i="12"/>
  <c r="AA22" i="12"/>
  <c r="AA56" i="12"/>
  <c r="AA18" i="12"/>
  <c r="AA39" i="12"/>
  <c r="AA104" i="12"/>
  <c r="AA91" i="12" s="1"/>
  <c r="AA112" i="12"/>
  <c r="AA23" i="12"/>
  <c r="AA78" i="12"/>
  <c r="AB5" i="12"/>
  <c r="AA37" i="12"/>
  <c r="Z67" i="12"/>
  <c r="Z70" i="12"/>
  <c r="AA6" i="12"/>
  <c r="AA7" i="12"/>
  <c r="AD110" i="5"/>
  <c r="AD106" i="5"/>
  <c r="AD104" i="5"/>
  <c r="AD63" i="5"/>
  <c r="AD123" i="5"/>
  <c r="AD129" i="5"/>
  <c r="AD108" i="5"/>
  <c r="AD114" i="5"/>
  <c r="AD133" i="5"/>
  <c r="AD122" i="5"/>
  <c r="AD117" i="5"/>
  <c r="AD111" i="5"/>
  <c r="AD116" i="5"/>
  <c r="AD126" i="5"/>
  <c r="AD118" i="5"/>
  <c r="AD112" i="5"/>
  <c r="AD109" i="5"/>
  <c r="AD134" i="5"/>
  <c r="AD105" i="5"/>
  <c r="AD74" i="5"/>
  <c r="AD107" i="5"/>
  <c r="AD135" i="5"/>
  <c r="AD132" i="5"/>
  <c r="AD115" i="5"/>
  <c r="AD96" i="5"/>
  <c r="AD73" i="5"/>
  <c r="AD39" i="5"/>
  <c r="AD15" i="5"/>
  <c r="AD102" i="5"/>
  <c r="AD99" i="5"/>
  <c r="AD25" i="5"/>
  <c r="AD9" i="5"/>
  <c r="AD67" i="5"/>
  <c r="AD64" i="5"/>
  <c r="AD54" i="5"/>
  <c r="AD51" i="5"/>
  <c r="AD88" i="5"/>
  <c r="AD76" i="5"/>
  <c r="AD62" i="5"/>
  <c r="AD101" i="5"/>
  <c r="AD97" i="5"/>
  <c r="AD100" i="5"/>
  <c r="AD55" i="5"/>
  <c r="AD20" i="5"/>
  <c r="AD75" i="5"/>
  <c r="AD98" i="5"/>
  <c r="AD72" i="5"/>
  <c r="AD79" i="5"/>
  <c r="AD103" i="5"/>
  <c r="AD23" i="5"/>
  <c r="AD69" i="5"/>
  <c r="AD83" i="5"/>
  <c r="AD37" i="5"/>
  <c r="AD65" i="5"/>
  <c r="AD14" i="5"/>
  <c r="AD12" i="5"/>
  <c r="AD8" i="5"/>
  <c r="M22" i="12"/>
  <c r="O82" i="12"/>
  <c r="N82" i="12"/>
  <c r="S70" i="5"/>
  <c r="S78" i="5" s="1"/>
  <c r="S22" i="5"/>
  <c r="V18" i="12" s="1"/>
  <c r="J37" i="12"/>
  <c r="U145" i="19"/>
  <c r="J65" i="12"/>
  <c r="H37" i="12"/>
  <c r="M82" i="12"/>
  <c r="I65" i="12"/>
  <c r="H43" i="12"/>
  <c r="K65" i="12"/>
  <c r="R77" i="5"/>
  <c r="S38" i="5"/>
  <c r="V39" i="12" s="1"/>
  <c r="V44" i="12" s="1"/>
  <c r="O65" i="12"/>
  <c r="S113" i="5"/>
  <c r="E144" i="5"/>
  <c r="H68" i="12" s="1"/>
  <c r="H65" i="12"/>
  <c r="L65" i="12"/>
  <c r="L82" i="12"/>
  <c r="J82" i="12"/>
  <c r="N65" i="12"/>
  <c r="R113" i="5"/>
  <c r="R70" i="5"/>
  <c r="Q38" i="5"/>
  <c r="T39" i="12" s="1"/>
  <c r="T44" i="12" s="1"/>
  <c r="K82" i="12"/>
  <c r="H82" i="12"/>
  <c r="M65" i="12"/>
  <c r="Q113" i="5"/>
  <c r="Q77" i="5"/>
  <c r="Q70" i="5"/>
  <c r="M10" i="5"/>
  <c r="E10" i="5"/>
  <c r="AD7" i="5"/>
  <c r="AD6" i="5"/>
  <c r="AE5" i="5"/>
  <c r="L10" i="5"/>
  <c r="R22" i="5"/>
  <c r="U18" i="12" s="1"/>
  <c r="S10" i="5"/>
  <c r="K10" i="5"/>
  <c r="Q22" i="5"/>
  <c r="T18" i="12" s="1"/>
  <c r="R10" i="5"/>
  <c r="J10" i="5"/>
  <c r="Q10" i="5"/>
  <c r="I10" i="5"/>
  <c r="P10" i="5"/>
  <c r="H10" i="5"/>
  <c r="O10" i="5"/>
  <c r="G10" i="5"/>
  <c r="N10" i="5"/>
  <c r="F10" i="5"/>
  <c r="Y51" i="12" l="1"/>
  <c r="Y62" i="12" s="1"/>
  <c r="Y72" i="12" s="1"/>
  <c r="Y84" i="12" s="1"/>
  <c r="Y90" i="12" s="1"/>
  <c r="AB116" i="12"/>
  <c r="AB119" i="12" s="1"/>
  <c r="AB96" i="12" s="1"/>
  <c r="AB117" i="12"/>
  <c r="AA124" i="12"/>
  <c r="AA93" i="12" s="1"/>
  <c r="AB123" i="12"/>
  <c r="AB43" i="12"/>
  <c r="AB68" i="12"/>
  <c r="AB77" i="12"/>
  <c r="U67" i="12"/>
  <c r="U70" i="12"/>
  <c r="T67" i="12"/>
  <c r="T70" i="12"/>
  <c r="U57" i="12"/>
  <c r="V46" i="12"/>
  <c r="Q70" i="12"/>
  <c r="Q67" i="12"/>
  <c r="Z46" i="12"/>
  <c r="Z51" i="12" s="1"/>
  <c r="Z62" i="12" s="1"/>
  <c r="Z72" i="12" s="1"/>
  <c r="Z84" i="12" s="1"/>
  <c r="Z90" i="12" s="1"/>
  <c r="AA129" i="12"/>
  <c r="AB127" i="12" s="1"/>
  <c r="AB128" i="12"/>
  <c r="AB129" i="12" s="1"/>
  <c r="AC127" i="12" s="1"/>
  <c r="AA114" i="12"/>
  <c r="AA94" i="12" s="1"/>
  <c r="AA35" i="12"/>
  <c r="AB34" i="12"/>
  <c r="AA30" i="12"/>
  <c r="AA109" i="12"/>
  <c r="AA92" i="12" s="1"/>
  <c r="AB27" i="12"/>
  <c r="AB28" i="12"/>
  <c r="AB29" i="12"/>
  <c r="AB26" i="12"/>
  <c r="AA79" i="12"/>
  <c r="AA57" i="12"/>
  <c r="AA60" i="12"/>
  <c r="AA44" i="12"/>
  <c r="AA67" i="12"/>
  <c r="AA70" i="12"/>
  <c r="AB108" i="12"/>
  <c r="AB22" i="12"/>
  <c r="AB55" i="12"/>
  <c r="AC5" i="12"/>
  <c r="AB24" i="12"/>
  <c r="AB23" i="12"/>
  <c r="AB65" i="12"/>
  <c r="AB47" i="12"/>
  <c r="AB33" i="12"/>
  <c r="AB82" i="12"/>
  <c r="AB12" i="12"/>
  <c r="AB113" i="12"/>
  <c r="AB38" i="12"/>
  <c r="AB122" i="12"/>
  <c r="AB40" i="12"/>
  <c r="AB42" i="12"/>
  <c r="AB32" i="12"/>
  <c r="AB21" i="12"/>
  <c r="AB18" i="12"/>
  <c r="AB39" i="12"/>
  <c r="AB54" i="12"/>
  <c r="AB104" i="12"/>
  <c r="AB91" i="12" s="1"/>
  <c r="AB58" i="12"/>
  <c r="AB19" i="12"/>
  <c r="AB41" i="12"/>
  <c r="AB56" i="12"/>
  <c r="AB66" i="12"/>
  <c r="AB112" i="12"/>
  <c r="AB25" i="12"/>
  <c r="AB78" i="12"/>
  <c r="AB6" i="12"/>
  <c r="AB7" i="12"/>
  <c r="AB107" i="12"/>
  <c r="AB37" i="12"/>
  <c r="AE123" i="5"/>
  <c r="AE129" i="5"/>
  <c r="AE110" i="5"/>
  <c r="AE63" i="5"/>
  <c r="AE108" i="5"/>
  <c r="AE114" i="5"/>
  <c r="AE133" i="5"/>
  <c r="AE106" i="5"/>
  <c r="AE116" i="5"/>
  <c r="AE117" i="5"/>
  <c r="AE111" i="5"/>
  <c r="AE126" i="5"/>
  <c r="AE107" i="5"/>
  <c r="AE118" i="5"/>
  <c r="AE104" i="5"/>
  <c r="AE112" i="5"/>
  <c r="AE134" i="5"/>
  <c r="AE109" i="5"/>
  <c r="AE105" i="5"/>
  <c r="AE74" i="5"/>
  <c r="AE135" i="5"/>
  <c r="AE132" i="5"/>
  <c r="AE115" i="5"/>
  <c r="AD10" i="5"/>
  <c r="AE73" i="5"/>
  <c r="AE39" i="5"/>
  <c r="AE15" i="5"/>
  <c r="AE19" i="5"/>
  <c r="AE9" i="5"/>
  <c r="AE64" i="5"/>
  <c r="AE54" i="5"/>
  <c r="AE51" i="5"/>
  <c r="AE34" i="5"/>
  <c r="AE10" i="5"/>
  <c r="AE62" i="5"/>
  <c r="AE103" i="5"/>
  <c r="AE88" i="5"/>
  <c r="AE49" i="5"/>
  <c r="AE72" i="5"/>
  <c r="AE55" i="5"/>
  <c r="AE75" i="5"/>
  <c r="AE99" i="5"/>
  <c r="AE79" i="5"/>
  <c r="AE59" i="5"/>
  <c r="AE20" i="5"/>
  <c r="AE8" i="5"/>
  <c r="AE102" i="5"/>
  <c r="AE23" i="5"/>
  <c r="AE101" i="5"/>
  <c r="AE83" i="5"/>
  <c r="AE65" i="5"/>
  <c r="AE14" i="5"/>
  <c r="AE120" i="5"/>
  <c r="AE76" i="5"/>
  <c r="Q78" i="5"/>
  <c r="AF5" i="5"/>
  <c r="AG5" i="5" s="1"/>
  <c r="R78" i="5"/>
  <c r="Q143" i="5"/>
  <c r="T58" i="12" s="1"/>
  <c r="T60" i="12" s="1"/>
  <c r="S143" i="5"/>
  <c r="V58" i="12" s="1"/>
  <c r="V60" i="12" s="1"/>
  <c r="R143" i="5"/>
  <c r="U58" i="12" s="1"/>
  <c r="U60" i="12" s="1"/>
  <c r="U146" i="19"/>
  <c r="I67" i="19"/>
  <c r="J70" i="12"/>
  <c r="M70" i="12"/>
  <c r="O70" i="12"/>
  <c r="L70" i="12"/>
  <c r="I70" i="12"/>
  <c r="N70" i="12"/>
  <c r="H70" i="12"/>
  <c r="H67" i="12"/>
  <c r="K67" i="12"/>
  <c r="K70" i="12"/>
  <c r="AE7" i="5"/>
  <c r="AE6" i="5"/>
  <c r="AC116" i="12" l="1"/>
  <c r="AC119" i="12" s="1"/>
  <c r="AC96" i="12" s="1"/>
  <c r="AC117" i="12"/>
  <c r="AB124" i="12"/>
  <c r="AB93" i="12" s="1"/>
  <c r="AC123" i="12"/>
  <c r="AC43" i="12"/>
  <c r="AC77" i="12"/>
  <c r="AC68" i="12"/>
  <c r="AB95" i="12"/>
  <c r="AB35" i="12"/>
  <c r="V51" i="12"/>
  <c r="Z49" i="12"/>
  <c r="AC128" i="12"/>
  <c r="AC95" i="12" s="1"/>
  <c r="AB109" i="12"/>
  <c r="AB92" i="12" s="1"/>
  <c r="AA46" i="12"/>
  <c r="AA51" i="12" s="1"/>
  <c r="AA62" i="12" s="1"/>
  <c r="AB114" i="12"/>
  <c r="AB94" i="12" s="1"/>
  <c r="AC34" i="12"/>
  <c r="AB30" i="12"/>
  <c r="AC28" i="12"/>
  <c r="AC27" i="12"/>
  <c r="AC29" i="12"/>
  <c r="AC26" i="12"/>
  <c r="AB57" i="12"/>
  <c r="AB60" i="12"/>
  <c r="AB79" i="12"/>
  <c r="AC6" i="12"/>
  <c r="AC25" i="12"/>
  <c r="AC108" i="12"/>
  <c r="AC18" i="12"/>
  <c r="AC40" i="12"/>
  <c r="AC22" i="12"/>
  <c r="AC55" i="12"/>
  <c r="AD5" i="12"/>
  <c r="AC24" i="12"/>
  <c r="AC104" i="12"/>
  <c r="AC91" i="12" s="1"/>
  <c r="AC23" i="12"/>
  <c r="AC65" i="12"/>
  <c r="AC47" i="12"/>
  <c r="AC33" i="12"/>
  <c r="AC82" i="12"/>
  <c r="AC12" i="12"/>
  <c r="AC113" i="12"/>
  <c r="AC38" i="12"/>
  <c r="AC7" i="12"/>
  <c r="AC32" i="12"/>
  <c r="AC21" i="12"/>
  <c r="AC42" i="12"/>
  <c r="AC39" i="12"/>
  <c r="AC54" i="12"/>
  <c r="AC66" i="12"/>
  <c r="AC122" i="12"/>
  <c r="AC58" i="12"/>
  <c r="AC19" i="12"/>
  <c r="AC41" i="12"/>
  <c r="AC56" i="12"/>
  <c r="AC112" i="12"/>
  <c r="AC78" i="12"/>
  <c r="AC107" i="12"/>
  <c r="AC37" i="12"/>
  <c r="AB44" i="12"/>
  <c r="AB70" i="12"/>
  <c r="AB67" i="12"/>
  <c r="AG110" i="5"/>
  <c r="AG63" i="5"/>
  <c r="AG116" i="5"/>
  <c r="AG118" i="5"/>
  <c r="AG112" i="5"/>
  <c r="AG133" i="5"/>
  <c r="AG135" i="5"/>
  <c r="AG108" i="5"/>
  <c r="AG107" i="5"/>
  <c r="AG74" i="5"/>
  <c r="AG126" i="5"/>
  <c r="AG111" i="5"/>
  <c r="AG134" i="5"/>
  <c r="AG104" i="5"/>
  <c r="AG129" i="5"/>
  <c r="AG117" i="5"/>
  <c r="AG109" i="5"/>
  <c r="AG123" i="5"/>
  <c r="AG132" i="5"/>
  <c r="AG122" i="5"/>
  <c r="AG115" i="5"/>
  <c r="AG106" i="5"/>
  <c r="AF129" i="5"/>
  <c r="AF112" i="5"/>
  <c r="AF110" i="5"/>
  <c r="AF133" i="5"/>
  <c r="AF116" i="5"/>
  <c r="AF135" i="5"/>
  <c r="AF63" i="5"/>
  <c r="AF108" i="5"/>
  <c r="AF106" i="5"/>
  <c r="AF74" i="5"/>
  <c r="AF111" i="5"/>
  <c r="AF126" i="5"/>
  <c r="AF118" i="5"/>
  <c r="AF107" i="5"/>
  <c r="AF104" i="5"/>
  <c r="AF134" i="5"/>
  <c r="AF109" i="5"/>
  <c r="AF105" i="5"/>
  <c r="AF117" i="5"/>
  <c r="AF123" i="5"/>
  <c r="AF122" i="5"/>
  <c r="AF132" i="5"/>
  <c r="AF115" i="5"/>
  <c r="AG23" i="5"/>
  <c r="AG64" i="5"/>
  <c r="AG54" i="5"/>
  <c r="AG51" i="5"/>
  <c r="AG48" i="5"/>
  <c r="AG39" i="5"/>
  <c r="AG101" i="5"/>
  <c r="AG98" i="5"/>
  <c r="AG92" i="5"/>
  <c r="AG89" i="5"/>
  <c r="AG73" i="5"/>
  <c r="AG91" i="5"/>
  <c r="AG79" i="5"/>
  <c r="AG46" i="5"/>
  <c r="AG49" i="5"/>
  <c r="AG72" i="5"/>
  <c r="AG62" i="5"/>
  <c r="AG34" i="5"/>
  <c r="AG20" i="5"/>
  <c r="AG100" i="5"/>
  <c r="AG88" i="5"/>
  <c r="AG75" i="5"/>
  <c r="AG41" i="5"/>
  <c r="AG10" i="5"/>
  <c r="AG66" i="5"/>
  <c r="AG15" i="5"/>
  <c r="AG9" i="5"/>
  <c r="AG8" i="5"/>
  <c r="AG97" i="5"/>
  <c r="AG90" i="5"/>
  <c r="AG65" i="5"/>
  <c r="AG32" i="5"/>
  <c r="AG55" i="5"/>
  <c r="AG69" i="5"/>
  <c r="AG84" i="5"/>
  <c r="AG37" i="5"/>
  <c r="AG19" i="5"/>
  <c r="AG94" i="5"/>
  <c r="AG120" i="5"/>
  <c r="AG76" i="5"/>
  <c r="AF23" i="5"/>
  <c r="AF12" i="5"/>
  <c r="AF32" i="5"/>
  <c r="AF25" i="5"/>
  <c r="AF19" i="5"/>
  <c r="AF9" i="5"/>
  <c r="AF64" i="5"/>
  <c r="AF54" i="5"/>
  <c r="AF51" i="5"/>
  <c r="AF39" i="5"/>
  <c r="AF89" i="5"/>
  <c r="AF73" i="5"/>
  <c r="AF103" i="5"/>
  <c r="AF72" i="5"/>
  <c r="AF34" i="5"/>
  <c r="AF49" i="5"/>
  <c r="AF91" i="5"/>
  <c r="AF88" i="5"/>
  <c r="AF75" i="5"/>
  <c r="AF8" i="5"/>
  <c r="AF10" i="5"/>
  <c r="AF66" i="5"/>
  <c r="AF79" i="5"/>
  <c r="AF15" i="5"/>
  <c r="AF97" i="5"/>
  <c r="AF90" i="5"/>
  <c r="AF65" i="5"/>
  <c r="AF55" i="5"/>
  <c r="AF69" i="5"/>
  <c r="AF84" i="5"/>
  <c r="AF94" i="5"/>
  <c r="AF61" i="5"/>
  <c r="AF76" i="5"/>
  <c r="AF6" i="5"/>
  <c r="AF7" i="5"/>
  <c r="U150" i="19"/>
  <c r="AG6" i="5"/>
  <c r="AG7" i="5"/>
  <c r="AH5" i="5"/>
  <c r="AD116" i="12" l="1"/>
  <c r="AD119" i="12" s="1"/>
  <c r="AD96" i="12" s="1"/>
  <c r="AD117" i="12"/>
  <c r="AB46" i="12"/>
  <c r="AB49" i="12" s="1"/>
  <c r="AC124" i="12"/>
  <c r="AC93" i="12" s="1"/>
  <c r="AD43" i="12"/>
  <c r="AD123" i="12"/>
  <c r="AD68" i="12"/>
  <c r="AD77" i="12"/>
  <c r="AC35" i="12"/>
  <c r="AA49" i="12"/>
  <c r="AD128" i="12"/>
  <c r="AD95" i="12" s="1"/>
  <c r="AC129" i="12"/>
  <c r="AD127" i="12" s="1"/>
  <c r="AC114" i="12"/>
  <c r="AC94" i="12" s="1"/>
  <c r="AA72" i="12"/>
  <c r="AA84" i="12" s="1"/>
  <c r="AA90" i="12" s="1"/>
  <c r="AD34" i="12"/>
  <c r="AC30" i="12"/>
  <c r="AD26" i="12"/>
  <c r="AD27" i="12"/>
  <c r="AD29" i="12"/>
  <c r="AD28" i="12"/>
  <c r="AC109" i="12"/>
  <c r="AC92" i="12" s="1"/>
  <c r="AC44" i="12"/>
  <c r="AD6" i="12"/>
  <c r="AD23" i="12"/>
  <c r="AD56" i="12"/>
  <c r="AD122" i="12"/>
  <c r="AD25" i="12"/>
  <c r="AD37" i="12"/>
  <c r="AD18" i="12"/>
  <c r="AD40" i="12"/>
  <c r="AD22" i="12"/>
  <c r="AD55" i="12"/>
  <c r="AD24" i="12"/>
  <c r="AD41" i="12"/>
  <c r="AD104" i="12"/>
  <c r="AD91" i="12" s="1"/>
  <c r="AD65" i="12"/>
  <c r="AD82" i="12"/>
  <c r="AD12" i="12"/>
  <c r="AD7" i="12"/>
  <c r="AD47" i="12"/>
  <c r="AD38" i="12"/>
  <c r="AD32" i="12"/>
  <c r="AD113" i="12"/>
  <c r="AD42" i="12"/>
  <c r="AD39" i="12"/>
  <c r="AD54" i="12"/>
  <c r="AD58" i="12"/>
  <c r="AD21" i="12"/>
  <c r="AD108" i="12"/>
  <c r="AD33" i="12"/>
  <c r="AD66" i="12"/>
  <c r="AD112" i="12"/>
  <c r="AD78" i="12"/>
  <c r="AE5" i="12"/>
  <c r="F118" i="12" s="1"/>
  <c r="AD19" i="12"/>
  <c r="AD107" i="12"/>
  <c r="AC57" i="12"/>
  <c r="AC60" i="12"/>
  <c r="AC79" i="12"/>
  <c r="AC67" i="12"/>
  <c r="AC70" i="12"/>
  <c r="AH131" i="5"/>
  <c r="AH133" i="5"/>
  <c r="AH116" i="5"/>
  <c r="AH110" i="5"/>
  <c r="AH126" i="5"/>
  <c r="AH108" i="5"/>
  <c r="AH114" i="5"/>
  <c r="AH112" i="5"/>
  <c r="AH135" i="5"/>
  <c r="AH63" i="5"/>
  <c r="AH118" i="5"/>
  <c r="AH104" i="5"/>
  <c r="AH107" i="5"/>
  <c r="AH74" i="5"/>
  <c r="AH130" i="5"/>
  <c r="AH134" i="5"/>
  <c r="AH129" i="5"/>
  <c r="AH117" i="5"/>
  <c r="AH123" i="5"/>
  <c r="AH109" i="5"/>
  <c r="AH132" i="5"/>
  <c r="AH105" i="5"/>
  <c r="AH122" i="5"/>
  <c r="AH127" i="5"/>
  <c r="AH121" i="5"/>
  <c r="AH111" i="5"/>
  <c r="AH115" i="5"/>
  <c r="AH106" i="5"/>
  <c r="AH101" i="5"/>
  <c r="AH90" i="5"/>
  <c r="AH79" i="5"/>
  <c r="AH67" i="5"/>
  <c r="AH55" i="5"/>
  <c r="AH44" i="5"/>
  <c r="AH32" i="5"/>
  <c r="AH20" i="5"/>
  <c r="AH8" i="5"/>
  <c r="AH64" i="5"/>
  <c r="AH60" i="5"/>
  <c r="AH54" i="5"/>
  <c r="AH51" i="5"/>
  <c r="AH48" i="5"/>
  <c r="AH45" i="5"/>
  <c r="AH42" i="5"/>
  <c r="AH39" i="5"/>
  <c r="AH36" i="5"/>
  <c r="AH98" i="5"/>
  <c r="AH95" i="5"/>
  <c r="AH92" i="5"/>
  <c r="AH89" i="5"/>
  <c r="AH86" i="5"/>
  <c r="AH83" i="5"/>
  <c r="AH80" i="5"/>
  <c r="AH77" i="5"/>
  <c r="AH73" i="5"/>
  <c r="AH70" i="5"/>
  <c r="AH113" i="5"/>
  <c r="AH50" i="5"/>
  <c r="AH91" i="5"/>
  <c r="AH58" i="5"/>
  <c r="AH46" i="5"/>
  <c r="AH38" i="5"/>
  <c r="AH30" i="5"/>
  <c r="AH14" i="5"/>
  <c r="AH99" i="5"/>
  <c r="AH87" i="5"/>
  <c r="AH40" i="5"/>
  <c r="AH25" i="5"/>
  <c r="AI5" i="5"/>
  <c r="AH72" i="5"/>
  <c r="AH82" i="5"/>
  <c r="AH78" i="5"/>
  <c r="AH53" i="5"/>
  <c r="AH68" i="5"/>
  <c r="AH62" i="5"/>
  <c r="AH34" i="5"/>
  <c r="AH12" i="5"/>
  <c r="AH100" i="5"/>
  <c r="AH96" i="5"/>
  <c r="AH24" i="5"/>
  <c r="AH41" i="5"/>
  <c r="AH10" i="5"/>
  <c r="AH21" i="5"/>
  <c r="AH52" i="5"/>
  <c r="AH28" i="5"/>
  <c r="AH66" i="5"/>
  <c r="AH47" i="5"/>
  <c r="AH16" i="5"/>
  <c r="AH22" i="5"/>
  <c r="AH93" i="5"/>
  <c r="AH33" i="5"/>
  <c r="AH59" i="5"/>
  <c r="AH15" i="5"/>
  <c r="AH85" i="5"/>
  <c r="AH9" i="5"/>
  <c r="AH27" i="5"/>
  <c r="AH103" i="5"/>
  <c r="AH97" i="5"/>
  <c r="AH71" i="5"/>
  <c r="AH65" i="5"/>
  <c r="AH88" i="5"/>
  <c r="AH69" i="5"/>
  <c r="AH23" i="5"/>
  <c r="AH84" i="5"/>
  <c r="AH37" i="5"/>
  <c r="AH19" i="5"/>
  <c r="AH18" i="5"/>
  <c r="AH49" i="5"/>
  <c r="AH31" i="5"/>
  <c r="AH81" i="5"/>
  <c r="AH94" i="5"/>
  <c r="AH120" i="5"/>
  <c r="AH61" i="5"/>
  <c r="AH17" i="5"/>
  <c r="AH76" i="5"/>
  <c r="AH29" i="5"/>
  <c r="AH43" i="5"/>
  <c r="AH13" i="5"/>
  <c r="AH75" i="5"/>
  <c r="AH102" i="5"/>
  <c r="U132" i="19"/>
  <c r="U134" i="19" s="1"/>
  <c r="I70" i="19"/>
  <c r="AH7" i="5"/>
  <c r="AH6" i="5"/>
  <c r="AE116" i="12" l="1"/>
  <c r="AE119" i="12" s="1"/>
  <c r="AE96" i="12" s="1"/>
  <c r="AE117" i="12"/>
  <c r="F117" i="12" s="1"/>
  <c r="AB51" i="12"/>
  <c r="AB62" i="12" s="1"/>
  <c r="AB72" i="12" s="1"/>
  <c r="AB84" i="12" s="1"/>
  <c r="AB90" i="12" s="1"/>
  <c r="AD124" i="12"/>
  <c r="AD93" i="12" s="1"/>
  <c r="AC46" i="12"/>
  <c r="AC51" i="12" s="1"/>
  <c r="AC62" i="12" s="1"/>
  <c r="AE43" i="12"/>
  <c r="AE123" i="12"/>
  <c r="F123" i="12" s="1"/>
  <c r="AE77" i="12"/>
  <c r="F77" i="12" s="1"/>
  <c r="AE68" i="12"/>
  <c r="AD129" i="12"/>
  <c r="AE127" i="12" s="1"/>
  <c r="AE128" i="12"/>
  <c r="AD114" i="12"/>
  <c r="AE34" i="12"/>
  <c r="AD30" i="12"/>
  <c r="AD35" i="12"/>
  <c r="AD94" i="12"/>
  <c r="AE26" i="12"/>
  <c r="F26" i="12" s="1"/>
  <c r="AE27" i="12"/>
  <c r="F27" i="12" s="1"/>
  <c r="AE28" i="12"/>
  <c r="F28" i="12" s="1"/>
  <c r="AE29" i="12"/>
  <c r="F29" i="12" s="1"/>
  <c r="AE19" i="12"/>
  <c r="AE41" i="12"/>
  <c r="AE23" i="12"/>
  <c r="AE56" i="12"/>
  <c r="AE122" i="12"/>
  <c r="AE66" i="12"/>
  <c r="AE37" i="12"/>
  <c r="AE18" i="12"/>
  <c r="AE40" i="12"/>
  <c r="AE21" i="12"/>
  <c r="AE24" i="12"/>
  <c r="AE104" i="12"/>
  <c r="AE91" i="12" s="1"/>
  <c r="AE33" i="12"/>
  <c r="AE112" i="12"/>
  <c r="AE12" i="12"/>
  <c r="AE7" i="12"/>
  <c r="AE47" i="12"/>
  <c r="AE38" i="12"/>
  <c r="AE42" i="12"/>
  <c r="AE39" i="12"/>
  <c r="AE54" i="12"/>
  <c r="AE32" i="12"/>
  <c r="AE113" i="12"/>
  <c r="AE65" i="12"/>
  <c r="AE82" i="12"/>
  <c r="AE22" i="12"/>
  <c r="AE108" i="12"/>
  <c r="AE25" i="12"/>
  <c r="AE78" i="12"/>
  <c r="AE55" i="12"/>
  <c r="AE58" i="12"/>
  <c r="AE6" i="12"/>
  <c r="F6" i="12" s="1"/>
  <c r="AE107" i="12"/>
  <c r="AD57" i="12"/>
  <c r="AD60" i="12"/>
  <c r="AD79" i="12"/>
  <c r="AD44" i="12"/>
  <c r="AD67" i="12"/>
  <c r="AD70" i="12"/>
  <c r="AD109" i="12"/>
  <c r="AD92" i="12" s="1"/>
  <c r="AI114" i="5"/>
  <c r="AI116" i="5"/>
  <c r="AI135" i="5"/>
  <c r="AI118" i="5"/>
  <c r="AI110" i="5"/>
  <c r="AI133" i="5"/>
  <c r="AI112" i="5"/>
  <c r="AI126" i="5"/>
  <c r="AI63" i="5"/>
  <c r="AI122" i="5"/>
  <c r="AI104" i="5"/>
  <c r="AI107" i="5"/>
  <c r="AI74" i="5"/>
  <c r="AI130" i="5"/>
  <c r="AI108" i="5"/>
  <c r="AI124" i="5"/>
  <c r="AI134" i="5"/>
  <c r="AI125" i="5"/>
  <c r="AI129" i="5"/>
  <c r="AI117" i="5"/>
  <c r="AI123" i="5"/>
  <c r="AI128" i="5"/>
  <c r="AI132" i="5"/>
  <c r="AI109" i="5"/>
  <c r="AI105" i="5"/>
  <c r="AI127" i="5"/>
  <c r="AI121" i="5"/>
  <c r="AI131" i="5"/>
  <c r="AI106" i="5"/>
  <c r="AI111" i="5"/>
  <c r="AI115" i="5"/>
  <c r="AI101" i="5"/>
  <c r="AI90" i="5"/>
  <c r="AI79" i="5"/>
  <c r="AI67" i="5"/>
  <c r="AI55" i="5"/>
  <c r="AI44" i="5"/>
  <c r="AI32" i="5"/>
  <c r="AI20" i="5"/>
  <c r="AI8" i="5"/>
  <c r="AI138" i="5"/>
  <c r="AI98" i="5"/>
  <c r="AI95" i="5"/>
  <c r="AI92" i="5"/>
  <c r="AI89" i="5"/>
  <c r="AI86" i="5"/>
  <c r="AI83" i="5"/>
  <c r="AI80" i="5"/>
  <c r="AI77" i="5"/>
  <c r="AI73" i="5"/>
  <c r="AI70" i="5"/>
  <c r="AI113" i="5"/>
  <c r="AI91" i="5"/>
  <c r="AI58" i="5"/>
  <c r="AI46" i="5"/>
  <c r="AI38" i="5"/>
  <c r="AI30" i="5"/>
  <c r="AI14" i="5"/>
  <c r="AI99" i="5"/>
  <c r="AI87" i="5"/>
  <c r="AI54" i="5"/>
  <c r="AI66" i="5"/>
  <c r="AI25" i="5"/>
  <c r="AI21" i="5"/>
  <c r="AI78" i="5"/>
  <c r="AI53" i="5"/>
  <c r="AI36" i="5"/>
  <c r="AI68" i="5"/>
  <c r="AI137" i="5"/>
  <c r="AI82" i="5"/>
  <c r="AI16" i="5"/>
  <c r="AI57" i="5"/>
  <c r="AI72" i="5"/>
  <c r="AJ5" i="5"/>
  <c r="AI62" i="5"/>
  <c r="AI34" i="5"/>
  <c r="AI12" i="5"/>
  <c r="AI100" i="5"/>
  <c r="AI96" i="5"/>
  <c r="AI24" i="5"/>
  <c r="AI6" i="5"/>
  <c r="AI28" i="5"/>
  <c r="AI10" i="5"/>
  <c r="AI136" i="5"/>
  <c r="AI47" i="5"/>
  <c r="AI59" i="5"/>
  <c r="AI15" i="5"/>
  <c r="AI9" i="5"/>
  <c r="AI56" i="5"/>
  <c r="AI144" i="5" s="1"/>
  <c r="AI60" i="5"/>
  <c r="AI22" i="5"/>
  <c r="AI93" i="5"/>
  <c r="AI33" i="5"/>
  <c r="AI52" i="5"/>
  <c r="AI85" i="5"/>
  <c r="AI40" i="5"/>
  <c r="AI27" i="5"/>
  <c r="AI103" i="5"/>
  <c r="AI97" i="5"/>
  <c r="AI71" i="5"/>
  <c r="AI65" i="5"/>
  <c r="AI39" i="5"/>
  <c r="AI84" i="5"/>
  <c r="AI51" i="5"/>
  <c r="AI45" i="5"/>
  <c r="AI19" i="5"/>
  <c r="AI37" i="5"/>
  <c r="AI7" i="5"/>
  <c r="AI50" i="5"/>
  <c r="AI18" i="5"/>
  <c r="AI49" i="5"/>
  <c r="AI31" i="5"/>
  <c r="AI81" i="5"/>
  <c r="AI64" i="5"/>
  <c r="AI94" i="5"/>
  <c r="AI48" i="5"/>
  <c r="AI120" i="5"/>
  <c r="AI61" i="5"/>
  <c r="AI17" i="5"/>
  <c r="AI76" i="5"/>
  <c r="AI29" i="5"/>
  <c r="AI43" i="5"/>
  <c r="AI13" i="5"/>
  <c r="AI75" i="5"/>
  <c r="AI42" i="5"/>
  <c r="AI102" i="5"/>
  <c r="AI41" i="5"/>
  <c r="AI88" i="5"/>
  <c r="AI69" i="5"/>
  <c r="AI23" i="5"/>
  <c r="AH143" i="5"/>
  <c r="AC49" i="12" l="1"/>
  <c r="H159" i="19"/>
  <c r="H81" i="19" s="1"/>
  <c r="H109" i="19"/>
  <c r="H110" i="19"/>
  <c r="I159" i="19"/>
  <c r="I81" i="19" s="1"/>
  <c r="I108" i="19"/>
  <c r="I107" i="19"/>
  <c r="H173" i="19"/>
  <c r="I110" i="19"/>
  <c r="I109" i="19"/>
  <c r="I115" i="19"/>
  <c r="I111" i="19"/>
  <c r="I173" i="19"/>
  <c r="I161" i="19"/>
  <c r="H115" i="19"/>
  <c r="F115" i="19" s="1"/>
  <c r="H111" i="19"/>
  <c r="AE35" i="12"/>
  <c r="I160" i="19"/>
  <c r="AE124" i="12"/>
  <c r="AE93" i="12" s="1"/>
  <c r="I169" i="19" s="1"/>
  <c r="I184" i="19"/>
  <c r="I147" i="19"/>
  <c r="I68" i="19" s="1"/>
  <c r="AE129" i="12"/>
  <c r="H190" i="19"/>
  <c r="I190" i="19"/>
  <c r="I185" i="19"/>
  <c r="AE95" i="12"/>
  <c r="F128" i="12"/>
  <c r="I148" i="19"/>
  <c r="I69" i="19" s="1"/>
  <c r="AE114" i="12"/>
  <c r="AE94" i="12" s="1"/>
  <c r="AC72" i="12"/>
  <c r="AC84" i="12" s="1"/>
  <c r="AC90" i="12" s="1"/>
  <c r="AE30" i="12"/>
  <c r="AD46" i="12"/>
  <c r="AD51" i="12" s="1"/>
  <c r="AD62" i="12" s="1"/>
  <c r="AE60" i="12"/>
  <c r="I177" i="19"/>
  <c r="I172" i="19"/>
  <c r="I181" i="19"/>
  <c r="U129" i="19"/>
  <c r="I113" i="19"/>
  <c r="AE109" i="12"/>
  <c r="AE92" i="12" s="1"/>
  <c r="F12" i="12"/>
  <c r="U119" i="19"/>
  <c r="AE79" i="12"/>
  <c r="AE57" i="12"/>
  <c r="AE70" i="12"/>
  <c r="AE67" i="12"/>
  <c r="I119" i="19"/>
  <c r="AE44" i="12"/>
  <c r="I129" i="19"/>
  <c r="AJ133" i="5"/>
  <c r="AJ105" i="5"/>
  <c r="AJ126" i="5"/>
  <c r="AJ110" i="5"/>
  <c r="AJ116" i="5"/>
  <c r="AJ135" i="5"/>
  <c r="AJ118" i="5"/>
  <c r="AJ112" i="5"/>
  <c r="AJ122" i="5"/>
  <c r="AJ128" i="5"/>
  <c r="AJ104" i="5"/>
  <c r="AJ107" i="5"/>
  <c r="AJ74" i="5"/>
  <c r="AJ121" i="5"/>
  <c r="AJ130" i="5"/>
  <c r="AJ124" i="5"/>
  <c r="AJ134" i="5"/>
  <c r="AJ125" i="5"/>
  <c r="AJ114" i="5"/>
  <c r="AJ108" i="5"/>
  <c r="AJ129" i="5"/>
  <c r="AJ117" i="5"/>
  <c r="AJ123" i="5"/>
  <c r="AJ63" i="5"/>
  <c r="AJ132" i="5"/>
  <c r="AJ109" i="5"/>
  <c r="AJ127" i="5"/>
  <c r="AJ106" i="5"/>
  <c r="AJ115" i="5"/>
  <c r="AJ111" i="5"/>
  <c r="AJ131" i="5"/>
  <c r="AJ138" i="5"/>
  <c r="AJ98" i="5"/>
  <c r="AJ87" i="5"/>
  <c r="AJ76" i="5"/>
  <c r="AJ64" i="5"/>
  <c r="AJ52" i="5"/>
  <c r="AJ41" i="5"/>
  <c r="AJ29" i="5"/>
  <c r="AJ17" i="5"/>
  <c r="AJ95" i="5"/>
  <c r="AJ92" i="5"/>
  <c r="AJ89" i="5"/>
  <c r="AJ86" i="5"/>
  <c r="AJ83" i="5"/>
  <c r="AJ80" i="5"/>
  <c r="AJ77" i="5"/>
  <c r="AJ73" i="5"/>
  <c r="AJ70" i="5"/>
  <c r="AJ67" i="5"/>
  <c r="AJ113" i="5"/>
  <c r="AJ101" i="5"/>
  <c r="AJ99" i="5"/>
  <c r="AJ54" i="5"/>
  <c r="AJ79" i="5"/>
  <c r="AJ66" i="5"/>
  <c r="AJ25" i="5"/>
  <c r="AJ21" i="5"/>
  <c r="AJ75" i="5"/>
  <c r="AJ42" i="5"/>
  <c r="AJ72" i="5"/>
  <c r="AJ68" i="5"/>
  <c r="AJ44" i="5"/>
  <c r="AJ12" i="5"/>
  <c r="AJ100" i="5"/>
  <c r="AJ24" i="5"/>
  <c r="AK5" i="5"/>
  <c r="AJ16" i="5"/>
  <c r="AJ48" i="5"/>
  <c r="AJ137" i="5"/>
  <c r="AJ82" i="5"/>
  <c r="AJ62" i="5"/>
  <c r="AJ58" i="5"/>
  <c r="AJ34" i="5"/>
  <c r="AJ96" i="5"/>
  <c r="AJ30" i="5"/>
  <c r="AJ91" i="5"/>
  <c r="AJ20" i="5"/>
  <c r="AJ57" i="5"/>
  <c r="AJ6" i="5"/>
  <c r="AJ136" i="5"/>
  <c r="AJ60" i="5"/>
  <c r="AJ47" i="5"/>
  <c r="AJ36" i="5"/>
  <c r="AJ22" i="5"/>
  <c r="AJ53" i="5"/>
  <c r="AJ40" i="5"/>
  <c r="AJ65" i="5"/>
  <c r="AJ32" i="5"/>
  <c r="AJ31" i="5"/>
  <c r="AJ93" i="5"/>
  <c r="AJ33" i="5"/>
  <c r="AJ59" i="5"/>
  <c r="AJ15" i="5"/>
  <c r="AJ85" i="5"/>
  <c r="AJ9" i="5"/>
  <c r="AJ46" i="5"/>
  <c r="AJ27" i="5"/>
  <c r="AJ103" i="5"/>
  <c r="AJ97" i="5"/>
  <c r="AJ71" i="5"/>
  <c r="AJ39" i="5"/>
  <c r="AJ8" i="5"/>
  <c r="AJ90" i="5"/>
  <c r="AJ38" i="5"/>
  <c r="AJ14" i="5"/>
  <c r="AJ84" i="5"/>
  <c r="AJ78" i="5"/>
  <c r="AJ56" i="5"/>
  <c r="AJ144" i="5" s="1"/>
  <c r="AJ51" i="5"/>
  <c r="AJ45" i="5"/>
  <c r="AJ19" i="5"/>
  <c r="AJ37" i="5"/>
  <c r="AJ7" i="5"/>
  <c r="AJ50" i="5"/>
  <c r="AJ18" i="5"/>
  <c r="AJ49" i="5"/>
  <c r="AJ81" i="5"/>
  <c r="AJ94" i="5"/>
  <c r="AJ120" i="5"/>
  <c r="AJ61" i="5"/>
  <c r="AJ43" i="5"/>
  <c r="AJ28" i="5"/>
  <c r="AJ13" i="5"/>
  <c r="AJ102" i="5"/>
  <c r="AJ88" i="5"/>
  <c r="AJ69" i="5"/>
  <c r="AJ23" i="5"/>
  <c r="AJ10" i="5"/>
  <c r="AJ55" i="5"/>
  <c r="AI142" i="5"/>
  <c r="AI143" i="5"/>
  <c r="F111" i="19" l="1"/>
  <c r="I83" i="19"/>
  <c r="I28" i="19" s="1"/>
  <c r="F173" i="19"/>
  <c r="F159" i="19"/>
  <c r="F110" i="19"/>
  <c r="F109" i="19"/>
  <c r="H171" i="19"/>
  <c r="I171" i="19"/>
  <c r="H26" i="19"/>
  <c r="I186" i="19"/>
  <c r="H191" i="19"/>
  <c r="I189" i="19" s="1"/>
  <c r="I191" i="19" s="1"/>
  <c r="F190" i="19"/>
  <c r="I72" i="19"/>
  <c r="I150" i="19"/>
  <c r="I23" i="19" s="1"/>
  <c r="D19" i="28" s="1"/>
  <c r="AE46" i="12"/>
  <c r="AE49" i="12" s="1"/>
  <c r="AD72" i="12"/>
  <c r="AD84" i="12" s="1"/>
  <c r="AD90" i="12" s="1"/>
  <c r="AD49" i="12"/>
  <c r="AJ143" i="5"/>
  <c r="AK116" i="5"/>
  <c r="AK126" i="5"/>
  <c r="AK122" i="5"/>
  <c r="AK135" i="5"/>
  <c r="AK105" i="5"/>
  <c r="AK118" i="5"/>
  <c r="AK128" i="5"/>
  <c r="AK112" i="5"/>
  <c r="AK133" i="5"/>
  <c r="AK121" i="5"/>
  <c r="AK104" i="5"/>
  <c r="AK132" i="5"/>
  <c r="AK107" i="5"/>
  <c r="AK74" i="5"/>
  <c r="AK130" i="5"/>
  <c r="AK111" i="5"/>
  <c r="AK124" i="5"/>
  <c r="AK134" i="5"/>
  <c r="AK125" i="5"/>
  <c r="AK114" i="5"/>
  <c r="AK108" i="5"/>
  <c r="AK129" i="5"/>
  <c r="AK117" i="5"/>
  <c r="AK123" i="5"/>
  <c r="AK63" i="5"/>
  <c r="AK106" i="5"/>
  <c r="AK109" i="5"/>
  <c r="AK110" i="5"/>
  <c r="AK115" i="5"/>
  <c r="AK131" i="5"/>
  <c r="AK127" i="5"/>
  <c r="AJ142" i="5"/>
  <c r="AK138" i="5"/>
  <c r="AK98" i="5"/>
  <c r="AK87" i="5"/>
  <c r="AK76" i="5"/>
  <c r="AK64" i="5"/>
  <c r="AK52" i="5"/>
  <c r="AK41" i="5"/>
  <c r="AK29" i="5"/>
  <c r="AK17" i="5"/>
  <c r="AK113" i="5"/>
  <c r="AK101" i="5"/>
  <c r="AK38" i="5"/>
  <c r="AK34" i="5"/>
  <c r="AK31" i="5"/>
  <c r="AK28" i="5"/>
  <c r="AK24" i="5"/>
  <c r="AK21" i="5"/>
  <c r="AK18" i="5"/>
  <c r="AK15" i="5"/>
  <c r="AK12" i="5"/>
  <c r="AK8" i="5"/>
  <c r="AK95" i="5"/>
  <c r="AK79" i="5"/>
  <c r="AK66" i="5"/>
  <c r="AK25" i="5"/>
  <c r="AK75" i="5"/>
  <c r="AK42" i="5"/>
  <c r="AK83" i="5"/>
  <c r="AK53" i="5"/>
  <c r="AK33" i="5"/>
  <c r="AK137" i="5"/>
  <c r="AK82" i="5"/>
  <c r="AK62" i="5"/>
  <c r="AK58" i="5"/>
  <c r="AK30" i="5"/>
  <c r="AK91" i="5"/>
  <c r="AK57" i="5"/>
  <c r="AK100" i="5"/>
  <c r="AK96" i="5"/>
  <c r="AK20" i="5"/>
  <c r="AK16" i="5"/>
  <c r="AK48" i="5"/>
  <c r="AK136" i="5"/>
  <c r="AK86" i="5"/>
  <c r="AK61" i="5"/>
  <c r="AK43" i="5"/>
  <c r="AK39" i="5"/>
  <c r="AK36" i="5"/>
  <c r="AK22" i="5"/>
  <c r="AK93" i="5"/>
  <c r="AK80" i="5"/>
  <c r="AK65" i="5"/>
  <c r="AK120" i="5"/>
  <c r="AK99" i="5"/>
  <c r="AK67" i="5"/>
  <c r="AK59" i="5"/>
  <c r="AK54" i="5"/>
  <c r="AK85" i="5"/>
  <c r="AK73" i="5"/>
  <c r="AK9" i="5"/>
  <c r="AK72" i="5"/>
  <c r="AK46" i="5"/>
  <c r="AK40" i="5"/>
  <c r="AK27" i="5"/>
  <c r="AK103" i="5"/>
  <c r="AK97" i="5"/>
  <c r="AK92" i="5"/>
  <c r="AK71" i="5"/>
  <c r="AK90" i="5"/>
  <c r="AK32" i="5"/>
  <c r="AK14" i="5"/>
  <c r="AK84" i="5"/>
  <c r="AK78" i="5"/>
  <c r="AK56" i="5"/>
  <c r="AK144" i="5" s="1"/>
  <c r="AK51" i="5"/>
  <c r="AK45" i="5"/>
  <c r="AK19" i="5"/>
  <c r="AK102" i="5"/>
  <c r="AK77" i="5"/>
  <c r="AK70" i="5"/>
  <c r="AK6" i="5"/>
  <c r="AK50" i="5"/>
  <c r="AK7" i="5"/>
  <c r="AK68" i="5"/>
  <c r="AK49" i="5"/>
  <c r="AK81" i="5"/>
  <c r="AK94" i="5"/>
  <c r="AK47" i="5"/>
  <c r="AK44" i="5"/>
  <c r="AK60" i="5"/>
  <c r="AK13" i="5"/>
  <c r="AK89" i="5"/>
  <c r="AK88" i="5"/>
  <c r="AK69" i="5"/>
  <c r="AK23" i="5"/>
  <c r="AK10" i="5"/>
  <c r="AK55" i="5"/>
  <c r="AK37" i="5"/>
  <c r="F171" i="19" l="1"/>
  <c r="AK143" i="5"/>
  <c r="AE51" i="12"/>
  <c r="AE62" i="12" s="1"/>
  <c r="AE72" i="12" s="1"/>
  <c r="AE84" i="12" s="1"/>
  <c r="AE90" i="12" s="1"/>
  <c r="AK142" i="5"/>
  <c r="AF59" i="6" l="1"/>
  <c r="J56" i="6"/>
  <c r="N112" i="12" s="1"/>
  <c r="N114" i="12" s="1"/>
  <c r="H56" i="6"/>
  <c r="G56" i="6"/>
  <c r="K112" i="12" s="1"/>
  <c r="K114" i="12" s="1"/>
  <c r="F56" i="6"/>
  <c r="D56" i="6"/>
  <c r="K55" i="6"/>
  <c r="J55" i="6"/>
  <c r="I55" i="6"/>
  <c r="H55" i="6"/>
  <c r="G55" i="6"/>
  <c r="F55" i="6"/>
  <c r="J122" i="12" s="1"/>
  <c r="J124" i="12" s="1"/>
  <c r="E55" i="6"/>
  <c r="D55" i="6"/>
  <c r="H122" i="12" s="1"/>
  <c r="F54" i="6"/>
  <c r="F59" i="6" s="1"/>
  <c r="D54" i="6"/>
  <c r="H42" i="6"/>
  <c r="V113" i="12"/>
  <c r="AM52" i="6"/>
  <c r="H113" i="12"/>
  <c r="H178" i="19" s="1"/>
  <c r="G48" i="6"/>
  <c r="V79" i="12"/>
  <c r="AM46" i="6"/>
  <c r="H41" i="6"/>
  <c r="O39" i="6"/>
  <c r="N39" i="6"/>
  <c r="M39" i="6"/>
  <c r="L39" i="6"/>
  <c r="K39" i="6"/>
  <c r="J39" i="6"/>
  <c r="H39" i="6"/>
  <c r="G39" i="6"/>
  <c r="F39" i="6"/>
  <c r="J55" i="12" s="1"/>
  <c r="E39" i="6"/>
  <c r="V55" i="12"/>
  <c r="V57" i="12" s="1"/>
  <c r="V62" i="12" s="1"/>
  <c r="AM38" i="6"/>
  <c r="M38" i="6"/>
  <c r="K38" i="6"/>
  <c r="J38" i="6"/>
  <c r="J49" i="6" s="1"/>
  <c r="H38" i="6"/>
  <c r="G38" i="6"/>
  <c r="D45" i="6"/>
  <c r="P42" i="12"/>
  <c r="I42" i="12"/>
  <c r="G37" i="6"/>
  <c r="K42" i="12" s="1"/>
  <c r="F36" i="6"/>
  <c r="K29" i="6"/>
  <c r="J29" i="6"/>
  <c r="I29" i="6"/>
  <c r="AD29" i="6" s="1"/>
  <c r="D29" i="6"/>
  <c r="M26" i="6"/>
  <c r="AF26" i="6" s="1"/>
  <c r="K26" i="6"/>
  <c r="O22" i="6"/>
  <c r="N22" i="6"/>
  <c r="M22" i="6"/>
  <c r="L22" i="6"/>
  <c r="K22" i="6"/>
  <c r="J22" i="6"/>
  <c r="I22" i="6"/>
  <c r="H22" i="6"/>
  <c r="G22" i="6"/>
  <c r="F22" i="6"/>
  <c r="E22" i="6"/>
  <c r="D22" i="6"/>
  <c r="O40" i="6"/>
  <c r="N40" i="6"/>
  <c r="M40" i="6"/>
  <c r="L40" i="6"/>
  <c r="K40" i="6"/>
  <c r="J40" i="6"/>
  <c r="I40" i="6"/>
  <c r="H40" i="6"/>
  <c r="G40" i="6"/>
  <c r="F40" i="6"/>
  <c r="E40" i="6"/>
  <c r="D40" i="6"/>
  <c r="AD17" i="6"/>
  <c r="F17" i="6"/>
  <c r="E17" i="6"/>
  <c r="D17" i="6"/>
  <c r="AL17" i="6" s="1"/>
  <c r="O16" i="6"/>
  <c r="N16" i="6"/>
  <c r="M16" i="6"/>
  <c r="L16" i="6"/>
  <c r="K16" i="6"/>
  <c r="J16" i="6"/>
  <c r="I16" i="6"/>
  <c r="H16" i="6"/>
  <c r="G16" i="6"/>
  <c r="F16" i="6"/>
  <c r="O15" i="6"/>
  <c r="N15" i="6"/>
  <c r="M15" i="6"/>
  <c r="L15" i="6"/>
  <c r="K15" i="6"/>
  <c r="J15" i="6"/>
  <c r="I15" i="6"/>
  <c r="H15" i="6"/>
  <c r="G15" i="6"/>
  <c r="F15" i="6"/>
  <c r="E15" i="6"/>
  <c r="D15" i="6"/>
  <c r="O14" i="6"/>
  <c r="N14" i="6"/>
  <c r="M14" i="6"/>
  <c r="L14" i="6"/>
  <c r="K14" i="6"/>
  <c r="J14" i="6"/>
  <c r="I14" i="6"/>
  <c r="H14" i="6"/>
  <c r="G14" i="6"/>
  <c r="F14" i="6"/>
  <c r="O12" i="6"/>
  <c r="N12" i="6"/>
  <c r="M12" i="6"/>
  <c r="L12" i="6"/>
  <c r="K12" i="6"/>
  <c r="J12" i="6"/>
  <c r="I12" i="6"/>
  <c r="H12" i="6"/>
  <c r="G12" i="6"/>
  <c r="F12" i="6"/>
  <c r="E12" i="6"/>
  <c r="D12" i="6"/>
  <c r="AG9" i="6"/>
  <c r="O9" i="6"/>
  <c r="N9" i="6"/>
  <c r="M9" i="6"/>
  <c r="L9" i="6"/>
  <c r="K9" i="6"/>
  <c r="J9" i="6"/>
  <c r="I9" i="6"/>
  <c r="H9" i="6"/>
  <c r="G9" i="6"/>
  <c r="F9" i="6"/>
  <c r="E9" i="6"/>
  <c r="D9" i="6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E7" i="5"/>
  <c r="AM5" i="5" s="1"/>
  <c r="Q128" i="5"/>
  <c r="R128" i="5"/>
  <c r="S128" i="5"/>
  <c r="Q136" i="5"/>
  <c r="R136" i="5"/>
  <c r="S136" i="5"/>
  <c r="F56" i="5"/>
  <c r="I34" i="12" s="1"/>
  <c r="G56" i="5"/>
  <c r="J34" i="12" s="1"/>
  <c r="H56" i="5"/>
  <c r="K34" i="12" s="1"/>
  <c r="I56" i="5"/>
  <c r="L34" i="12" s="1"/>
  <c r="J56" i="5"/>
  <c r="M34" i="12" s="1"/>
  <c r="K56" i="5"/>
  <c r="N34" i="12" s="1"/>
  <c r="L56" i="5"/>
  <c r="O34" i="12" s="1"/>
  <c r="M56" i="5"/>
  <c r="P34" i="12" s="1"/>
  <c r="N56" i="5"/>
  <c r="Q34" i="12" s="1"/>
  <c r="O56" i="5"/>
  <c r="R34" i="12" s="1"/>
  <c r="P56" i="5"/>
  <c r="S34" i="12" s="1"/>
  <c r="Q56" i="5"/>
  <c r="T34" i="12" s="1"/>
  <c r="E56" i="5"/>
  <c r="H34" i="12" s="1"/>
  <c r="H120" i="19" s="1"/>
  <c r="H49" i="6" l="1"/>
  <c r="K49" i="6"/>
  <c r="AL15" i="6"/>
  <c r="AE29" i="6"/>
  <c r="H112" i="12"/>
  <c r="H114" i="12" s="1"/>
  <c r="H94" i="12" s="1"/>
  <c r="D59" i="6"/>
  <c r="AL54" i="6"/>
  <c r="N122" i="12"/>
  <c r="N124" i="12" s="1"/>
  <c r="J59" i="6"/>
  <c r="K116" i="12"/>
  <c r="AL48" i="6"/>
  <c r="H42" i="12"/>
  <c r="AC45" i="6"/>
  <c r="D31" i="6"/>
  <c r="E31" i="6"/>
  <c r="E32" i="6" s="1"/>
  <c r="I122" i="12"/>
  <c r="I124" i="12" s="1"/>
  <c r="E59" i="6"/>
  <c r="K122" i="12"/>
  <c r="K124" i="12" s="1"/>
  <c r="G59" i="6"/>
  <c r="L122" i="12"/>
  <c r="L124" i="12" s="1"/>
  <c r="L93" i="12" s="1"/>
  <c r="H59" i="6"/>
  <c r="M122" i="12"/>
  <c r="M124" i="12" s="1"/>
  <c r="I59" i="6"/>
  <c r="O122" i="12"/>
  <c r="O124" i="12" s="1"/>
  <c r="K59" i="6"/>
  <c r="AL29" i="6"/>
  <c r="AC29" i="6"/>
  <c r="AL14" i="6"/>
  <c r="AL16" i="6"/>
  <c r="T35" i="12"/>
  <c r="T46" i="12" s="1"/>
  <c r="T51" i="12" s="1"/>
  <c r="I120" i="19"/>
  <c r="F120" i="19" s="1"/>
  <c r="H124" i="12"/>
  <c r="F34" i="12"/>
  <c r="V114" i="12"/>
  <c r="V94" i="12" s="1"/>
  <c r="V72" i="12"/>
  <c r="V84" i="12" s="1"/>
  <c r="V90" i="12" s="1"/>
  <c r="I55" i="12"/>
  <c r="E49" i="6"/>
  <c r="D49" i="6"/>
  <c r="H55" i="12"/>
  <c r="P55" i="12"/>
  <c r="L49" i="6"/>
  <c r="I49" i="6"/>
  <c r="M55" i="12"/>
  <c r="R55" i="12"/>
  <c r="N49" i="6"/>
  <c r="S55" i="12"/>
  <c r="O49" i="6"/>
  <c r="F49" i="6"/>
  <c r="Q55" i="12"/>
  <c r="M49" i="6"/>
  <c r="G49" i="6"/>
  <c r="F31" i="6"/>
  <c r="F32" i="6" s="1"/>
  <c r="G31" i="6"/>
  <c r="G32" i="6" s="1"/>
  <c r="AF40" i="6"/>
  <c r="I31" i="6"/>
  <c r="I32" i="6" s="1"/>
  <c r="L31" i="6"/>
  <c r="L32" i="6" s="1"/>
  <c r="M31" i="6"/>
  <c r="M32" i="6" s="1"/>
  <c r="M60" i="6" s="1"/>
  <c r="H31" i="6"/>
  <c r="H32" i="6" s="1"/>
  <c r="N31" i="6"/>
  <c r="N32" i="6" s="1"/>
  <c r="O31" i="6"/>
  <c r="O32" i="6" s="1"/>
  <c r="J31" i="6"/>
  <c r="J32" i="6" s="1"/>
  <c r="J60" i="6" s="1"/>
  <c r="K31" i="6"/>
  <c r="K32" i="6" s="1"/>
  <c r="H108" i="12"/>
  <c r="I108" i="12"/>
  <c r="AD15" i="6"/>
  <c r="AD22" i="6"/>
  <c r="AF15" i="6"/>
  <c r="AG15" i="6"/>
  <c r="AG22" i="6"/>
  <c r="AM22" i="6"/>
  <c r="AG26" i="6"/>
  <c r="AM26" i="6"/>
  <c r="AG14" i="6"/>
  <c r="AG40" i="6"/>
  <c r="AM40" i="6"/>
  <c r="AG16" i="6"/>
  <c r="AG39" i="6"/>
  <c r="AM39" i="6"/>
  <c r="AG58" i="6"/>
  <c r="AM58" i="6"/>
  <c r="AG12" i="6"/>
  <c r="AM12" i="6"/>
  <c r="U79" i="12"/>
  <c r="T55" i="12"/>
  <c r="I138" i="19" s="1"/>
  <c r="AG38" i="6"/>
  <c r="U42" i="12"/>
  <c r="U128" i="19" s="1"/>
  <c r="U113" i="12"/>
  <c r="I178" i="19" s="1"/>
  <c r="I179" i="19" s="1"/>
  <c r="AG52" i="6"/>
  <c r="AG63" i="6" s="1"/>
  <c r="O108" i="12"/>
  <c r="M108" i="12"/>
  <c r="AE9" i="6"/>
  <c r="AD14" i="6"/>
  <c r="H185" i="19"/>
  <c r="F185" i="19" s="1"/>
  <c r="AE16" i="6"/>
  <c r="N108" i="12"/>
  <c r="O104" i="12"/>
  <c r="O91" i="12" s="1"/>
  <c r="Q104" i="12"/>
  <c r="Q91" i="12" s="1"/>
  <c r="U108" i="12"/>
  <c r="U109" i="12" s="1"/>
  <c r="U92" i="12" s="1"/>
  <c r="S104" i="12"/>
  <c r="S91" i="12" s="1"/>
  <c r="T104" i="12"/>
  <c r="T91" i="12" s="1"/>
  <c r="V104" i="12"/>
  <c r="V91" i="12" s="1"/>
  <c r="J67" i="12"/>
  <c r="J42" i="12"/>
  <c r="K104" i="12"/>
  <c r="K91" i="12" s="1"/>
  <c r="J112" i="12"/>
  <c r="N104" i="12"/>
  <c r="N91" i="12" s="1"/>
  <c r="S108" i="12"/>
  <c r="T108" i="12"/>
  <c r="T109" i="12" s="1"/>
  <c r="T92" i="12" s="1"/>
  <c r="K55" i="12"/>
  <c r="H104" i="12"/>
  <c r="H91" i="12" s="1"/>
  <c r="K108" i="12"/>
  <c r="N55" i="12"/>
  <c r="J104" i="12"/>
  <c r="J91" i="12" s="1"/>
  <c r="L104" i="12"/>
  <c r="L91" i="12" s="1"/>
  <c r="M104" i="12"/>
  <c r="M91" i="12" s="1"/>
  <c r="P108" i="12"/>
  <c r="Q108" i="12"/>
  <c r="R108" i="12"/>
  <c r="P104" i="12"/>
  <c r="P91" i="12" s="1"/>
  <c r="R104" i="12"/>
  <c r="R91" i="12" s="1"/>
  <c r="V108" i="12"/>
  <c r="V109" i="12" s="1"/>
  <c r="V92" i="12" s="1"/>
  <c r="U104" i="12"/>
  <c r="U91" i="12" s="1"/>
  <c r="L42" i="12"/>
  <c r="L112" i="12"/>
  <c r="J108" i="12"/>
  <c r="L55" i="12"/>
  <c r="AF14" i="6"/>
  <c r="I104" i="12"/>
  <c r="I91" i="12" s="1"/>
  <c r="L108" i="12"/>
  <c r="O55" i="12"/>
  <c r="AH128" i="5"/>
  <c r="AM135" i="5"/>
  <c r="AM107" i="5"/>
  <c r="AM54" i="5"/>
  <c r="AM8" i="5"/>
  <c r="AM88" i="5"/>
  <c r="AM65" i="5"/>
  <c r="AM76" i="5"/>
  <c r="AM118" i="5"/>
  <c r="AM126" i="5"/>
  <c r="AN5" i="5"/>
  <c r="AM64" i="5"/>
  <c r="AM133" i="5"/>
  <c r="AM55" i="5"/>
  <c r="AM132" i="5"/>
  <c r="AM116" i="5"/>
  <c r="AM51" i="5"/>
  <c r="AM129" i="5"/>
  <c r="AM104" i="5"/>
  <c r="AM134" i="5"/>
  <c r="AM111" i="5"/>
  <c r="AM72" i="5"/>
  <c r="AM11" i="5"/>
  <c r="AM10" i="5"/>
  <c r="AM117" i="5"/>
  <c r="AM108" i="5"/>
  <c r="AM112" i="5"/>
  <c r="AM9" i="5"/>
  <c r="AM123" i="5"/>
  <c r="AM23" i="5"/>
  <c r="AM63" i="5"/>
  <c r="AM115" i="5"/>
  <c r="AM106" i="5"/>
  <c r="AM79" i="5"/>
  <c r="AM74" i="5"/>
  <c r="AM75" i="5"/>
  <c r="AM15" i="5"/>
  <c r="AM109" i="5"/>
  <c r="AM73" i="5"/>
  <c r="AM110" i="5"/>
  <c r="AM56" i="5"/>
  <c r="AM144" i="5" s="1"/>
  <c r="AM39" i="5"/>
  <c r="AE56" i="5"/>
  <c r="AE144" i="5" s="1"/>
  <c r="AD56" i="5"/>
  <c r="AD144" i="5" s="1"/>
  <c r="AF56" i="5"/>
  <c r="AF144" i="5" s="1"/>
  <c r="AH136" i="5"/>
  <c r="AH56" i="5"/>
  <c r="AH144" i="5" s="1"/>
  <c r="AG56" i="5"/>
  <c r="AG144" i="5" s="1"/>
  <c r="J93" i="12"/>
  <c r="P93" i="12"/>
  <c r="AE56" i="6"/>
  <c r="N94" i="12"/>
  <c r="AD40" i="6"/>
  <c r="I67" i="12"/>
  <c r="AE39" i="6"/>
  <c r="L67" i="12"/>
  <c r="AE55" i="6"/>
  <c r="AD55" i="6"/>
  <c r="AE12" i="6"/>
  <c r="AD39" i="6"/>
  <c r="AD9" i="6"/>
  <c r="AD16" i="6"/>
  <c r="AF22" i="6"/>
  <c r="AD56" i="6"/>
  <c r="K94" i="12"/>
  <c r="S57" i="5"/>
  <c r="R57" i="5"/>
  <c r="R124" i="5" s="1"/>
  <c r="AL36" i="6"/>
  <c r="AC36" i="6"/>
  <c r="AC14" i="6"/>
  <c r="AL42" i="6"/>
  <c r="AD42" i="6"/>
  <c r="AF38" i="6"/>
  <c r="AC54" i="6"/>
  <c r="AC65" i="6" s="1"/>
  <c r="AL9" i="6"/>
  <c r="AC9" i="6"/>
  <c r="AF12" i="6"/>
  <c r="AE22" i="6"/>
  <c r="AC15" i="6"/>
  <c r="AL38" i="6"/>
  <c r="AD38" i="6"/>
  <c r="AL52" i="6"/>
  <c r="AC52" i="6"/>
  <c r="AC63" i="6" s="1"/>
  <c r="AL37" i="6"/>
  <c r="AD37" i="6"/>
  <c r="AE38" i="6"/>
  <c r="AL41" i="6"/>
  <c r="AD41" i="6"/>
  <c r="AL12" i="6"/>
  <c r="AC12" i="6"/>
  <c r="AC17" i="6"/>
  <c r="AF9" i="6"/>
  <c r="AE15" i="6"/>
  <c r="AF16" i="6"/>
  <c r="AE40" i="6"/>
  <c r="AL26" i="6"/>
  <c r="AE26" i="6"/>
  <c r="AF39" i="6"/>
  <c r="AD48" i="6"/>
  <c r="AL55" i="6"/>
  <c r="AC55" i="6"/>
  <c r="AL56" i="6"/>
  <c r="AC56" i="6"/>
  <c r="AC40" i="6"/>
  <c r="AL40" i="6"/>
  <c r="AD12" i="6"/>
  <c r="AE14" i="6"/>
  <c r="AC16" i="6"/>
  <c r="AL22" i="6"/>
  <c r="AC22" i="6"/>
  <c r="AL45" i="6"/>
  <c r="AC39" i="6"/>
  <c r="AL39" i="6"/>
  <c r="Q57" i="5"/>
  <c r="Q124" i="5" s="1"/>
  <c r="AM7" i="5"/>
  <c r="AM6" i="5"/>
  <c r="Q137" i="5"/>
  <c r="S137" i="5"/>
  <c r="R137" i="5"/>
  <c r="H181" i="19" l="1"/>
  <c r="F181" i="19" s="1"/>
  <c r="K119" i="12"/>
  <c r="O60" i="6"/>
  <c r="F60" i="6"/>
  <c r="I168" i="19"/>
  <c r="I128" i="19"/>
  <c r="F116" i="12"/>
  <c r="N60" i="6"/>
  <c r="E60" i="6"/>
  <c r="G60" i="6"/>
  <c r="I60" i="6"/>
  <c r="K60" i="6"/>
  <c r="H60" i="6"/>
  <c r="L60" i="6"/>
  <c r="H184" i="19"/>
  <c r="F184" i="19" s="1"/>
  <c r="H167" i="19"/>
  <c r="I167" i="19"/>
  <c r="F178" i="19"/>
  <c r="Q142" i="5"/>
  <c r="T47" i="12" s="1"/>
  <c r="T49" i="12" s="1"/>
  <c r="R142" i="5"/>
  <c r="U47" i="12" s="1"/>
  <c r="AH137" i="5"/>
  <c r="J114" i="12"/>
  <c r="J94" i="12" s="1"/>
  <c r="L114" i="12"/>
  <c r="L94" i="12" s="1"/>
  <c r="U114" i="12"/>
  <c r="U94" i="12" s="1"/>
  <c r="I170" i="19" s="1"/>
  <c r="I87" i="19" s="1"/>
  <c r="I31" i="19" s="1"/>
  <c r="U44" i="12"/>
  <c r="U46" i="12" s="1"/>
  <c r="T57" i="12"/>
  <c r="T62" i="12" s="1"/>
  <c r="F113" i="12"/>
  <c r="AM49" i="6"/>
  <c r="AM31" i="6"/>
  <c r="AG59" i="6"/>
  <c r="AM59" i="6"/>
  <c r="U138" i="19"/>
  <c r="H128" i="19"/>
  <c r="AG49" i="6"/>
  <c r="AG31" i="6"/>
  <c r="H138" i="19"/>
  <c r="F138" i="19" s="1"/>
  <c r="F108" i="12"/>
  <c r="F42" i="12"/>
  <c r="AD59" i="6"/>
  <c r="H177" i="19"/>
  <c r="H179" i="19" s="1"/>
  <c r="AE59" i="6"/>
  <c r="AN118" i="5"/>
  <c r="AN30" i="5"/>
  <c r="AN105" i="5"/>
  <c r="AN98" i="5"/>
  <c r="AN64" i="5"/>
  <c r="AN41" i="5"/>
  <c r="AN17" i="5"/>
  <c r="AN130" i="5"/>
  <c r="AN86" i="5"/>
  <c r="AN51" i="5"/>
  <c r="AN40" i="5"/>
  <c r="AN16" i="5"/>
  <c r="AN126" i="5"/>
  <c r="AN107" i="5"/>
  <c r="AN99" i="5"/>
  <c r="AN88" i="5"/>
  <c r="AN77" i="5"/>
  <c r="AN65" i="5"/>
  <c r="AN53" i="5"/>
  <c r="AN42" i="5"/>
  <c r="AN18" i="5"/>
  <c r="AN6" i="5"/>
  <c r="AN122" i="5"/>
  <c r="AN7" i="5"/>
  <c r="AN128" i="5"/>
  <c r="AN87" i="5"/>
  <c r="AN76" i="5"/>
  <c r="AN52" i="5"/>
  <c r="AN29" i="5"/>
  <c r="AN97" i="5"/>
  <c r="AN75" i="5"/>
  <c r="AN62" i="5"/>
  <c r="AN28" i="5"/>
  <c r="AN110" i="5"/>
  <c r="AN103" i="5"/>
  <c r="AN85" i="5"/>
  <c r="AN70" i="5"/>
  <c r="AN55" i="5"/>
  <c r="AN38" i="5"/>
  <c r="AN22" i="5"/>
  <c r="AN8" i="5"/>
  <c r="AN121" i="5"/>
  <c r="AN132" i="5"/>
  <c r="AN116" i="5"/>
  <c r="AN102" i="5"/>
  <c r="AN84" i="5"/>
  <c r="AN69" i="5"/>
  <c r="AN54" i="5"/>
  <c r="AN37" i="5"/>
  <c r="AN21" i="5"/>
  <c r="AN129" i="5"/>
  <c r="AN101" i="5"/>
  <c r="AN83" i="5"/>
  <c r="AN68" i="5"/>
  <c r="AN50" i="5"/>
  <c r="AN36" i="5"/>
  <c r="AN20" i="5"/>
  <c r="AN114" i="5"/>
  <c r="AN93" i="5"/>
  <c r="AN72" i="5"/>
  <c r="AN49" i="5"/>
  <c r="AN11" i="5"/>
  <c r="AN31" i="5"/>
  <c r="AN111" i="5"/>
  <c r="AN92" i="5"/>
  <c r="AN71" i="5"/>
  <c r="AN48" i="5"/>
  <c r="AN10" i="5"/>
  <c r="AN27" i="5"/>
  <c r="AN117" i="5"/>
  <c r="AN91" i="5"/>
  <c r="AN47" i="5"/>
  <c r="AN9" i="5"/>
  <c r="AN123" i="5"/>
  <c r="AN67" i="5"/>
  <c r="AN25" i="5"/>
  <c r="AN108" i="5"/>
  <c r="AN112" i="5"/>
  <c r="AN90" i="5"/>
  <c r="AN46" i="5"/>
  <c r="AN104" i="5"/>
  <c r="AN137" i="5"/>
  <c r="AN66" i="5"/>
  <c r="AN24" i="5"/>
  <c r="AN89" i="5"/>
  <c r="AN45" i="5"/>
  <c r="AN133" i="5"/>
  <c r="AN136" i="5"/>
  <c r="AN61" i="5"/>
  <c r="AN23" i="5"/>
  <c r="AN82" i="5"/>
  <c r="AN44" i="5"/>
  <c r="AN120" i="5"/>
  <c r="AN60" i="5"/>
  <c r="AN115" i="5"/>
  <c r="AN81" i="5"/>
  <c r="AN43" i="5"/>
  <c r="AN19" i="5"/>
  <c r="AN63" i="5"/>
  <c r="AN33" i="5"/>
  <c r="AN79" i="5"/>
  <c r="AN32" i="5"/>
  <c r="AN106" i="5"/>
  <c r="AN78" i="5"/>
  <c r="AN74" i="5"/>
  <c r="AN15" i="5"/>
  <c r="AN135" i="5"/>
  <c r="AN73" i="5"/>
  <c r="AN14" i="5"/>
  <c r="AN109" i="5"/>
  <c r="AN59" i="5"/>
  <c r="AN134" i="5"/>
  <c r="AN13" i="5"/>
  <c r="AN58" i="5"/>
  <c r="AN12" i="5"/>
  <c r="AN57" i="5"/>
  <c r="AN131" i="5"/>
  <c r="AN56" i="5"/>
  <c r="AN144" i="5" s="1"/>
  <c r="AN96" i="5"/>
  <c r="AN95" i="5"/>
  <c r="AN127" i="5"/>
  <c r="AN94" i="5"/>
  <c r="AN100" i="5"/>
  <c r="AN39" i="5"/>
  <c r="AN34" i="5"/>
  <c r="AN80" i="5"/>
  <c r="AN113" i="5"/>
  <c r="S124" i="5"/>
  <c r="S142" i="5" s="1"/>
  <c r="AH57" i="5"/>
  <c r="R125" i="5"/>
  <c r="R138" i="5" s="1"/>
  <c r="I93" i="12"/>
  <c r="O93" i="12"/>
  <c r="H93" i="12"/>
  <c r="M93" i="12"/>
  <c r="F55" i="12"/>
  <c r="F91" i="12"/>
  <c r="F112" i="12"/>
  <c r="K93" i="12"/>
  <c r="F122" i="12"/>
  <c r="N93" i="12"/>
  <c r="F104" i="12"/>
  <c r="AF49" i="6"/>
  <c r="F95" i="12"/>
  <c r="AE49" i="6"/>
  <c r="AE32" i="6"/>
  <c r="AD32" i="6"/>
  <c r="AD31" i="6"/>
  <c r="AE31" i="6"/>
  <c r="AC59" i="6"/>
  <c r="AL59" i="6"/>
  <c r="AF31" i="6"/>
  <c r="AL49" i="6"/>
  <c r="AC49" i="6"/>
  <c r="D32" i="6"/>
  <c r="D60" i="6" s="1"/>
  <c r="AC31" i="6"/>
  <c r="AL31" i="6"/>
  <c r="AD49" i="6"/>
  <c r="F119" i="12" l="1"/>
  <c r="K96" i="12"/>
  <c r="H172" i="19" s="1"/>
  <c r="F172" i="19" s="1"/>
  <c r="H186" i="19"/>
  <c r="F186" i="19" s="1"/>
  <c r="I84" i="19"/>
  <c r="I29" i="19" s="1"/>
  <c r="F128" i="19"/>
  <c r="H170" i="19"/>
  <c r="H169" i="19"/>
  <c r="F169" i="19" s="1"/>
  <c r="F167" i="19"/>
  <c r="U49" i="12"/>
  <c r="S125" i="5"/>
  <c r="S138" i="5" s="1"/>
  <c r="V47" i="12"/>
  <c r="V49" i="12" s="1"/>
  <c r="AN143" i="5"/>
  <c r="F114" i="12"/>
  <c r="F94" i="12"/>
  <c r="U51" i="12"/>
  <c r="U62" i="12" s="1"/>
  <c r="U72" i="12" s="1"/>
  <c r="U84" i="12" s="1"/>
  <c r="U90" i="12" s="1"/>
  <c r="T72" i="12"/>
  <c r="T84" i="12" s="1"/>
  <c r="T90" i="12" s="1"/>
  <c r="AG32" i="6"/>
  <c r="AM32" i="6"/>
  <c r="F177" i="19"/>
  <c r="AH124" i="5"/>
  <c r="AH142" i="5" s="1"/>
  <c r="AN124" i="5"/>
  <c r="AN142" i="5" s="1"/>
  <c r="K38" i="19"/>
  <c r="K12" i="19" s="1"/>
  <c r="K37" i="19"/>
  <c r="L38" i="19"/>
  <c r="L12" i="19" s="1"/>
  <c r="L37" i="19"/>
  <c r="Q125" i="5"/>
  <c r="F124" i="12"/>
  <c r="F93" i="12"/>
  <c r="AE60" i="6"/>
  <c r="AF60" i="6"/>
  <c r="AF32" i="6"/>
  <c r="AC60" i="6"/>
  <c r="AC32" i="6"/>
  <c r="AL32" i="6"/>
  <c r="K39" i="19"/>
  <c r="K13" i="19" s="1"/>
  <c r="F96" i="12" l="1"/>
  <c r="F170" i="19"/>
  <c r="H87" i="19"/>
  <c r="H31" i="19" s="1"/>
  <c r="F31" i="19" s="1"/>
  <c r="AL60" i="6"/>
  <c r="AD60" i="6"/>
  <c r="AG60" i="6"/>
  <c r="AM60" i="6"/>
  <c r="AN125" i="5"/>
  <c r="AH125" i="5"/>
  <c r="Q138" i="5"/>
  <c r="K44" i="19"/>
  <c r="L44" i="19"/>
  <c r="M38" i="19"/>
  <c r="M12" i="19" s="1"/>
  <c r="M37" i="19"/>
  <c r="K45" i="19"/>
  <c r="L39" i="19"/>
  <c r="L13" i="19" s="1"/>
  <c r="AH138" i="5" l="1"/>
  <c r="AN138" i="5"/>
  <c r="M44" i="19"/>
  <c r="N38" i="19"/>
  <c r="N12" i="19" s="1"/>
  <c r="K46" i="19"/>
  <c r="L45" i="19"/>
  <c r="M39" i="19"/>
  <c r="M13" i="19" s="1"/>
  <c r="K16" i="19" l="1"/>
  <c r="F11" i="28" s="1"/>
  <c r="F13" i="28" s="1"/>
  <c r="N37" i="19"/>
  <c r="N44" i="19" s="1"/>
  <c r="K57" i="19"/>
  <c r="K142" i="19"/>
  <c r="K152" i="19" s="1"/>
  <c r="L46" i="19"/>
  <c r="M45" i="19"/>
  <c r="N39" i="19"/>
  <c r="N13" i="19" s="1"/>
  <c r="O38" i="19"/>
  <c r="O12" i="19" s="1"/>
  <c r="F14" i="28" l="1"/>
  <c r="F16" i="28"/>
  <c r="O37" i="19"/>
  <c r="O44" i="19" s="1"/>
  <c r="K18" i="19"/>
  <c r="K21" i="19" s="1"/>
  <c r="L16" i="19"/>
  <c r="G11" i="28" s="1"/>
  <c r="G13" i="28" s="1"/>
  <c r="L47" i="19"/>
  <c r="P38" i="19"/>
  <c r="P12" i="19" s="1"/>
  <c r="P37" i="19"/>
  <c r="K58" i="19"/>
  <c r="K63" i="19"/>
  <c r="K74" i="19" s="1"/>
  <c r="L57" i="19"/>
  <c r="L142" i="19"/>
  <c r="L152" i="19" s="1"/>
  <c r="M46" i="19"/>
  <c r="O39" i="19"/>
  <c r="O13" i="19" s="1"/>
  <c r="F17" i="28" l="1"/>
  <c r="G14" i="28"/>
  <c r="G16" i="28"/>
  <c r="P44" i="19"/>
  <c r="K19" i="19"/>
  <c r="L18" i="19"/>
  <c r="L21" i="19" s="1"/>
  <c r="M47" i="19"/>
  <c r="M17" i="19"/>
  <c r="H12" i="28" s="1"/>
  <c r="K22" i="19"/>
  <c r="K64" i="19"/>
  <c r="Q37" i="19"/>
  <c r="M16" i="19"/>
  <c r="H11" i="28" s="1"/>
  <c r="L63" i="19"/>
  <c r="L74" i="19" s="1"/>
  <c r="L58" i="19"/>
  <c r="P39" i="19"/>
  <c r="P13" i="19" s="1"/>
  <c r="H13" i="28" l="1"/>
  <c r="H14" i="28" s="1"/>
  <c r="G17" i="28"/>
  <c r="L19" i="19"/>
  <c r="H12" i="19"/>
  <c r="H13" i="19"/>
  <c r="Q39" i="19"/>
  <c r="Q13" i="19" s="1"/>
  <c r="Q38" i="19"/>
  <c r="Q12" i="19" s="1"/>
  <c r="L22" i="19"/>
  <c r="M18" i="19"/>
  <c r="R38" i="19"/>
  <c r="L64" i="19"/>
  <c r="H39" i="19"/>
  <c r="H38" i="19"/>
  <c r="H37" i="19"/>
  <c r="M57" i="19"/>
  <c r="M58" i="19" s="1"/>
  <c r="P131" i="5"/>
  <c r="O131" i="5"/>
  <c r="N131" i="5"/>
  <c r="AG131" i="5" s="1"/>
  <c r="M131" i="5"/>
  <c r="L131" i="5"/>
  <c r="K131" i="5"/>
  <c r="AF131" i="5" s="1"/>
  <c r="J131" i="5"/>
  <c r="I131" i="5"/>
  <c r="H131" i="5"/>
  <c r="G131" i="5"/>
  <c r="F131" i="5"/>
  <c r="E131" i="5"/>
  <c r="P130" i="5"/>
  <c r="O130" i="5"/>
  <c r="N130" i="5"/>
  <c r="M130" i="5"/>
  <c r="L130" i="5"/>
  <c r="K130" i="5"/>
  <c r="AF130" i="5" s="1"/>
  <c r="J130" i="5"/>
  <c r="I130" i="5"/>
  <c r="H130" i="5"/>
  <c r="AE130" i="5" s="1"/>
  <c r="G130" i="5"/>
  <c r="J107" i="12" s="1"/>
  <c r="J109" i="12" s="1"/>
  <c r="J92" i="12" s="1"/>
  <c r="F130" i="5"/>
  <c r="I107" i="12" s="1"/>
  <c r="I109" i="12" s="1"/>
  <c r="I92" i="12" s="1"/>
  <c r="E130" i="5"/>
  <c r="P127" i="5"/>
  <c r="S78" i="12" s="1"/>
  <c r="S79" i="12" s="1"/>
  <c r="O127" i="5"/>
  <c r="R78" i="12" s="1"/>
  <c r="R79" i="12" s="1"/>
  <c r="N127" i="5"/>
  <c r="M127" i="5"/>
  <c r="L127" i="5"/>
  <c r="K127" i="5"/>
  <c r="J127" i="5"/>
  <c r="I127" i="5"/>
  <c r="H127" i="5"/>
  <c r="G127" i="5"/>
  <c r="F127" i="5"/>
  <c r="E127" i="5"/>
  <c r="I122" i="5"/>
  <c r="P121" i="5"/>
  <c r="S40" i="12" s="1"/>
  <c r="O121" i="5"/>
  <c r="R40" i="12" s="1"/>
  <c r="N121" i="5"/>
  <c r="M121" i="5"/>
  <c r="P40" i="12" s="1"/>
  <c r="L121" i="5"/>
  <c r="O40" i="12" s="1"/>
  <c r="K121" i="5"/>
  <c r="AF121" i="5" s="1"/>
  <c r="J121" i="5"/>
  <c r="M40" i="12" s="1"/>
  <c r="I121" i="5"/>
  <c r="L40" i="12" s="1"/>
  <c r="H121" i="5"/>
  <c r="AE121" i="5" s="1"/>
  <c r="G121" i="5"/>
  <c r="J40" i="12" s="1"/>
  <c r="F121" i="5"/>
  <c r="I40" i="12" s="1"/>
  <c r="E121" i="5"/>
  <c r="M120" i="5"/>
  <c r="F120" i="5"/>
  <c r="P114" i="5"/>
  <c r="O114" i="5"/>
  <c r="M114" i="5"/>
  <c r="M144" i="5" s="1"/>
  <c r="P68" i="12" s="1"/>
  <c r="O105" i="5"/>
  <c r="O103" i="5"/>
  <c r="N103" i="5"/>
  <c r="O102" i="5"/>
  <c r="N102" i="5"/>
  <c r="AG102" i="5" s="1"/>
  <c r="M102" i="5"/>
  <c r="L101" i="5"/>
  <c r="K101" i="5"/>
  <c r="L100" i="5"/>
  <c r="O66" i="12" s="1"/>
  <c r="O67" i="12" s="1"/>
  <c r="K100" i="5"/>
  <c r="AF100" i="5" s="1"/>
  <c r="J100" i="5"/>
  <c r="AM100" i="5" s="1"/>
  <c r="O99" i="5"/>
  <c r="AG99" i="5" s="1"/>
  <c r="M99" i="5"/>
  <c r="L99" i="5"/>
  <c r="K99" i="5"/>
  <c r="L98" i="5"/>
  <c r="K98" i="5"/>
  <c r="AF98" i="5" s="1"/>
  <c r="J98" i="5"/>
  <c r="J97" i="5"/>
  <c r="I97" i="5"/>
  <c r="O96" i="5"/>
  <c r="AG96" i="5" s="1"/>
  <c r="M96" i="5"/>
  <c r="L96" i="5"/>
  <c r="K96" i="5"/>
  <c r="J96" i="5"/>
  <c r="I96" i="5"/>
  <c r="H96" i="5"/>
  <c r="O95" i="5"/>
  <c r="N95" i="5"/>
  <c r="L95" i="5"/>
  <c r="K95" i="5"/>
  <c r="AF95" i="5" s="1"/>
  <c r="I95" i="5"/>
  <c r="H95" i="5"/>
  <c r="AE95" i="5" s="1"/>
  <c r="F95" i="5"/>
  <c r="H94" i="5"/>
  <c r="AE94" i="5" s="1"/>
  <c r="G94" i="5"/>
  <c r="J54" i="12" s="1"/>
  <c r="F94" i="5"/>
  <c r="E94" i="5"/>
  <c r="P93" i="5"/>
  <c r="S56" i="12" s="1"/>
  <c r="O93" i="5"/>
  <c r="R56" i="12" s="1"/>
  <c r="N93" i="5"/>
  <c r="M93" i="5"/>
  <c r="L93" i="5"/>
  <c r="K93" i="5"/>
  <c r="J93" i="5"/>
  <c r="M56" i="12" s="1"/>
  <c r="I93" i="5"/>
  <c r="L56" i="12" s="1"/>
  <c r="H93" i="5"/>
  <c r="G93" i="5"/>
  <c r="F93" i="5"/>
  <c r="I56" i="12" s="1"/>
  <c r="E93" i="5"/>
  <c r="K92" i="5"/>
  <c r="AF92" i="5" s="1"/>
  <c r="J92" i="5"/>
  <c r="I92" i="5"/>
  <c r="H92" i="5"/>
  <c r="AE92" i="5" s="1"/>
  <c r="F92" i="5"/>
  <c r="E92" i="5"/>
  <c r="H91" i="5"/>
  <c r="AE91" i="5" s="1"/>
  <c r="F91" i="5"/>
  <c r="E91" i="5"/>
  <c r="H90" i="5"/>
  <c r="AE90" i="5" s="1"/>
  <c r="E90" i="5"/>
  <c r="H89" i="5"/>
  <c r="AE89" i="5" s="1"/>
  <c r="F89" i="5"/>
  <c r="E89" i="5"/>
  <c r="P86" i="5"/>
  <c r="O86" i="5"/>
  <c r="N86" i="5"/>
  <c r="M86" i="5"/>
  <c r="L86" i="5"/>
  <c r="K86" i="5"/>
  <c r="J86" i="5"/>
  <c r="I86" i="5"/>
  <c r="H86" i="5"/>
  <c r="AE86" i="5" s="1"/>
  <c r="G86" i="5"/>
  <c r="F86" i="5"/>
  <c r="E86" i="5"/>
  <c r="P85" i="5"/>
  <c r="O85" i="5"/>
  <c r="N85" i="5"/>
  <c r="AG85" i="5" s="1"/>
  <c r="M85" i="5"/>
  <c r="L85" i="5"/>
  <c r="K85" i="5"/>
  <c r="AF85" i="5" s="1"/>
  <c r="J85" i="5"/>
  <c r="I85" i="5"/>
  <c r="H85" i="5"/>
  <c r="AE85" i="5" s="1"/>
  <c r="G85" i="5"/>
  <c r="F85" i="5"/>
  <c r="E85" i="5"/>
  <c r="H84" i="5"/>
  <c r="AE84" i="5" s="1"/>
  <c r="G84" i="5"/>
  <c r="F84" i="5"/>
  <c r="E84" i="5"/>
  <c r="O83" i="5"/>
  <c r="AG83" i="5" s="1"/>
  <c r="K83" i="5"/>
  <c r="P82" i="5"/>
  <c r="O82" i="5"/>
  <c r="N82" i="5"/>
  <c r="AG82" i="5" s="1"/>
  <c r="M82" i="5"/>
  <c r="L82" i="5"/>
  <c r="K82" i="5"/>
  <c r="AF82" i="5" s="1"/>
  <c r="J82" i="5"/>
  <c r="I82" i="5"/>
  <c r="H82" i="5"/>
  <c r="AE82" i="5" s="1"/>
  <c r="G82" i="5"/>
  <c r="F82" i="5"/>
  <c r="E82" i="5"/>
  <c r="P81" i="5"/>
  <c r="O81" i="5"/>
  <c r="N81" i="5"/>
  <c r="M81" i="5"/>
  <c r="L81" i="5"/>
  <c r="J81" i="5"/>
  <c r="I81" i="5"/>
  <c r="H81" i="5"/>
  <c r="F81" i="5"/>
  <c r="P80" i="5"/>
  <c r="O80" i="5"/>
  <c r="N80" i="5"/>
  <c r="AG80" i="5" s="1"/>
  <c r="M80" i="5"/>
  <c r="L80" i="5"/>
  <c r="K80" i="5"/>
  <c r="AF80" i="5" s="1"/>
  <c r="J80" i="5"/>
  <c r="I80" i="5"/>
  <c r="H80" i="5"/>
  <c r="AE80" i="5" s="1"/>
  <c r="G80" i="5"/>
  <c r="F80" i="5"/>
  <c r="E80" i="5"/>
  <c r="P71" i="5"/>
  <c r="S25" i="12" s="1"/>
  <c r="O71" i="5"/>
  <c r="R25" i="12" s="1"/>
  <c r="N71" i="5"/>
  <c r="Q25" i="12" s="1"/>
  <c r="M71" i="5"/>
  <c r="P25" i="12" s="1"/>
  <c r="L71" i="5"/>
  <c r="O25" i="12" s="1"/>
  <c r="K71" i="5"/>
  <c r="N25" i="12" s="1"/>
  <c r="J71" i="5"/>
  <c r="M25" i="12" s="1"/>
  <c r="I71" i="5"/>
  <c r="L25" i="12" s="1"/>
  <c r="H71" i="5"/>
  <c r="K25" i="12" s="1"/>
  <c r="G71" i="5"/>
  <c r="J25" i="12" s="1"/>
  <c r="F71" i="5"/>
  <c r="I25" i="12" s="1"/>
  <c r="E71" i="5"/>
  <c r="H25" i="12" s="1"/>
  <c r="H69" i="5"/>
  <c r="AM69" i="5" s="1"/>
  <c r="O68" i="5"/>
  <c r="R22" i="12" s="1"/>
  <c r="N68" i="5"/>
  <c r="Q22" i="12" s="1"/>
  <c r="M68" i="5"/>
  <c r="P22" i="12" s="1"/>
  <c r="L68" i="5"/>
  <c r="K68" i="5"/>
  <c r="AF68" i="5" s="1"/>
  <c r="I68" i="5"/>
  <c r="L22" i="12" s="1"/>
  <c r="H68" i="5"/>
  <c r="G68" i="5"/>
  <c r="J22" i="12" s="1"/>
  <c r="F68" i="5"/>
  <c r="I22" i="12" s="1"/>
  <c r="E68" i="5"/>
  <c r="AM68" i="5" s="1"/>
  <c r="P67" i="5"/>
  <c r="S23" i="12" s="1"/>
  <c r="S30" i="12" s="1"/>
  <c r="O67" i="5"/>
  <c r="R23" i="12" s="1"/>
  <c r="N67" i="5"/>
  <c r="Q23" i="12" s="1"/>
  <c r="M67" i="5"/>
  <c r="AF67" i="5" s="1"/>
  <c r="I67" i="5"/>
  <c r="J66" i="5"/>
  <c r="I66" i="5"/>
  <c r="H66" i="5"/>
  <c r="G66" i="5"/>
  <c r="F66" i="5"/>
  <c r="E66" i="5"/>
  <c r="L62" i="5"/>
  <c r="N61" i="5"/>
  <c r="AG61" i="5" s="1"/>
  <c r="J61" i="5"/>
  <c r="H61" i="5"/>
  <c r="AE61" i="5" s="1"/>
  <c r="G61" i="5"/>
  <c r="P60" i="5"/>
  <c r="AG60" i="5" s="1"/>
  <c r="K60" i="5"/>
  <c r="AF60" i="5" s="1"/>
  <c r="J60" i="5"/>
  <c r="I60" i="5"/>
  <c r="H60" i="5"/>
  <c r="AE60" i="5" s="1"/>
  <c r="G60" i="5"/>
  <c r="F60" i="5"/>
  <c r="E60" i="5"/>
  <c r="P59" i="5"/>
  <c r="N59" i="5"/>
  <c r="AG59" i="5" s="1"/>
  <c r="M59" i="5"/>
  <c r="L59" i="5"/>
  <c r="K59" i="5"/>
  <c r="G59" i="5"/>
  <c r="E59" i="5"/>
  <c r="P58" i="5"/>
  <c r="O58" i="5"/>
  <c r="R19" i="12" s="1"/>
  <c r="N58" i="5"/>
  <c r="M58" i="5"/>
  <c r="P19" i="12" s="1"/>
  <c r="L58" i="5"/>
  <c r="O19" i="12" s="1"/>
  <c r="K58" i="5"/>
  <c r="AF58" i="5" s="1"/>
  <c r="J58" i="5"/>
  <c r="I58" i="5"/>
  <c r="H58" i="5"/>
  <c r="AE58" i="5" s="1"/>
  <c r="G58" i="5"/>
  <c r="F58" i="5"/>
  <c r="E58" i="5"/>
  <c r="AM58" i="5" s="1"/>
  <c r="P53" i="5"/>
  <c r="S33" i="12" s="1"/>
  <c r="O53" i="5"/>
  <c r="R33" i="12" s="1"/>
  <c r="M53" i="5"/>
  <c r="P33" i="12" s="1"/>
  <c r="L53" i="5"/>
  <c r="O33" i="12" s="1"/>
  <c r="K53" i="5"/>
  <c r="I53" i="5"/>
  <c r="L33" i="12" s="1"/>
  <c r="H53" i="5"/>
  <c r="G53" i="5"/>
  <c r="J33" i="12" s="1"/>
  <c r="F53" i="5"/>
  <c r="I33" i="12" s="1"/>
  <c r="E53" i="5"/>
  <c r="P52" i="5"/>
  <c r="S32" i="12" s="1"/>
  <c r="O52" i="5"/>
  <c r="R32" i="12" s="1"/>
  <c r="N52" i="5"/>
  <c r="Q32" i="12" s="1"/>
  <c r="Q35" i="12" s="1"/>
  <c r="M52" i="5"/>
  <c r="P32" i="12" s="1"/>
  <c r="L52" i="5"/>
  <c r="O32" i="12" s="1"/>
  <c r="K52" i="5"/>
  <c r="J52" i="5"/>
  <c r="M32" i="12" s="1"/>
  <c r="M35" i="12" s="1"/>
  <c r="I52" i="5"/>
  <c r="L32" i="12" s="1"/>
  <c r="H52" i="5"/>
  <c r="G52" i="5"/>
  <c r="J32" i="12" s="1"/>
  <c r="J35" i="12" s="1"/>
  <c r="F52" i="5"/>
  <c r="I32" i="12" s="1"/>
  <c r="I35" i="12" s="1"/>
  <c r="E52" i="5"/>
  <c r="AM52" i="5" s="1"/>
  <c r="G49" i="5"/>
  <c r="K48" i="5"/>
  <c r="AF48" i="5" s="1"/>
  <c r="J48" i="5"/>
  <c r="I48" i="5"/>
  <c r="H48" i="5"/>
  <c r="AE48" i="5" s="1"/>
  <c r="F48" i="5"/>
  <c r="E48" i="5"/>
  <c r="P47" i="5"/>
  <c r="O47" i="5"/>
  <c r="N47" i="5"/>
  <c r="AG47" i="5" s="1"/>
  <c r="M47" i="5"/>
  <c r="L47" i="5"/>
  <c r="K47" i="5"/>
  <c r="AF47" i="5" s="1"/>
  <c r="J47" i="5"/>
  <c r="I47" i="5"/>
  <c r="H47" i="5"/>
  <c r="AE47" i="5" s="1"/>
  <c r="G47" i="5"/>
  <c r="F47" i="5"/>
  <c r="E47" i="5"/>
  <c r="L46" i="5"/>
  <c r="AF46" i="5" s="1"/>
  <c r="I46" i="5"/>
  <c r="AE46" i="5" s="1"/>
  <c r="E46" i="5"/>
  <c r="O45" i="5"/>
  <c r="AG45" i="5" s="1"/>
  <c r="M45" i="5"/>
  <c r="L45" i="5"/>
  <c r="K45" i="5"/>
  <c r="I45" i="5"/>
  <c r="AE45" i="5" s="1"/>
  <c r="G45" i="5"/>
  <c r="F45" i="5"/>
  <c r="E45" i="5"/>
  <c r="O44" i="5"/>
  <c r="AG44" i="5" s="1"/>
  <c r="K44" i="5"/>
  <c r="AF44" i="5" s="1"/>
  <c r="I44" i="5"/>
  <c r="AE44" i="5" s="1"/>
  <c r="E44" i="5"/>
  <c r="O43" i="5"/>
  <c r="AG43" i="5" s="1"/>
  <c r="M43" i="5"/>
  <c r="K43" i="5"/>
  <c r="AF43" i="5" s="1"/>
  <c r="I43" i="5"/>
  <c r="AE43" i="5" s="1"/>
  <c r="G43" i="5"/>
  <c r="F43" i="5"/>
  <c r="E43" i="5"/>
  <c r="P42" i="5"/>
  <c r="O42" i="5"/>
  <c r="N42" i="5"/>
  <c r="AG42" i="5" s="1"/>
  <c r="M42" i="5"/>
  <c r="L42" i="5"/>
  <c r="K42" i="5"/>
  <c r="J42" i="5"/>
  <c r="I42" i="5"/>
  <c r="H42" i="5"/>
  <c r="G42" i="5"/>
  <c r="F42" i="5"/>
  <c r="E42" i="5"/>
  <c r="L41" i="5"/>
  <c r="K41" i="5"/>
  <c r="AF41" i="5" s="1"/>
  <c r="I41" i="5"/>
  <c r="AE41" i="5" s="1"/>
  <c r="E41" i="5"/>
  <c r="O40" i="5"/>
  <c r="N40" i="5"/>
  <c r="AG40" i="5" s="1"/>
  <c r="M40" i="5"/>
  <c r="L40" i="5"/>
  <c r="K40" i="5"/>
  <c r="AF40" i="5" s="1"/>
  <c r="I40" i="5"/>
  <c r="H40" i="5"/>
  <c r="AE40" i="5" s="1"/>
  <c r="G40" i="5"/>
  <c r="F40" i="5"/>
  <c r="E40" i="5"/>
  <c r="K37" i="5"/>
  <c r="AF37" i="5" s="1"/>
  <c r="H37" i="5"/>
  <c r="P36" i="5"/>
  <c r="O36" i="5"/>
  <c r="N36" i="5"/>
  <c r="M36" i="5"/>
  <c r="L36" i="5"/>
  <c r="K36" i="5"/>
  <c r="I36" i="5"/>
  <c r="H36" i="5"/>
  <c r="AE36" i="5" s="1"/>
  <c r="G36" i="5"/>
  <c r="F36" i="5"/>
  <c r="G34" i="5"/>
  <c r="P33" i="5"/>
  <c r="O33" i="5"/>
  <c r="N33" i="5"/>
  <c r="AG33" i="5" s="1"/>
  <c r="M33" i="5"/>
  <c r="L33" i="5"/>
  <c r="AF33" i="5" s="1"/>
  <c r="H33" i="5"/>
  <c r="AE33" i="5" s="1"/>
  <c r="G33" i="5"/>
  <c r="F33" i="5"/>
  <c r="J32" i="5"/>
  <c r="H32" i="5"/>
  <c r="AE32" i="5" s="1"/>
  <c r="G32" i="5"/>
  <c r="P31" i="5"/>
  <c r="O31" i="5"/>
  <c r="N31" i="5"/>
  <c r="M31" i="5"/>
  <c r="L31" i="5"/>
  <c r="K31" i="5"/>
  <c r="J31" i="5"/>
  <c r="I31" i="5"/>
  <c r="H31" i="5"/>
  <c r="AE31" i="5" s="1"/>
  <c r="G31" i="5"/>
  <c r="F31" i="5"/>
  <c r="E31" i="5"/>
  <c r="P30" i="5"/>
  <c r="O30" i="5"/>
  <c r="N30" i="5"/>
  <c r="AG30" i="5" s="1"/>
  <c r="M30" i="5"/>
  <c r="L30" i="5"/>
  <c r="K30" i="5"/>
  <c r="AF30" i="5" s="1"/>
  <c r="J30" i="5"/>
  <c r="I30" i="5"/>
  <c r="H30" i="5"/>
  <c r="AE30" i="5" s="1"/>
  <c r="G30" i="5"/>
  <c r="F30" i="5"/>
  <c r="E30" i="5"/>
  <c r="P29" i="5"/>
  <c r="O29" i="5"/>
  <c r="N29" i="5"/>
  <c r="M29" i="5"/>
  <c r="L29" i="5"/>
  <c r="AF29" i="5" s="1"/>
  <c r="J29" i="5"/>
  <c r="H29" i="5"/>
  <c r="AE29" i="5" s="1"/>
  <c r="F29" i="5"/>
  <c r="P28" i="5"/>
  <c r="O28" i="5"/>
  <c r="N28" i="5"/>
  <c r="AG28" i="5" s="1"/>
  <c r="M28" i="5"/>
  <c r="L28" i="5"/>
  <c r="K28" i="5"/>
  <c r="AF28" i="5" s="1"/>
  <c r="J28" i="5"/>
  <c r="I28" i="5"/>
  <c r="H28" i="5"/>
  <c r="AE28" i="5" s="1"/>
  <c r="G28" i="5"/>
  <c r="F28" i="5"/>
  <c r="E28" i="5"/>
  <c r="P27" i="5"/>
  <c r="O27" i="5"/>
  <c r="AG27" i="5" s="1"/>
  <c r="M27" i="5"/>
  <c r="L27" i="5"/>
  <c r="J27" i="5"/>
  <c r="H27" i="5"/>
  <c r="AE27" i="5" s="1"/>
  <c r="G27" i="5"/>
  <c r="F27" i="5"/>
  <c r="N25" i="5"/>
  <c r="AG25" i="5" s="1"/>
  <c r="H25" i="5"/>
  <c r="P24" i="5"/>
  <c r="O24" i="5"/>
  <c r="N24" i="5"/>
  <c r="AG24" i="5" s="1"/>
  <c r="M24" i="5"/>
  <c r="L24" i="5"/>
  <c r="K24" i="5"/>
  <c r="AF24" i="5" s="1"/>
  <c r="J24" i="5"/>
  <c r="I24" i="5"/>
  <c r="H24" i="5"/>
  <c r="AE24" i="5" s="1"/>
  <c r="G24" i="5"/>
  <c r="F24" i="5"/>
  <c r="E24" i="5"/>
  <c r="P21" i="5"/>
  <c r="O21" i="5"/>
  <c r="N21" i="5"/>
  <c r="M21" i="5"/>
  <c r="L21" i="5"/>
  <c r="K21" i="5"/>
  <c r="J21" i="5"/>
  <c r="I21" i="5"/>
  <c r="H21" i="5"/>
  <c r="AE21" i="5" s="1"/>
  <c r="G21" i="5"/>
  <c r="F21" i="5"/>
  <c r="E21" i="5"/>
  <c r="K20" i="5"/>
  <c r="E19" i="5"/>
  <c r="P18" i="5"/>
  <c r="O18" i="5"/>
  <c r="N18" i="5"/>
  <c r="AG18" i="5" s="1"/>
  <c r="M18" i="5"/>
  <c r="L18" i="5"/>
  <c r="K18" i="5"/>
  <c r="AF18" i="5" s="1"/>
  <c r="J18" i="5"/>
  <c r="I18" i="5"/>
  <c r="H18" i="5"/>
  <c r="G18" i="5"/>
  <c r="F18" i="5"/>
  <c r="E18" i="5"/>
  <c r="P17" i="5"/>
  <c r="O17" i="5"/>
  <c r="N17" i="5"/>
  <c r="AG17" i="5" s="1"/>
  <c r="M17" i="5"/>
  <c r="L17" i="5"/>
  <c r="K17" i="5"/>
  <c r="AF17" i="5" s="1"/>
  <c r="J17" i="5"/>
  <c r="I17" i="5"/>
  <c r="H17" i="5"/>
  <c r="AE17" i="5" s="1"/>
  <c r="G17" i="5"/>
  <c r="F17" i="5"/>
  <c r="E17" i="5"/>
  <c r="P16" i="5"/>
  <c r="O16" i="5"/>
  <c r="N16" i="5"/>
  <c r="M16" i="5"/>
  <c r="L16" i="5"/>
  <c r="K16" i="5"/>
  <c r="J16" i="5"/>
  <c r="I16" i="5"/>
  <c r="H16" i="5"/>
  <c r="G16" i="5"/>
  <c r="F16" i="5"/>
  <c r="E16" i="5"/>
  <c r="P14" i="5"/>
  <c r="S38" i="12" s="1"/>
  <c r="O14" i="5"/>
  <c r="R38" i="12" s="1"/>
  <c r="N14" i="5"/>
  <c r="Q38" i="12" s="1"/>
  <c r="M14" i="5"/>
  <c r="P38" i="12" s="1"/>
  <c r="L14" i="5"/>
  <c r="O38" i="12" s="1"/>
  <c r="K14" i="5"/>
  <c r="AM14" i="5" s="1"/>
  <c r="P13" i="5"/>
  <c r="S37" i="12" s="1"/>
  <c r="O13" i="5"/>
  <c r="N13" i="5"/>
  <c r="AG13" i="5" s="1"/>
  <c r="M13" i="5"/>
  <c r="L13" i="5"/>
  <c r="K13" i="5"/>
  <c r="J13" i="5"/>
  <c r="H13" i="5"/>
  <c r="AE13" i="5" s="1"/>
  <c r="F13" i="5"/>
  <c r="O12" i="5"/>
  <c r="N12" i="5"/>
  <c r="J12" i="5"/>
  <c r="I12" i="5"/>
  <c r="H12" i="5"/>
  <c r="H108" i="19" l="1"/>
  <c r="Q30" i="12"/>
  <c r="AF21" i="5"/>
  <c r="AE127" i="5"/>
  <c r="R30" i="12"/>
  <c r="AG58" i="5"/>
  <c r="Q19" i="12"/>
  <c r="AG121" i="5"/>
  <c r="Q40" i="12"/>
  <c r="F25" i="12"/>
  <c r="AF31" i="5"/>
  <c r="AF36" i="5"/>
  <c r="R107" i="12"/>
  <c r="R109" i="12" s="1"/>
  <c r="R92" i="12" s="1"/>
  <c r="S107" i="12"/>
  <c r="S109" i="12" s="1"/>
  <c r="S92" i="12" s="1"/>
  <c r="R35" i="12"/>
  <c r="S19" i="12"/>
  <c r="AG130" i="5"/>
  <c r="Q107" i="12"/>
  <c r="Q109" i="12" s="1"/>
  <c r="Q92" i="12" s="1"/>
  <c r="AG95" i="5"/>
  <c r="Q54" i="12"/>
  <c r="Q37" i="12"/>
  <c r="AG114" i="5"/>
  <c r="O144" i="5"/>
  <c r="R68" i="12" s="1"/>
  <c r="R65" i="12"/>
  <c r="AG93" i="5"/>
  <c r="Q56" i="12"/>
  <c r="S57" i="12"/>
  <c r="AG127" i="5"/>
  <c r="Q78" i="12"/>
  <c r="Q79" i="12" s="1"/>
  <c r="S35" i="12"/>
  <c r="R54" i="12"/>
  <c r="R37" i="12"/>
  <c r="P144" i="5"/>
  <c r="S68" i="12" s="1"/>
  <c r="S65" i="12"/>
  <c r="L35" i="12"/>
  <c r="P35" i="12"/>
  <c r="O35" i="12"/>
  <c r="AE66" i="5"/>
  <c r="AE71" i="5"/>
  <c r="AE81" i="5"/>
  <c r="AF86" i="5"/>
  <c r="AG29" i="5"/>
  <c r="AG16" i="5"/>
  <c r="AD13" i="5"/>
  <c r="AM13" i="5"/>
  <c r="AD40" i="5"/>
  <c r="AM40" i="5"/>
  <c r="AD49" i="5"/>
  <c r="AM49" i="5"/>
  <c r="AE98" i="5"/>
  <c r="AM98" i="5"/>
  <c r="AD33" i="5"/>
  <c r="AM33" i="5"/>
  <c r="AD90" i="5"/>
  <c r="AM90" i="5"/>
  <c r="AD121" i="5"/>
  <c r="AM121" i="5"/>
  <c r="AD94" i="5"/>
  <c r="AM94" i="5"/>
  <c r="AD43" i="5"/>
  <c r="AM43" i="5"/>
  <c r="AD21" i="5"/>
  <c r="AM21" i="5"/>
  <c r="AD31" i="5"/>
  <c r="AM31" i="5"/>
  <c r="AD86" i="5"/>
  <c r="AM86" i="5"/>
  <c r="AD34" i="5"/>
  <c r="AM34" i="5"/>
  <c r="AE25" i="5"/>
  <c r="AM25" i="5"/>
  <c r="AD29" i="5"/>
  <c r="AM29" i="5"/>
  <c r="AD36" i="5"/>
  <c r="AM36" i="5"/>
  <c r="AD41" i="5"/>
  <c r="AM41" i="5"/>
  <c r="AF62" i="5"/>
  <c r="AM62" i="5"/>
  <c r="AF101" i="5"/>
  <c r="AM101" i="5"/>
  <c r="AD66" i="5"/>
  <c r="AM66" i="5"/>
  <c r="AD71" i="5"/>
  <c r="AM71" i="5"/>
  <c r="AE96" i="5"/>
  <c r="AM96" i="5"/>
  <c r="AD16" i="5"/>
  <c r="AM16" i="5"/>
  <c r="AD45" i="5"/>
  <c r="AM45" i="5"/>
  <c r="AF59" i="5"/>
  <c r="AE93" i="5"/>
  <c r="AG103" i="5"/>
  <c r="AM103" i="5"/>
  <c r="AD120" i="5"/>
  <c r="AM120" i="5"/>
  <c r="AD82" i="5"/>
  <c r="AM82" i="5"/>
  <c r="AD91" i="5"/>
  <c r="AM91" i="5"/>
  <c r="AF99" i="5"/>
  <c r="AM99" i="5"/>
  <c r="AD47" i="5"/>
  <c r="AM47" i="5"/>
  <c r="AD130" i="5"/>
  <c r="AM130" i="5"/>
  <c r="AD44" i="5"/>
  <c r="AM44" i="5"/>
  <c r="AD27" i="5"/>
  <c r="AM27" i="5"/>
  <c r="AM53" i="5"/>
  <c r="AD59" i="5"/>
  <c r="AM59" i="5"/>
  <c r="AD81" i="5"/>
  <c r="AM81" i="5"/>
  <c r="AD42" i="5"/>
  <c r="AM42" i="5"/>
  <c r="AD84" i="5"/>
  <c r="AM84" i="5"/>
  <c r="AD127" i="5"/>
  <c r="AM127" i="5"/>
  <c r="AD131" i="5"/>
  <c r="AM131" i="5"/>
  <c r="AM67" i="5"/>
  <c r="AD85" i="5"/>
  <c r="AM85" i="5"/>
  <c r="AF114" i="5"/>
  <c r="AM114" i="5"/>
  <c r="AG12" i="5"/>
  <c r="AE131" i="5"/>
  <c r="AD46" i="5"/>
  <c r="AM46" i="5"/>
  <c r="AD80" i="5"/>
  <c r="AM80" i="5"/>
  <c r="AF13" i="5"/>
  <c r="AD17" i="5"/>
  <c r="AM17" i="5"/>
  <c r="AD19" i="5"/>
  <c r="AM19" i="5"/>
  <c r="AD61" i="5"/>
  <c r="AM61" i="5"/>
  <c r="AD92" i="5"/>
  <c r="AM92" i="5"/>
  <c r="AD95" i="5"/>
  <c r="AM95" i="5"/>
  <c r="AF20" i="5"/>
  <c r="AM20" i="5"/>
  <c r="AF83" i="5"/>
  <c r="AM83" i="5"/>
  <c r="AM93" i="5"/>
  <c r="AF102" i="5"/>
  <c r="AM102" i="5"/>
  <c r="AE122" i="5"/>
  <c r="AM122" i="5"/>
  <c r="AM12" i="5"/>
  <c r="AM18" i="5"/>
  <c r="AM48" i="5"/>
  <c r="AG105" i="5"/>
  <c r="AM105" i="5"/>
  <c r="AD30" i="5"/>
  <c r="AM30" i="5"/>
  <c r="AM24" i="5"/>
  <c r="AM28" i="5"/>
  <c r="AD32" i="5"/>
  <c r="AM32" i="5"/>
  <c r="AE37" i="5"/>
  <c r="AM37" i="5"/>
  <c r="AM60" i="5"/>
  <c r="AM89" i="5"/>
  <c r="AM97" i="5"/>
  <c r="AF127" i="5"/>
  <c r="H56" i="12"/>
  <c r="AD93" i="5"/>
  <c r="H22" i="12"/>
  <c r="AD68" i="5"/>
  <c r="K22" i="12"/>
  <c r="AE68" i="5"/>
  <c r="K40" i="12"/>
  <c r="M66" i="12"/>
  <c r="AE100" i="5"/>
  <c r="N38" i="12"/>
  <c r="AF14" i="5"/>
  <c r="AG52" i="5"/>
  <c r="AG14" i="5"/>
  <c r="AE12" i="5"/>
  <c r="AD18" i="5"/>
  <c r="AF27" i="5"/>
  <c r="AD48" i="5"/>
  <c r="K33" i="12"/>
  <c r="AE53" i="5"/>
  <c r="AF96" i="5"/>
  <c r="AG53" i="5"/>
  <c r="H32" i="12"/>
  <c r="AD52" i="5"/>
  <c r="K32" i="12"/>
  <c r="AE52" i="5"/>
  <c r="H107" i="12"/>
  <c r="H109" i="12" s="1"/>
  <c r="N40" i="12"/>
  <c r="H33" i="12"/>
  <c r="AD53" i="5"/>
  <c r="H129" i="19"/>
  <c r="F129" i="19" s="1"/>
  <c r="H78" i="12"/>
  <c r="AE16" i="5"/>
  <c r="AG21" i="5"/>
  <c r="AG31" i="5"/>
  <c r="AG36" i="5"/>
  <c r="AE42" i="5"/>
  <c r="L23" i="12"/>
  <c r="AE67" i="5"/>
  <c r="AF71" i="5"/>
  <c r="AF81" i="5"/>
  <c r="AG86" i="5"/>
  <c r="K78" i="12"/>
  <c r="K79" i="12" s="1"/>
  <c r="P82" i="12"/>
  <c r="AF120" i="5"/>
  <c r="H19" i="12"/>
  <c r="AD58" i="5"/>
  <c r="H40" i="12"/>
  <c r="N32" i="12"/>
  <c r="AF52" i="5"/>
  <c r="K107" i="12"/>
  <c r="K109" i="12" s="1"/>
  <c r="K92" i="12" s="1"/>
  <c r="AG68" i="5"/>
  <c r="AE69" i="5"/>
  <c r="N33" i="12"/>
  <c r="AF53" i="5"/>
  <c r="N56" i="12"/>
  <c r="AF93" i="5"/>
  <c r="AE18" i="5"/>
  <c r="AF45" i="5"/>
  <c r="AG67" i="5"/>
  <c r="AG81" i="5"/>
  <c r="AF16" i="5"/>
  <c r="AD24" i="5"/>
  <c r="AD28" i="5"/>
  <c r="AF42" i="5"/>
  <c r="AD60" i="5"/>
  <c r="AG71" i="5"/>
  <c r="AD89" i="5"/>
  <c r="AE97" i="5"/>
  <c r="N78" i="12"/>
  <c r="N79" i="12" s="1"/>
  <c r="I37" i="12"/>
  <c r="N37" i="12"/>
  <c r="O37" i="12"/>
  <c r="P37" i="12"/>
  <c r="L37" i="12"/>
  <c r="I82" i="12"/>
  <c r="M19" i="12"/>
  <c r="I38" i="5"/>
  <c r="I19" i="12"/>
  <c r="J19" i="12"/>
  <c r="M107" i="12"/>
  <c r="M109" i="12" s="1"/>
  <c r="M92" i="12" s="1"/>
  <c r="M37" i="12"/>
  <c r="E38" i="5"/>
  <c r="H16" i="28"/>
  <c r="H17" i="28" s="1"/>
  <c r="O70" i="5"/>
  <c r="O113" i="5"/>
  <c r="O143" i="5" s="1"/>
  <c r="R58" i="12" s="1"/>
  <c r="P70" i="5"/>
  <c r="F113" i="5"/>
  <c r="F143" i="5" s="1"/>
  <c r="I58" i="12" s="1"/>
  <c r="I54" i="12"/>
  <c r="K56" i="12"/>
  <c r="H38" i="5"/>
  <c r="P38" i="5"/>
  <c r="H21" i="12"/>
  <c r="H30" i="12" s="1"/>
  <c r="E70" i="5"/>
  <c r="N70" i="5"/>
  <c r="N22" i="12"/>
  <c r="K70" i="5"/>
  <c r="G77" i="5"/>
  <c r="J24" i="12"/>
  <c r="O77" i="5"/>
  <c r="N113" i="5"/>
  <c r="J128" i="5"/>
  <c r="M78" i="12"/>
  <c r="M79" i="12" s="1"/>
  <c r="I77" i="5"/>
  <c r="L24" i="12"/>
  <c r="L128" i="5"/>
  <c r="O78" i="12"/>
  <c r="O79" i="12" s="1"/>
  <c r="K38" i="5"/>
  <c r="K19" i="12"/>
  <c r="K21" i="12"/>
  <c r="H70" i="5"/>
  <c r="J77" i="5"/>
  <c r="M24" i="12"/>
  <c r="K54" i="12"/>
  <c r="H113" i="5"/>
  <c r="O54" i="12"/>
  <c r="P54" i="12"/>
  <c r="M128" i="5"/>
  <c r="P78" i="12"/>
  <c r="P79" i="12" s="1"/>
  <c r="L107" i="12"/>
  <c r="L109" i="12" s="1"/>
  <c r="L92" i="12" s="1"/>
  <c r="O22" i="12"/>
  <c r="L70" i="5"/>
  <c r="P65" i="12"/>
  <c r="J21" i="12"/>
  <c r="G70" i="5"/>
  <c r="L38" i="5"/>
  <c r="L19" i="12"/>
  <c r="L21" i="12"/>
  <c r="I70" i="5"/>
  <c r="K77" i="5"/>
  <c r="N24" i="12"/>
  <c r="I113" i="5"/>
  <c r="L54" i="12"/>
  <c r="F128" i="5"/>
  <c r="I78" i="12"/>
  <c r="I79" i="12" s="1"/>
  <c r="H77" i="5"/>
  <c r="K24" i="12"/>
  <c r="M38" i="5"/>
  <c r="M21" i="12"/>
  <c r="J70" i="5"/>
  <c r="L77" i="5"/>
  <c r="O24" i="12"/>
  <c r="J113" i="5"/>
  <c r="J143" i="5" s="1"/>
  <c r="M58" i="12" s="1"/>
  <c r="M54" i="12"/>
  <c r="G128" i="5"/>
  <c r="J78" i="12"/>
  <c r="J79" i="12" s="1"/>
  <c r="O128" i="5"/>
  <c r="N107" i="12"/>
  <c r="N109" i="12" s="1"/>
  <c r="N92" i="12" s="1"/>
  <c r="P113" i="5"/>
  <c r="P143" i="5" s="1"/>
  <c r="S58" i="12" s="1"/>
  <c r="S60" i="12" s="1"/>
  <c r="F38" i="5"/>
  <c r="N38" i="5"/>
  <c r="N19" i="12"/>
  <c r="H24" i="12"/>
  <c r="M77" i="5"/>
  <c r="P24" i="12"/>
  <c r="K113" i="5"/>
  <c r="N54" i="12"/>
  <c r="O56" i="12"/>
  <c r="L113" i="5"/>
  <c r="L143" i="5" s="1"/>
  <c r="O58" i="12" s="1"/>
  <c r="P128" i="5"/>
  <c r="O107" i="12"/>
  <c r="O109" i="12" s="1"/>
  <c r="O92" i="12" s="1"/>
  <c r="I21" i="12"/>
  <c r="F70" i="5"/>
  <c r="P77" i="5"/>
  <c r="E113" i="5"/>
  <c r="H54" i="12"/>
  <c r="J56" i="12"/>
  <c r="J57" i="12" s="1"/>
  <c r="G113" i="5"/>
  <c r="J38" i="5"/>
  <c r="K37" i="12"/>
  <c r="G38" i="5"/>
  <c r="O38" i="5"/>
  <c r="P23" i="12"/>
  <c r="M70" i="5"/>
  <c r="F77" i="5"/>
  <c r="I24" i="12"/>
  <c r="N77" i="5"/>
  <c r="P56" i="12"/>
  <c r="M113" i="5"/>
  <c r="M143" i="5" s="1"/>
  <c r="P58" i="12" s="1"/>
  <c r="N66" i="12"/>
  <c r="N67" i="12" s="1"/>
  <c r="I128" i="5"/>
  <c r="L78" i="12"/>
  <c r="L79" i="12" s="1"/>
  <c r="M136" i="5"/>
  <c r="P107" i="12"/>
  <c r="P109" i="12" s="1"/>
  <c r="P92" i="12" s="1"/>
  <c r="J37" i="19"/>
  <c r="J38" i="19"/>
  <c r="J12" i="19" s="1"/>
  <c r="J39" i="19"/>
  <c r="H44" i="19"/>
  <c r="Q44" i="19"/>
  <c r="R37" i="19"/>
  <c r="R44" i="19" s="1"/>
  <c r="S37" i="19"/>
  <c r="M19" i="19"/>
  <c r="R12" i="19"/>
  <c r="M21" i="19"/>
  <c r="M24" i="19" s="1"/>
  <c r="S38" i="19"/>
  <c r="Q45" i="19"/>
  <c r="R39" i="19"/>
  <c r="H45" i="19"/>
  <c r="O45" i="19"/>
  <c r="P45" i="19"/>
  <c r="M63" i="19"/>
  <c r="M74" i="19" s="1"/>
  <c r="J57" i="5"/>
  <c r="L57" i="5"/>
  <c r="P50" i="5"/>
  <c r="F136" i="5"/>
  <c r="N136" i="5"/>
  <c r="K128" i="5"/>
  <c r="N57" i="5"/>
  <c r="E128" i="5"/>
  <c r="N128" i="5"/>
  <c r="I22" i="5"/>
  <c r="L18" i="12" s="1"/>
  <c r="E77" i="5"/>
  <c r="H128" i="5"/>
  <c r="G136" i="5"/>
  <c r="O136" i="5"/>
  <c r="J22" i="5"/>
  <c r="M18" i="12" s="1"/>
  <c r="E22" i="5"/>
  <c r="E57" i="5"/>
  <c r="H136" i="5"/>
  <c r="P136" i="5"/>
  <c r="M22" i="5"/>
  <c r="P18" i="12" s="1"/>
  <c r="G22" i="5"/>
  <c r="O22" i="5"/>
  <c r="R18" i="12" s="1"/>
  <c r="O57" i="5"/>
  <c r="K22" i="5"/>
  <c r="K57" i="5"/>
  <c r="M57" i="5"/>
  <c r="L22" i="5"/>
  <c r="O18" i="12" s="1"/>
  <c r="F22" i="5"/>
  <c r="I18" i="12" s="1"/>
  <c r="H22" i="5"/>
  <c r="P22" i="5"/>
  <c r="S18" i="12" s="1"/>
  <c r="N22" i="5"/>
  <c r="Q18" i="12" s="1"/>
  <c r="I136" i="5"/>
  <c r="J136" i="5"/>
  <c r="K136" i="5"/>
  <c r="L136" i="5"/>
  <c r="I57" i="5"/>
  <c r="G57" i="5"/>
  <c r="F57" i="5"/>
  <c r="H57" i="5"/>
  <c r="P57" i="5"/>
  <c r="N50" i="5"/>
  <c r="J87" i="5"/>
  <c r="M41" i="12" s="1"/>
  <c r="L87" i="5"/>
  <c r="O41" i="12" s="1"/>
  <c r="N87" i="5"/>
  <c r="Q41" i="12" s="1"/>
  <c r="E50" i="5"/>
  <c r="O50" i="5"/>
  <c r="J50" i="5"/>
  <c r="E87" i="5"/>
  <c r="M87" i="5"/>
  <c r="P41" i="12" s="1"/>
  <c r="I50" i="5"/>
  <c r="G50" i="5"/>
  <c r="K50" i="5"/>
  <c r="G87" i="5"/>
  <c r="J41" i="12" s="1"/>
  <c r="O87" i="5"/>
  <c r="R41" i="12" s="1"/>
  <c r="L50" i="5"/>
  <c r="M50" i="5"/>
  <c r="H50" i="5"/>
  <c r="P87" i="5"/>
  <c r="S41" i="12" s="1"/>
  <c r="K87" i="5"/>
  <c r="I87" i="5"/>
  <c r="L41" i="12" s="1"/>
  <c r="F87" i="5"/>
  <c r="I41" i="12" s="1"/>
  <c r="F50" i="5"/>
  <c r="E136" i="5"/>
  <c r="H87" i="5"/>
  <c r="H107" i="19" l="1"/>
  <c r="F107" i="19" s="1"/>
  <c r="H161" i="19"/>
  <c r="F161" i="19" s="1"/>
  <c r="H79" i="12"/>
  <c r="F79" i="12" s="1"/>
  <c r="H160" i="19"/>
  <c r="E124" i="5"/>
  <c r="E142" i="5" s="1"/>
  <c r="J30" i="12"/>
  <c r="R70" i="12"/>
  <c r="R67" i="12"/>
  <c r="Q39" i="12"/>
  <c r="Q44" i="12" s="1"/>
  <c r="Q46" i="12" s="1"/>
  <c r="R39" i="12"/>
  <c r="R44" i="12" s="1"/>
  <c r="R46" i="12" s="1"/>
  <c r="H147" i="19"/>
  <c r="F147" i="19" s="1"/>
  <c r="R60" i="12"/>
  <c r="R57" i="12"/>
  <c r="S70" i="12"/>
  <c r="S67" i="12"/>
  <c r="N30" i="12"/>
  <c r="S39" i="12"/>
  <c r="S44" i="12" s="1"/>
  <c r="S46" i="12" s="1"/>
  <c r="Q57" i="12"/>
  <c r="I30" i="12"/>
  <c r="M30" i="12"/>
  <c r="P30" i="12"/>
  <c r="N35" i="12"/>
  <c r="K30" i="12"/>
  <c r="H35" i="12"/>
  <c r="O30" i="12"/>
  <c r="K35" i="12"/>
  <c r="L30" i="12"/>
  <c r="M67" i="12"/>
  <c r="H148" i="19"/>
  <c r="I137" i="19"/>
  <c r="U137" i="19"/>
  <c r="I106" i="19"/>
  <c r="U106" i="19"/>
  <c r="U126" i="19"/>
  <c r="I126" i="19"/>
  <c r="F38" i="12"/>
  <c r="U124" i="19"/>
  <c r="I124" i="19"/>
  <c r="U139" i="19"/>
  <c r="I139" i="19"/>
  <c r="U118" i="19"/>
  <c r="U121" i="19" s="1"/>
  <c r="I118" i="19"/>
  <c r="I121" i="19" s="1"/>
  <c r="I114" i="19"/>
  <c r="U114" i="19"/>
  <c r="I123" i="19"/>
  <c r="U123" i="19"/>
  <c r="U104" i="19"/>
  <c r="I104" i="19"/>
  <c r="I51" i="19" s="1"/>
  <c r="AG128" i="5"/>
  <c r="AE128" i="5"/>
  <c r="AM70" i="5"/>
  <c r="AF128" i="5"/>
  <c r="AM50" i="5"/>
  <c r="F33" i="12"/>
  <c r="AD77" i="5"/>
  <c r="AM77" i="5"/>
  <c r="AF50" i="5"/>
  <c r="AD128" i="5"/>
  <c r="AM128" i="5"/>
  <c r="F32" i="12"/>
  <c r="AE57" i="5"/>
  <c r="AD57" i="5"/>
  <c r="AM57" i="5"/>
  <c r="F124" i="5"/>
  <c r="F142" i="5" s="1"/>
  <c r="AM38" i="5"/>
  <c r="AM87" i="5"/>
  <c r="AG136" i="5"/>
  <c r="AM113" i="5"/>
  <c r="AM143" i="5" s="1"/>
  <c r="AD136" i="5"/>
  <c r="AM136" i="5"/>
  <c r="P137" i="5"/>
  <c r="AE136" i="5"/>
  <c r="AM22" i="5"/>
  <c r="H119" i="19"/>
  <c r="F119" i="19" s="1"/>
  <c r="H118" i="19"/>
  <c r="H124" i="19"/>
  <c r="F40" i="12"/>
  <c r="AE70" i="5"/>
  <c r="H41" i="12"/>
  <c r="AD87" i="5"/>
  <c r="AD50" i="5"/>
  <c r="K41" i="12"/>
  <c r="AE87" i="5"/>
  <c r="E143" i="5"/>
  <c r="H58" i="12" s="1"/>
  <c r="H60" i="12" s="1"/>
  <c r="AD113" i="5"/>
  <c r="AD143" i="5" s="1"/>
  <c r="H143" i="5"/>
  <c r="K58" i="12" s="1"/>
  <c r="K60" i="12" s="1"/>
  <c r="AE113" i="5"/>
  <c r="AE143" i="5" s="1"/>
  <c r="AG70" i="5"/>
  <c r="F43" i="12"/>
  <c r="N41" i="12"/>
  <c r="AF87" i="5"/>
  <c r="AD22" i="5"/>
  <c r="AE38" i="5"/>
  <c r="K18" i="12"/>
  <c r="AE22" i="5"/>
  <c r="K143" i="5"/>
  <c r="N58" i="12" s="1"/>
  <c r="N60" i="12" s="1"/>
  <c r="AF113" i="5"/>
  <c r="AF143" i="5" s="1"/>
  <c r="N143" i="5"/>
  <c r="Q58" i="12" s="1"/>
  <c r="Q60" i="12" s="1"/>
  <c r="AG113" i="5"/>
  <c r="AG143" i="5" s="1"/>
  <c r="AF70" i="5"/>
  <c r="AG50" i="5"/>
  <c r="H126" i="19"/>
  <c r="F82" i="12"/>
  <c r="AF77" i="5"/>
  <c r="AD70" i="5"/>
  <c r="AE50" i="5"/>
  <c r="AF136" i="5"/>
  <c r="AF38" i="5"/>
  <c r="AG22" i="5"/>
  <c r="AF57" i="5"/>
  <c r="N18" i="12"/>
  <c r="AF22" i="5"/>
  <c r="AE77" i="5"/>
  <c r="AG87" i="5"/>
  <c r="AG38" i="5"/>
  <c r="AG77" i="5"/>
  <c r="AG57" i="5"/>
  <c r="AD38" i="5"/>
  <c r="J18" i="12"/>
  <c r="H18" i="12"/>
  <c r="H39" i="12"/>
  <c r="L39" i="12"/>
  <c r="L44" i="12" s="1"/>
  <c r="L78" i="5"/>
  <c r="J39" i="12"/>
  <c r="J44" i="12" s="1"/>
  <c r="M137" i="5"/>
  <c r="O39" i="12"/>
  <c r="O44" i="12" s="1"/>
  <c r="N39" i="12"/>
  <c r="I143" i="5"/>
  <c r="L58" i="12" s="1"/>
  <c r="L60" i="12" s="1"/>
  <c r="H78" i="5"/>
  <c r="H124" i="5" s="1"/>
  <c r="H142" i="5" s="1"/>
  <c r="G78" i="5"/>
  <c r="G124" i="5" s="1"/>
  <c r="G142" i="5" s="1"/>
  <c r="M39" i="12"/>
  <c r="M44" i="12" s="1"/>
  <c r="I39" i="12"/>
  <c r="I44" i="12" s="1"/>
  <c r="P39" i="12"/>
  <c r="P44" i="12" s="1"/>
  <c r="F137" i="5"/>
  <c r="L137" i="5"/>
  <c r="O137" i="5"/>
  <c r="G137" i="5"/>
  <c r="J137" i="5"/>
  <c r="G143" i="5"/>
  <c r="J58" i="12" s="1"/>
  <c r="J60" i="12" s="1"/>
  <c r="I78" i="5"/>
  <c r="I124" i="5" s="1"/>
  <c r="I142" i="5" s="1"/>
  <c r="F37" i="12"/>
  <c r="J78" i="5"/>
  <c r="J124" i="5" s="1"/>
  <c r="J142" i="5" s="1"/>
  <c r="H104" i="19"/>
  <c r="H51" i="19" s="1"/>
  <c r="H123" i="19"/>
  <c r="H113" i="19"/>
  <c r="F113" i="19" s="1"/>
  <c r="H114" i="19"/>
  <c r="H106" i="19"/>
  <c r="H137" i="19"/>
  <c r="H139" i="19"/>
  <c r="F22" i="12"/>
  <c r="F23" i="12"/>
  <c r="F21" i="12"/>
  <c r="F19" i="12"/>
  <c r="F68" i="12"/>
  <c r="P78" i="5"/>
  <c r="P124" i="5" s="1"/>
  <c r="M60" i="12"/>
  <c r="M57" i="12"/>
  <c r="H57" i="12"/>
  <c r="F54" i="12"/>
  <c r="O60" i="12"/>
  <c r="O57" i="12"/>
  <c r="N57" i="12"/>
  <c r="P60" i="12"/>
  <c r="P57" i="12"/>
  <c r="K78" i="5"/>
  <c r="K124" i="5" s="1"/>
  <c r="K142" i="5" s="1"/>
  <c r="I137" i="5"/>
  <c r="M78" i="5"/>
  <c r="M124" i="5" s="1"/>
  <c r="M142" i="5" s="1"/>
  <c r="K57" i="12"/>
  <c r="L57" i="12"/>
  <c r="F107" i="12"/>
  <c r="F56" i="12"/>
  <c r="F66" i="12"/>
  <c r="F24" i="12"/>
  <c r="F78" i="12"/>
  <c r="I60" i="12"/>
  <c r="I57" i="12"/>
  <c r="O78" i="5"/>
  <c r="O124" i="5" s="1"/>
  <c r="K39" i="12"/>
  <c r="H92" i="12"/>
  <c r="H168" i="19" s="1"/>
  <c r="F109" i="12"/>
  <c r="F78" i="5"/>
  <c r="P70" i="12"/>
  <c r="F65" i="12"/>
  <c r="P67" i="12"/>
  <c r="N78" i="5"/>
  <c r="N124" i="5" s="1"/>
  <c r="J13" i="19"/>
  <c r="J45" i="19"/>
  <c r="J44" i="19"/>
  <c r="S44" i="19"/>
  <c r="N20" i="28"/>
  <c r="M20" i="28"/>
  <c r="S12" i="19"/>
  <c r="R13" i="19"/>
  <c r="R45" i="19"/>
  <c r="Q46" i="19"/>
  <c r="P46" i="19"/>
  <c r="O46" i="19"/>
  <c r="I38" i="19"/>
  <c r="I12" i="19" s="1"/>
  <c r="I39" i="19"/>
  <c r="I13" i="19" s="1"/>
  <c r="I37" i="19"/>
  <c r="S39" i="19"/>
  <c r="K80" i="19"/>
  <c r="L80" i="19"/>
  <c r="L20" i="28"/>
  <c r="I20" i="28"/>
  <c r="J20" i="28"/>
  <c r="D20" i="28"/>
  <c r="K20" i="28"/>
  <c r="H20" i="28"/>
  <c r="H23" i="28" s="1"/>
  <c r="H26" i="28" s="1"/>
  <c r="M80" i="19"/>
  <c r="M85" i="19" s="1"/>
  <c r="M88" i="19" s="1"/>
  <c r="M22" i="19"/>
  <c r="F20" i="28"/>
  <c r="F23" i="28" s="1"/>
  <c r="E20" i="28"/>
  <c r="G20" i="28"/>
  <c r="G23" i="28" s="1"/>
  <c r="M64" i="19"/>
  <c r="H46" i="19"/>
  <c r="N137" i="5"/>
  <c r="E78" i="5"/>
  <c r="H137" i="5"/>
  <c r="E137" i="5"/>
  <c r="K137" i="5"/>
  <c r="H116" i="19" l="1"/>
  <c r="F168" i="19"/>
  <c r="H84" i="19"/>
  <c r="H29" i="19" s="1"/>
  <c r="F29" i="19" s="1"/>
  <c r="F160" i="19"/>
  <c r="H83" i="19"/>
  <c r="H28" i="19" s="1"/>
  <c r="I116" i="19"/>
  <c r="I52" i="19" s="1"/>
  <c r="H68" i="19"/>
  <c r="F68" i="19" s="1"/>
  <c r="P142" i="5"/>
  <c r="S47" i="12" s="1"/>
  <c r="S49" i="12" s="1"/>
  <c r="N142" i="5"/>
  <c r="Q47" i="12" s="1"/>
  <c r="Q49" i="12" s="1"/>
  <c r="O142" i="5"/>
  <c r="R47" i="12" s="1"/>
  <c r="R49" i="12" s="1"/>
  <c r="O46" i="12"/>
  <c r="O51" i="12" s="1"/>
  <c r="J46" i="12"/>
  <c r="J51" i="12" s="1"/>
  <c r="L46" i="12"/>
  <c r="L51" i="12" s="1"/>
  <c r="H150" i="19"/>
  <c r="R51" i="12"/>
  <c r="R62" i="12" s="1"/>
  <c r="R72" i="12" s="1"/>
  <c r="R84" i="12" s="1"/>
  <c r="R90" i="12" s="1"/>
  <c r="Q51" i="12"/>
  <c r="Q62" i="12" s="1"/>
  <c r="Q72" i="12" s="1"/>
  <c r="Q84" i="12" s="1"/>
  <c r="Q90" i="12" s="1"/>
  <c r="S51" i="12"/>
  <c r="S62" i="12" s="1"/>
  <c r="S72" i="12" s="1"/>
  <c r="S84" i="12" s="1"/>
  <c r="S90" i="12" s="1"/>
  <c r="I46" i="12"/>
  <c r="I51" i="12" s="1"/>
  <c r="M46" i="12"/>
  <c r="M51" i="12" s="1"/>
  <c r="P46" i="12"/>
  <c r="P51" i="12" s="1"/>
  <c r="F137" i="19"/>
  <c r="U140" i="19"/>
  <c r="U142" i="19" s="1"/>
  <c r="U152" i="19" s="1"/>
  <c r="I140" i="19"/>
  <c r="I61" i="19" s="1"/>
  <c r="I20" i="19" s="1"/>
  <c r="D15" i="28" s="1"/>
  <c r="H69" i="19"/>
  <c r="F69" i="19" s="1"/>
  <c r="F148" i="19"/>
  <c r="F126" i="19"/>
  <c r="U116" i="19"/>
  <c r="H121" i="19"/>
  <c r="H53" i="19" s="1"/>
  <c r="F51" i="19"/>
  <c r="I103" i="19"/>
  <c r="I50" i="19" s="1"/>
  <c r="U103" i="19"/>
  <c r="F114" i="19"/>
  <c r="F124" i="19"/>
  <c r="I53" i="19"/>
  <c r="F121" i="19"/>
  <c r="F118" i="19"/>
  <c r="F139" i="19"/>
  <c r="I125" i="19"/>
  <c r="U125" i="19"/>
  <c r="I127" i="19"/>
  <c r="U127" i="19"/>
  <c r="AF137" i="5"/>
  <c r="AD124" i="5"/>
  <c r="AE124" i="5"/>
  <c r="AM137" i="5"/>
  <c r="AG137" i="5"/>
  <c r="AM78" i="5"/>
  <c r="AG124" i="5"/>
  <c r="L124" i="5"/>
  <c r="L142" i="5" s="1"/>
  <c r="H127" i="19"/>
  <c r="H44" i="12"/>
  <c r="H46" i="12" s="1"/>
  <c r="F41" i="12"/>
  <c r="AE78" i="5"/>
  <c r="AD137" i="5"/>
  <c r="AE137" i="5"/>
  <c r="H103" i="19"/>
  <c r="N44" i="12"/>
  <c r="AG78" i="5"/>
  <c r="AF78" i="5"/>
  <c r="AD78" i="5"/>
  <c r="K44" i="12"/>
  <c r="F18" i="12"/>
  <c r="F125" i="5"/>
  <c r="F138" i="5" s="1"/>
  <c r="H47" i="12"/>
  <c r="J47" i="12"/>
  <c r="L47" i="12"/>
  <c r="M47" i="12"/>
  <c r="P47" i="12"/>
  <c r="F30" i="12"/>
  <c r="F106" i="19"/>
  <c r="H125" i="19"/>
  <c r="F104" i="19"/>
  <c r="F123" i="19"/>
  <c r="F145" i="19"/>
  <c r="H67" i="19"/>
  <c r="H140" i="19"/>
  <c r="F146" i="19"/>
  <c r="H70" i="19"/>
  <c r="F70" i="19" s="1"/>
  <c r="F67" i="12"/>
  <c r="F70" i="12"/>
  <c r="F39" i="12"/>
  <c r="F92" i="12"/>
  <c r="F57" i="12"/>
  <c r="I44" i="19"/>
  <c r="O17" i="19"/>
  <c r="J12" i="28" s="1"/>
  <c r="P17" i="19"/>
  <c r="K12" i="28" s="1"/>
  <c r="J46" i="19"/>
  <c r="K24" i="19"/>
  <c r="M30" i="19"/>
  <c r="M32" i="19" s="1"/>
  <c r="L24" i="19"/>
  <c r="R46" i="19"/>
  <c r="S13" i="19"/>
  <c r="S45" i="19"/>
  <c r="Q17" i="19"/>
  <c r="L12" i="28" s="1"/>
  <c r="Q47" i="19"/>
  <c r="P47" i="19"/>
  <c r="I45" i="19"/>
  <c r="Q16" i="19"/>
  <c r="L11" i="28" s="1"/>
  <c r="H16" i="19"/>
  <c r="H47" i="19"/>
  <c r="O16" i="19"/>
  <c r="J11" i="28" s="1"/>
  <c r="N45" i="19"/>
  <c r="P16" i="19"/>
  <c r="K11" i="28" s="1"/>
  <c r="F58" i="12"/>
  <c r="K47" i="12"/>
  <c r="N47" i="12"/>
  <c r="P125" i="5"/>
  <c r="P138" i="5" s="1"/>
  <c r="G125" i="5"/>
  <c r="G138" i="5" s="1"/>
  <c r="J125" i="5"/>
  <c r="J138" i="5" s="1"/>
  <c r="M125" i="5"/>
  <c r="M138" i="5" s="1"/>
  <c r="O125" i="5"/>
  <c r="O138" i="5" s="1"/>
  <c r="F28" i="19" l="1"/>
  <c r="M49" i="12"/>
  <c r="J49" i="12"/>
  <c r="L49" i="12"/>
  <c r="AF124" i="5"/>
  <c r="O47" i="12"/>
  <c r="O49" i="12" s="1"/>
  <c r="L125" i="5"/>
  <c r="L138" i="5" s="1"/>
  <c r="P49" i="12"/>
  <c r="K46" i="12"/>
  <c r="K51" i="12" s="1"/>
  <c r="N46" i="12"/>
  <c r="N51" i="12" s="1"/>
  <c r="F53" i="19"/>
  <c r="U130" i="19"/>
  <c r="I130" i="19"/>
  <c r="I54" i="19" s="1"/>
  <c r="I55" i="19" s="1"/>
  <c r="I17" i="19" s="1"/>
  <c r="D12" i="28" s="1"/>
  <c r="F103" i="19"/>
  <c r="F125" i="19"/>
  <c r="F127" i="19"/>
  <c r="H50" i="19"/>
  <c r="F50" i="19" s="1"/>
  <c r="AM124" i="5"/>
  <c r="AM142" i="5" s="1"/>
  <c r="I125" i="5"/>
  <c r="I138" i="5" s="1"/>
  <c r="F44" i="12"/>
  <c r="E125" i="5"/>
  <c r="AE142" i="5"/>
  <c r="I47" i="12"/>
  <c r="I49" i="12" s="1"/>
  <c r="AD142" i="5"/>
  <c r="J13" i="28"/>
  <c r="J14" i="28" s="1"/>
  <c r="L13" i="28"/>
  <c r="L14" i="28" s="1"/>
  <c r="K13" i="28"/>
  <c r="K14" i="28" s="1"/>
  <c r="H52" i="19"/>
  <c r="F116" i="19"/>
  <c r="H51" i="12"/>
  <c r="H49" i="12"/>
  <c r="H61" i="19"/>
  <c r="F140" i="19"/>
  <c r="H130" i="19"/>
  <c r="H132" i="19" s="1"/>
  <c r="F67" i="19"/>
  <c r="H72" i="19"/>
  <c r="F72" i="19" s="1"/>
  <c r="H23" i="19"/>
  <c r="F23" i="19" s="1"/>
  <c r="F150" i="19"/>
  <c r="R47" i="19"/>
  <c r="R17" i="19"/>
  <c r="M12" i="28" s="1"/>
  <c r="J57" i="19"/>
  <c r="J16" i="19"/>
  <c r="E11" i="28" s="1"/>
  <c r="E13" i="28" s="1"/>
  <c r="K47" i="19"/>
  <c r="S46" i="19"/>
  <c r="R16" i="19"/>
  <c r="M11" i="28" s="1"/>
  <c r="K25" i="19"/>
  <c r="M25" i="19"/>
  <c r="L25" i="19"/>
  <c r="F38" i="19"/>
  <c r="F12" i="19"/>
  <c r="I46" i="19"/>
  <c r="F45" i="19"/>
  <c r="P18" i="19"/>
  <c r="O18" i="19"/>
  <c r="Q57" i="19"/>
  <c r="Q58" i="19" s="1"/>
  <c r="O57" i="19"/>
  <c r="N46" i="19"/>
  <c r="P57" i="19"/>
  <c r="F60" i="12"/>
  <c r="H125" i="5"/>
  <c r="AF142" i="5"/>
  <c r="AG142" i="5"/>
  <c r="K125" i="5"/>
  <c r="AF125" i="5" s="1"/>
  <c r="N125" i="5"/>
  <c r="AG125" i="5" s="1"/>
  <c r="I132" i="19" l="1"/>
  <c r="I134" i="19" s="1"/>
  <c r="I142" i="19" s="1"/>
  <c r="I152" i="19" s="1"/>
  <c r="I158" i="19" s="1"/>
  <c r="I162" i="19" s="1"/>
  <c r="I166" i="19" s="1"/>
  <c r="K49" i="12"/>
  <c r="N49" i="12"/>
  <c r="AE125" i="5"/>
  <c r="AM125" i="5"/>
  <c r="AD125" i="5"/>
  <c r="E138" i="5"/>
  <c r="H138" i="5"/>
  <c r="AE138" i="5" s="1"/>
  <c r="K16" i="28"/>
  <c r="K23" i="28" s="1"/>
  <c r="K26" i="28" s="1"/>
  <c r="J16" i="28"/>
  <c r="J23" i="28" s="1"/>
  <c r="J26" i="28" s="1"/>
  <c r="L16" i="28"/>
  <c r="L23" i="28" s="1"/>
  <c r="L26" i="28" s="1"/>
  <c r="M13" i="28"/>
  <c r="M14" i="28" s="1"/>
  <c r="E14" i="28"/>
  <c r="E16" i="28"/>
  <c r="J142" i="19"/>
  <c r="J152" i="19" s="1"/>
  <c r="H54" i="19"/>
  <c r="F130" i="19"/>
  <c r="H134" i="19"/>
  <c r="H20" i="19"/>
  <c r="F20" i="19" s="1"/>
  <c r="F61" i="19"/>
  <c r="S47" i="19"/>
  <c r="S17" i="19"/>
  <c r="N12" i="28" s="1"/>
  <c r="N17" i="19"/>
  <c r="I12" i="28" s="1"/>
  <c r="J18" i="19"/>
  <c r="J58" i="19"/>
  <c r="J63" i="19"/>
  <c r="J74" i="19" s="1"/>
  <c r="S16" i="19"/>
  <c r="N11" i="28" s="1"/>
  <c r="R57" i="19"/>
  <c r="R63" i="19" s="1"/>
  <c r="R18" i="19"/>
  <c r="P19" i="19"/>
  <c r="N47" i="19"/>
  <c r="O47" i="19"/>
  <c r="I47" i="19"/>
  <c r="J47" i="19"/>
  <c r="I16" i="19"/>
  <c r="D11" i="28" s="1"/>
  <c r="D13" i="28" s="1"/>
  <c r="I57" i="19"/>
  <c r="F44" i="19"/>
  <c r="P21" i="19"/>
  <c r="O21" i="19"/>
  <c r="O19" i="19"/>
  <c r="I26" i="19"/>
  <c r="Q18" i="19"/>
  <c r="Q63" i="19"/>
  <c r="Q74" i="19" s="1"/>
  <c r="O58" i="19"/>
  <c r="O63" i="19"/>
  <c r="N16" i="19"/>
  <c r="I11" i="28" s="1"/>
  <c r="P63" i="19"/>
  <c r="P58" i="19"/>
  <c r="F47" i="12"/>
  <c r="N138" i="5"/>
  <c r="AG138" i="5" s="1"/>
  <c r="K138" i="5"/>
  <c r="AF138" i="5" s="1"/>
  <c r="D24" i="28" l="1"/>
  <c r="AD138" i="5"/>
  <c r="AM138" i="5"/>
  <c r="O74" i="19"/>
  <c r="O80" i="19" s="1"/>
  <c r="O85" i="19" s="1"/>
  <c r="O88" i="19" s="1"/>
  <c r="R64" i="19"/>
  <c r="R74" i="19"/>
  <c r="R80" i="19" s="1"/>
  <c r="R85" i="19" s="1"/>
  <c r="R88" i="19" s="1"/>
  <c r="P74" i="19"/>
  <c r="P80" i="19" s="1"/>
  <c r="P85" i="19" s="1"/>
  <c r="P88" i="19" s="1"/>
  <c r="K17" i="28"/>
  <c r="I13" i="28"/>
  <c r="I16" i="28" s="1"/>
  <c r="J17" i="28"/>
  <c r="L17" i="28"/>
  <c r="M16" i="28"/>
  <c r="M17" i="28" s="1"/>
  <c r="N13" i="28"/>
  <c r="N14" i="28" s="1"/>
  <c r="E23" i="28"/>
  <c r="E17" i="28"/>
  <c r="D14" i="28"/>
  <c r="D16" i="28"/>
  <c r="S57" i="19"/>
  <c r="S58" i="19" s="1"/>
  <c r="F132" i="19"/>
  <c r="F54" i="19"/>
  <c r="H55" i="19"/>
  <c r="J64" i="19"/>
  <c r="J80" i="19"/>
  <c r="R58" i="19"/>
  <c r="J21" i="19"/>
  <c r="J19" i="19"/>
  <c r="R19" i="19"/>
  <c r="R21" i="19"/>
  <c r="S18" i="19"/>
  <c r="I18" i="19"/>
  <c r="I21" i="19" s="1"/>
  <c r="Q19" i="19"/>
  <c r="O24" i="19"/>
  <c r="O30" i="19" s="1"/>
  <c r="O32" i="19" s="1"/>
  <c r="P24" i="19"/>
  <c r="P30" i="19" s="1"/>
  <c r="P32" i="19" s="1"/>
  <c r="I63" i="19"/>
  <c r="I74" i="19" s="1"/>
  <c r="I58" i="19"/>
  <c r="F134" i="19"/>
  <c r="I82" i="19"/>
  <c r="I94" i="19"/>
  <c r="F16" i="19"/>
  <c r="F46" i="19"/>
  <c r="P22" i="19"/>
  <c r="O22" i="19"/>
  <c r="Q64" i="19"/>
  <c r="Q80" i="19"/>
  <c r="Q85" i="19" s="1"/>
  <c r="Q88" i="19" s="1"/>
  <c r="N18" i="19"/>
  <c r="Q21" i="19"/>
  <c r="P64" i="19"/>
  <c r="O64" i="19"/>
  <c r="F35" i="12"/>
  <c r="O62" i="12"/>
  <c r="O72" i="12" s="1"/>
  <c r="K62" i="12"/>
  <c r="K72" i="12" s="1"/>
  <c r="L62" i="12"/>
  <c r="L72" i="12" s="1"/>
  <c r="M62" i="12"/>
  <c r="M72" i="12" s="1"/>
  <c r="J91" i="19" l="1"/>
  <c r="J93" i="19" s="1"/>
  <c r="I14" i="28"/>
  <c r="N16" i="28"/>
  <c r="N23" i="28" s="1"/>
  <c r="N26" i="28" s="1"/>
  <c r="M23" i="28"/>
  <c r="M26" i="28" s="1"/>
  <c r="D17" i="28"/>
  <c r="D23" i="28"/>
  <c r="I23" i="28"/>
  <c r="I26" i="28" s="1"/>
  <c r="I17" i="28"/>
  <c r="H142" i="19"/>
  <c r="H152" i="19" s="1"/>
  <c r="H158" i="19" s="1"/>
  <c r="S63" i="19"/>
  <c r="H17" i="19"/>
  <c r="H57" i="19"/>
  <c r="I27" i="19"/>
  <c r="S21" i="19"/>
  <c r="R24" i="19"/>
  <c r="R30" i="19" s="1"/>
  <c r="R32" i="19" s="1"/>
  <c r="S19" i="19"/>
  <c r="J22" i="19"/>
  <c r="J24" i="19"/>
  <c r="R22" i="19"/>
  <c r="I19" i="19"/>
  <c r="N19" i="19"/>
  <c r="O25" i="19"/>
  <c r="P25" i="19"/>
  <c r="I22" i="19"/>
  <c r="I24" i="19"/>
  <c r="I80" i="19"/>
  <c r="I85" i="19" s="1"/>
  <c r="I88" i="19" s="1"/>
  <c r="I64" i="19"/>
  <c r="F52" i="19"/>
  <c r="Q24" i="19"/>
  <c r="Q30" i="19" s="1"/>
  <c r="Q32" i="19" s="1"/>
  <c r="Q22" i="19"/>
  <c r="N21" i="19"/>
  <c r="N57" i="19"/>
  <c r="M84" i="12"/>
  <c r="M90" i="12" s="1"/>
  <c r="L84" i="12"/>
  <c r="L90" i="12" s="1"/>
  <c r="K84" i="12"/>
  <c r="K90" i="12" s="1"/>
  <c r="O84" i="12"/>
  <c r="O90" i="12" s="1"/>
  <c r="J62" i="12"/>
  <c r="J72" i="12" s="1"/>
  <c r="I62" i="12"/>
  <c r="I72" i="12" s="1"/>
  <c r="H62" i="12"/>
  <c r="H72" i="12" s="1"/>
  <c r="P62" i="12"/>
  <c r="P72" i="12" s="1"/>
  <c r="F46" i="12"/>
  <c r="N62" i="12"/>
  <c r="N72" i="12" s="1"/>
  <c r="D25" i="28" l="1"/>
  <c r="I30" i="19"/>
  <c r="I32" i="19" s="1"/>
  <c r="F158" i="19"/>
  <c r="H162" i="19"/>
  <c r="H166" i="19" s="1"/>
  <c r="S74" i="19"/>
  <c r="S80" i="19" s="1"/>
  <c r="S85" i="19" s="1"/>
  <c r="S88" i="19" s="1"/>
  <c r="N17" i="28"/>
  <c r="D26" i="28"/>
  <c r="S64" i="19"/>
  <c r="F142" i="19"/>
  <c r="H63" i="19"/>
  <c r="H74" i="19" s="1"/>
  <c r="H58" i="19"/>
  <c r="H18" i="19"/>
  <c r="F17" i="19"/>
  <c r="R25" i="19"/>
  <c r="S24" i="19"/>
  <c r="S22" i="19"/>
  <c r="J25" i="19"/>
  <c r="I25" i="19"/>
  <c r="N22" i="19"/>
  <c r="F55" i="19"/>
  <c r="Q25" i="19"/>
  <c r="N24" i="19"/>
  <c r="N30" i="19" s="1"/>
  <c r="N32" i="19" s="1"/>
  <c r="N58" i="19"/>
  <c r="N63" i="19"/>
  <c r="F57" i="19"/>
  <c r="N84" i="12"/>
  <c r="N90" i="12" s="1"/>
  <c r="P84" i="12"/>
  <c r="P90" i="12" s="1"/>
  <c r="H84" i="12"/>
  <c r="H90" i="12" s="1"/>
  <c r="J84" i="12"/>
  <c r="J90" i="12" s="1"/>
  <c r="I84" i="12"/>
  <c r="I90" i="12" s="1"/>
  <c r="F72" i="12"/>
  <c r="F62" i="12"/>
  <c r="F51" i="12"/>
  <c r="F49" i="12"/>
  <c r="S25" i="19" l="1"/>
  <c r="S30" i="19"/>
  <c r="S32" i="19" s="1"/>
  <c r="F166" i="19"/>
  <c r="H98" i="12"/>
  <c r="H101" i="12" s="1"/>
  <c r="N74" i="19"/>
  <c r="N80" i="19" s="1"/>
  <c r="N85" i="19" s="1"/>
  <c r="N88" i="19" s="1"/>
  <c r="F152" i="19"/>
  <c r="H21" i="19"/>
  <c r="H19" i="19"/>
  <c r="H80" i="19"/>
  <c r="H85" i="19" s="1"/>
  <c r="H88" i="19" s="1"/>
  <c r="H64" i="19"/>
  <c r="F18" i="19"/>
  <c r="N25" i="19"/>
  <c r="N64" i="19"/>
  <c r="F63" i="19"/>
  <c r="F90" i="12"/>
  <c r="F84" i="12"/>
  <c r="H22" i="19" l="1"/>
  <c r="H24" i="19"/>
  <c r="H30" i="19" s="1"/>
  <c r="H32" i="19" s="1"/>
  <c r="F74" i="19"/>
  <c r="F21" i="19"/>
  <c r="I89" i="12"/>
  <c r="I98" i="12" l="1"/>
  <c r="J89" i="12" s="1"/>
  <c r="J98" i="12" s="1"/>
  <c r="H25" i="19"/>
  <c r="F24" i="19"/>
  <c r="I101" i="12" l="1"/>
  <c r="J101" i="12"/>
  <c r="K89" i="12" l="1"/>
  <c r="K98" i="12" l="1"/>
  <c r="L89" i="12" s="1"/>
  <c r="L98" i="12" s="1"/>
  <c r="M89" i="12" l="1"/>
  <c r="M98" i="12" s="1"/>
  <c r="K101" i="12"/>
  <c r="N89" i="12" l="1"/>
  <c r="N98" i="12" s="1"/>
  <c r="L101" i="12"/>
  <c r="O89" i="12" l="1"/>
  <c r="O98" i="12" s="1"/>
  <c r="M101" i="12"/>
  <c r="P89" i="12" l="1"/>
  <c r="P98" i="12" s="1"/>
  <c r="P101" i="12" s="1"/>
  <c r="N101" i="12"/>
  <c r="Q89" i="12" l="1"/>
  <c r="Q98" i="12" s="1"/>
  <c r="Q101" i="12" s="1"/>
  <c r="O101" i="12"/>
  <c r="J26" i="19"/>
  <c r="R89" i="12" l="1"/>
  <c r="R98" i="12" s="1"/>
  <c r="R101" i="12" s="1"/>
  <c r="E24" i="28"/>
  <c r="E26" i="28"/>
  <c r="J82" i="19"/>
  <c r="J94" i="19"/>
  <c r="K91" i="19" s="1"/>
  <c r="K93" i="19" s="1"/>
  <c r="S89" i="12" l="1"/>
  <c r="S98" i="12" s="1"/>
  <c r="S101" i="12" s="1"/>
  <c r="J27" i="19"/>
  <c r="J85" i="19"/>
  <c r="J88" i="19" s="1"/>
  <c r="T89" i="12" l="1"/>
  <c r="T98" i="12" s="1"/>
  <c r="T101" i="12" s="1"/>
  <c r="E25" i="28"/>
  <c r="J30" i="19"/>
  <c r="J32" i="19" s="1"/>
  <c r="U89" i="12" l="1"/>
  <c r="U98" i="12" s="1"/>
  <c r="V89" i="12" s="1"/>
  <c r="V98" i="12" s="1"/>
  <c r="K26" i="19"/>
  <c r="U101" i="12" l="1"/>
  <c r="F24" i="28"/>
  <c r="W89" i="12"/>
  <c r="W98" i="12" s="1"/>
  <c r="V101" i="12"/>
  <c r="K82" i="19"/>
  <c r="K85" i="19" s="1"/>
  <c r="K88" i="19" s="1"/>
  <c r="K94" i="19"/>
  <c r="L91" i="19" s="1"/>
  <c r="L93" i="19" s="1"/>
  <c r="X89" i="12" l="1"/>
  <c r="X98" i="12" s="1"/>
  <c r="W101" i="12"/>
  <c r="K27" i="19"/>
  <c r="F25" i="28" l="1"/>
  <c r="F26" i="28" s="1"/>
  <c r="K30" i="19"/>
  <c r="K32" i="19" s="1"/>
  <c r="Y89" i="12"/>
  <c r="Y98" i="12" s="1"/>
  <c r="X101" i="12"/>
  <c r="Z89" i="12" l="1"/>
  <c r="Z98" i="12" s="1"/>
  <c r="Y101" i="12"/>
  <c r="L82" i="19"/>
  <c r="L85" i="19" s="1"/>
  <c r="L88" i="19" s="1"/>
  <c r="F93" i="19"/>
  <c r="L94" i="19"/>
  <c r="AA89" i="12" l="1"/>
  <c r="AA98" i="12" s="1"/>
  <c r="Z101" i="12"/>
  <c r="L27" i="19"/>
  <c r="L26" i="19"/>
  <c r="G24" i="28" l="1"/>
  <c r="L30" i="19"/>
  <c r="L32" i="19" s="1"/>
  <c r="F32" i="19" s="1"/>
  <c r="AB89" i="12"/>
  <c r="AB98" i="12" s="1"/>
  <c r="AA101" i="12"/>
  <c r="F27" i="19"/>
  <c r="G25" i="28"/>
  <c r="G26" i="28"/>
  <c r="F26" i="19"/>
  <c r="AB101" i="12" l="1"/>
  <c r="AC89" i="12"/>
  <c r="AC98" i="12" s="1"/>
  <c r="F30" i="19"/>
  <c r="AC101" i="12" l="1"/>
  <c r="AD89" i="12"/>
  <c r="AD98" i="12" s="1"/>
  <c r="AD101" i="12" l="1"/>
  <c r="AE89" i="12"/>
  <c r="AE98" i="12" l="1"/>
  <c r="AE101" i="12" s="1"/>
  <c r="H174" i="19" l="1"/>
  <c r="I165" i="19" s="1"/>
  <c r="I174" i="19" s="1"/>
  <c r="F101" i="12"/>
  <c r="F165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tc={1BEF27EF-3460-41C6-AA17-087B0ABB5011}</author>
    <author>tc={AFA07125-B70C-46ED-8435-E239F5094862}</author>
  </authors>
  <commentList>
    <comment ref="D36" authorId="0" shapeId="0" xr:uid="{1BEF27EF-3460-41C6-AA17-087B0ABB5011}">
      <text>
        <t>[Threaded comment]
Your version of Excel allows you to read this threaded comment; however, any edits to it will get removed if the file is opened in a newer version of Excel. Learn more: https://go.microsoft.com/fwlink/?linkid=870924
Comment:
    EPC Management Fee: XGS collects fee upon Commercial Operations Date for new projects brought online</t>
      </text>
    </comment>
    <comment ref="D37" authorId="1" shapeId="0" xr:uid="{AFA07125-B70C-46ED-8435-E239F5094862}">
      <text>
        <t>[Threaded comment]
Your version of Excel allows you to read this threaded comment; however, any edits to it will get removed if the file is opened in a newer version of Excel. Learn more: https://go.microsoft.com/fwlink/?linkid=870924
Comment:
    Long Term Service Agreement Fee: XGS collects based on installed MWs for all operating projects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tc={2139CD11-695D-45A4-959E-179B3F1761D1}</author>
  </authors>
  <commentList>
    <comment ref="C116" authorId="0" shapeId="0" xr:uid="{2139CD11-695D-45A4-959E-179B3F1761D1}">
      <text>
        <t>[Threaded comment]
Your version of Excel allows you to read this threaded comment; however, any edits to it will get removed if the file is opened in a newer version of Excel. Learn more: https://go.microsoft.com/fwlink/?linkid=870924
Comment:
    Capuano transaction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tc={46E9FAB1-7D12-4236-A9B7-B60CC3B8C813}</author>
  </authors>
  <commentList>
    <comment ref="A48" authorId="0" shapeId="0" xr:uid="{46E9FAB1-7D12-4236-A9B7-B60CC3B8C8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Capuano transaction - some flowing through liabilities in the B/S</t>
      </text>
    </comment>
  </commentList>
</comment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<sst xmlns="http://schemas.openxmlformats.org/spreadsheetml/2006/main" count="1331" uniqueCount="668">
  <si>
    <t>XGS Enterprise Model</t>
  </si>
  <si>
    <t>Version:</t>
  </si>
  <si>
    <t>Date:</t>
  </si>
  <si>
    <t>CONFIDENTIAL</t>
  </si>
  <si>
    <t>Intro</t>
  </si>
  <si>
    <t>Description</t>
  </si>
  <si>
    <t>This is a dynamic multi-year model that integrates historical performance data from the previous fiscal  year with forward-looking projections across two time horizons. The model provides detailed three-year forecasts incorporating operational assumptions, alongside strategic ten-year projections to capture the full growth trajectory.</t>
  </si>
  <si>
    <t>Sheet</t>
  </si>
  <si>
    <t>Type</t>
  </si>
  <si>
    <t>Time Range</t>
  </si>
  <si>
    <t>Index</t>
  </si>
  <si>
    <t>Model navigation index and links</t>
  </si>
  <si>
    <t>Inputs</t>
  </si>
  <si>
    <t>Key drivers and assumptions for the model, primarily around long-term forecasts</t>
  </si>
  <si>
    <t>Summary Financials</t>
  </si>
  <si>
    <t>Annual consolidated enterprise model incorporating historical financials, short term forecasts, and long term forecasts</t>
  </si>
  <si>
    <t>2024-2035</t>
  </si>
  <si>
    <t>Financials</t>
  </si>
  <si>
    <t>Monthly short term expense forecasts focused on uses of growth round proceeds</t>
  </si>
  <si>
    <t>2025Q2-2028</t>
  </si>
  <si>
    <t>Monthly historical PnL</t>
  </si>
  <si>
    <t>2024-2025</t>
  </si>
  <si>
    <t>Historical Financials</t>
  </si>
  <si>
    <t>Monthly audited Income Statements</t>
  </si>
  <si>
    <t>Monthly audited Balance Sheets</t>
  </si>
  <si>
    <t>Monthly audited Cash Flow Statements</t>
  </si>
  <si>
    <t>Inputs &amp; Assumptions</t>
  </si>
  <si>
    <t>Time Period</t>
  </si>
  <si>
    <t>Model Month Start</t>
  </si>
  <si>
    <t>Model Month End</t>
  </si>
  <si>
    <t>Project Phasing by Geography</t>
  </si>
  <si>
    <t>MW Deployed By Geography</t>
  </si>
  <si>
    <t>2030 TOTAL</t>
  </si>
  <si>
    <t>2035 TOTAL</t>
  </si>
  <si>
    <t>SoCal (Imperial + Coso)</t>
  </si>
  <si>
    <t>MW</t>
  </si>
  <si>
    <t>NorCal (Geysers)</t>
  </si>
  <si>
    <t>New Mexico</t>
  </si>
  <si>
    <t>Oregon</t>
  </si>
  <si>
    <t>US West</t>
  </si>
  <si>
    <t>Philippines</t>
  </si>
  <si>
    <t>APAC (Indonesia, NZ , Taiwan)</t>
  </si>
  <si>
    <t>Saudi Arabia</t>
  </si>
  <si>
    <t>Japan</t>
  </si>
  <si>
    <t>All Geographies</t>
  </si>
  <si>
    <t>Capex &amp; Project Curve</t>
  </si>
  <si>
    <t>year</t>
  </si>
  <si>
    <t>Capex Cost</t>
  </si>
  <si>
    <t>$000/MW</t>
  </si>
  <si>
    <t>Project Devex Reimbursement</t>
  </si>
  <si>
    <t>#</t>
  </si>
  <si>
    <t>Project Capacity Delivered</t>
  </si>
  <si>
    <t>MW Operational</t>
  </si>
  <si>
    <t>Project Capex</t>
  </si>
  <si>
    <t>$m</t>
  </si>
  <si>
    <t>Revenue Model &amp; Operating Margin</t>
  </si>
  <si>
    <t>Fee Structure to XGS</t>
  </si>
  <si>
    <t>EPCM Fee</t>
  </si>
  <si>
    <t>% Capex</t>
  </si>
  <si>
    <t>LTSA Fee</t>
  </si>
  <si>
    <t>$000/MW/yr</t>
  </si>
  <si>
    <t>Operating Expenses (2027Q2-2028)</t>
  </si>
  <si>
    <t>Operating Headcount Escalator</t>
  </si>
  <si>
    <t>% p.a.</t>
  </si>
  <si>
    <t>Operating Expenses Escalator</t>
  </si>
  <si>
    <t>Operating Margin (2029 Onwards)</t>
  </si>
  <si>
    <t>R&amp;D Spend Growth (vs 2028 Baseline)</t>
  </si>
  <si>
    <t>Devex Assumptions</t>
  </si>
  <si>
    <t>Reimbursable Devex @ TopCo</t>
  </si>
  <si>
    <t>Resource evaluation</t>
  </si>
  <si>
    <t>$000/Project</t>
  </si>
  <si>
    <t>Subsurface engineering services</t>
  </si>
  <si>
    <t>Surface engineering services</t>
  </si>
  <si>
    <t>Other development</t>
  </si>
  <si>
    <t>Total</t>
  </si>
  <si>
    <t>Other</t>
  </si>
  <si>
    <t>Venture Debt</t>
  </si>
  <si>
    <t>Size</t>
  </si>
  <si>
    <t>Closing Year</t>
  </si>
  <si>
    <t>Amort Horizon</t>
  </si>
  <si>
    <t>years</t>
  </si>
  <si>
    <t>Interest Rate</t>
  </si>
  <si>
    <t>%</t>
  </si>
  <si>
    <t>Consolidated Forecasts (Annual)</t>
  </si>
  <si>
    <t>Date</t>
  </si>
  <si>
    <t>YearFrac</t>
  </si>
  <si>
    <t>Year</t>
  </si>
  <si>
    <t>SUMMARY</t>
  </si>
  <si>
    <t>Projects</t>
  </si>
  <si>
    <t>MW Reaching COD</t>
  </si>
  <si>
    <t>Cash Flows</t>
  </si>
  <si>
    <t>Revenue</t>
  </si>
  <si>
    <t>$000</t>
  </si>
  <si>
    <t>Expenses</t>
  </si>
  <si>
    <t>Operating Profit</t>
  </si>
  <si>
    <t>Operating Profit Margin</t>
  </si>
  <si>
    <t>R&amp;D / Cost Reduction</t>
  </si>
  <si>
    <t>EBITDA Excl Projects</t>
  </si>
  <si>
    <t>Non-Project EBITDA Margin</t>
  </si>
  <si>
    <t>Project Expenses excl Wells</t>
  </si>
  <si>
    <t>EBITDA Incl Projects</t>
  </si>
  <si>
    <t>EBITDA Margin</t>
  </si>
  <si>
    <t>Interest Expense</t>
  </si>
  <si>
    <t>Debt Drawdown / (Repayment)</t>
  </si>
  <si>
    <t>Historical Taxes &amp; Interest Income</t>
  </si>
  <si>
    <t>Historical Accrual to Cash Adjustments</t>
  </si>
  <si>
    <t>Net Cash Flow excl Equity Financing</t>
  </si>
  <si>
    <t>Historical Equity  Injections</t>
  </si>
  <si>
    <t>Net Cash Flow</t>
  </si>
  <si>
    <t>Project Cadence</t>
  </si>
  <si>
    <t>Capex Summary</t>
  </si>
  <si>
    <t>Projections - PnL</t>
  </si>
  <si>
    <t>Income</t>
  </si>
  <si>
    <t>EPCM Revenue</t>
  </si>
  <si>
    <t>Ops Management Revenue</t>
  </si>
  <si>
    <t>YoY Revenue Growth</t>
  </si>
  <si>
    <t>Payroll</t>
  </si>
  <si>
    <t>Overhead</t>
  </si>
  <si>
    <t>Overhead Services</t>
  </si>
  <si>
    <t>Legal Fees</t>
  </si>
  <si>
    <t>Other Expenses</t>
  </si>
  <si>
    <t>Total Expenses</t>
  </si>
  <si>
    <t>R&amp;D Expense</t>
  </si>
  <si>
    <t>XGS DevCo Asset Spend</t>
  </si>
  <si>
    <t>Surface Engineering*</t>
  </si>
  <si>
    <t>Subsurface Engineering*</t>
  </si>
  <si>
    <t>Early Stage Project Development (Permitting, Power Delivery)*</t>
  </si>
  <si>
    <t>Geophysical Surveys*</t>
  </si>
  <si>
    <t>Site Control*</t>
  </si>
  <si>
    <t>Total Project Expenses</t>
  </si>
  <si>
    <t>ST Forecast - Debt &amp; Cash Accounts</t>
  </si>
  <si>
    <t>Net Cash Flow Projections</t>
  </si>
  <si>
    <t>Venture Debt Interest Expense</t>
  </si>
  <si>
    <t>Venture Debt Drawdown / (Repayment)</t>
  </si>
  <si>
    <t>Opening Balance</t>
  </si>
  <si>
    <t>Debt Drawdown</t>
  </si>
  <si>
    <t>Debt Repayment</t>
  </si>
  <si>
    <t>Ending Balance</t>
  </si>
  <si>
    <t>Summary of Historical and ST Forecasts</t>
  </si>
  <si>
    <t>Headcount</t>
  </si>
  <si>
    <t>New Headcount (FTE)</t>
  </si>
  <si>
    <t>Total Headcount (FTE)</t>
  </si>
  <si>
    <t>SG&amp;A</t>
  </si>
  <si>
    <t>Software services</t>
  </si>
  <si>
    <t xml:space="preserve">Accounting Services (incl software) </t>
  </si>
  <si>
    <t>PR</t>
  </si>
  <si>
    <t>Audit Services</t>
  </si>
  <si>
    <t>Tax Services</t>
  </si>
  <si>
    <t>IT Services</t>
  </si>
  <si>
    <t>Recruiting</t>
  </si>
  <si>
    <t>Subject Matter experts</t>
  </si>
  <si>
    <t>Eng services</t>
  </si>
  <si>
    <t>Other Consultants</t>
  </si>
  <si>
    <t>Legal Fees - Corporate</t>
  </si>
  <si>
    <t>Legal Fees - Intellectual Property</t>
  </si>
  <si>
    <t>Legal Fees - Fundraising</t>
  </si>
  <si>
    <t>Total Legal Fees</t>
  </si>
  <si>
    <t>Marketing</t>
  </si>
  <si>
    <t>Government Affairs</t>
  </si>
  <si>
    <t>T&amp;E</t>
  </si>
  <si>
    <t>Insurance</t>
  </si>
  <si>
    <t>Office</t>
  </si>
  <si>
    <t>Purchase/(Sale) of Fixed Assets</t>
  </si>
  <si>
    <t>Total Other Expenses</t>
  </si>
  <si>
    <t>Operating Expenses</t>
  </si>
  <si>
    <t>R&amp;D</t>
  </si>
  <si>
    <t>Capitalized R&amp;D</t>
  </si>
  <si>
    <t>Prototype - Brownfield Demo</t>
  </si>
  <si>
    <t>Total R&amp;D</t>
  </si>
  <si>
    <t>Operating Expenses + R&amp;D</t>
  </si>
  <si>
    <t>Project Expenses excl wells</t>
  </si>
  <si>
    <t>Total Operating, R&amp;D, and Project Expenses</t>
  </si>
  <si>
    <t>Historical Cash Adjustments</t>
  </si>
  <si>
    <t>FCF</t>
  </si>
  <si>
    <t>Interest Income</t>
  </si>
  <si>
    <t>Taxes</t>
  </si>
  <si>
    <t>Starting Balance</t>
  </si>
  <si>
    <t>Plus: FCF</t>
  </si>
  <si>
    <t>Plus: Accrual to Cash Adjustment</t>
  </si>
  <si>
    <t>Plus: Reconcile D&amp;A</t>
  </si>
  <si>
    <t>Minus: Financing Expenses</t>
  </si>
  <si>
    <t>Plus: Equity Injections</t>
  </si>
  <si>
    <t>Plus: Debt Drawdown / (Repayment)</t>
  </si>
  <si>
    <t>Minus: Investment in Subsidiaries</t>
  </si>
  <si>
    <t>Minus: Cash Balance Reconciliation</t>
  </si>
  <si>
    <t>Total Historical Cash Adjustments</t>
  </si>
  <si>
    <t>Equity</t>
  </si>
  <si>
    <t>Equity - Series A</t>
  </si>
  <si>
    <t>Equity - SAFE</t>
  </si>
  <si>
    <t>Total Equity Injection</t>
  </si>
  <si>
    <t>Investment in Subsidiaries</t>
  </si>
  <si>
    <t>Financing Fees</t>
  </si>
  <si>
    <t>Series A Financing Fees</t>
  </si>
  <si>
    <t>Debt Financing Fees</t>
  </si>
  <si>
    <t>Total Financing Expenses</t>
  </si>
  <si>
    <t>Loan Drawdown / (Repayment)</t>
  </si>
  <si>
    <t>Short Term Forecasts (Monthly)</t>
  </si>
  <si>
    <t>Year End</t>
  </si>
  <si>
    <t>Expense Forecast</t>
  </si>
  <si>
    <t>Cement placement hardware</t>
  </si>
  <si>
    <t>LCZ and sheath cements</t>
  </si>
  <si>
    <t>VIT &amp; well design</t>
  </si>
  <si>
    <t>Higher temperature drilling</t>
  </si>
  <si>
    <t>Sensors &amp; measurement</t>
  </si>
  <si>
    <t>Perforation sealing</t>
  </si>
  <si>
    <t>On-site testing cells</t>
  </si>
  <si>
    <t>Heat flow modeling software</t>
  </si>
  <si>
    <t>Drilling management software</t>
  </si>
  <si>
    <t>Materials database</t>
  </si>
  <si>
    <t>Other (Advisors)</t>
  </si>
  <si>
    <t>Historical PnL (Monthly)</t>
  </si>
  <si>
    <t>SOURCE</t>
  </si>
  <si>
    <t>I/S</t>
  </si>
  <si>
    <t>CFS</t>
  </si>
  <si>
    <t>Total Operating Expenses</t>
  </si>
  <si>
    <t>CHECK</t>
  </si>
  <si>
    <t>Total R&amp;D Expenses</t>
  </si>
  <si>
    <t>EBITDA</t>
  </si>
  <si>
    <t>Project Expenses</t>
  </si>
  <si>
    <t>EBITDA Less Capex &amp; Devex</t>
  </si>
  <si>
    <t xml:space="preserve">Free Cash Flow </t>
  </si>
  <si>
    <t>Total Interest Expense / (Income)</t>
  </si>
  <si>
    <t>Accounts &amp; Funding</t>
  </si>
  <si>
    <t>Cash Accounts</t>
  </si>
  <si>
    <t>B/S</t>
  </si>
  <si>
    <t>Cash Check</t>
  </si>
  <si>
    <t>Changes to Working Capital</t>
  </si>
  <si>
    <t>Accrual to Cash Adjustment</t>
  </si>
  <si>
    <t>Cash Balance Reconciliation</t>
  </si>
  <si>
    <t>D&amp;A</t>
  </si>
  <si>
    <t>Reconciling D&amp;A Across I/S and CFS</t>
  </si>
  <si>
    <t>Disposal of Investment</t>
  </si>
  <si>
    <t>Total Investment in Subsidiaries</t>
  </si>
  <si>
    <t>Financing Fees (Admin, Closing Fees)</t>
  </si>
  <si>
    <t>XGS Energy, Inc.</t>
  </si>
  <si>
    <t>Profit and Loss by Month</t>
  </si>
  <si>
    <t>January 2024 - December 2025</t>
  </si>
  <si>
    <t>Monthly</t>
  </si>
  <si>
    <t>Quarterly</t>
  </si>
  <si>
    <t>Annual</t>
  </si>
  <si>
    <t>Month End</t>
  </si>
  <si>
    <t>Quarter End</t>
  </si>
  <si>
    <t>Code Ref</t>
  </si>
  <si>
    <t>PnL Ref</t>
  </si>
  <si>
    <t>Cost of Goods Sold</t>
  </si>
  <si>
    <t>Gross Profit</t>
  </si>
  <si>
    <t>6010 PR &amp; Marketing</t>
  </si>
  <si>
    <t>6010</t>
  </si>
  <si>
    <t>6020 Conference Expenses</t>
  </si>
  <si>
    <t>6020</t>
  </si>
  <si>
    <t>6030 Government Affairs</t>
  </si>
  <si>
    <t>6030</t>
  </si>
  <si>
    <t>6100 Payroll</t>
  </si>
  <si>
    <t>6100</t>
  </si>
  <si>
    <t>6110 Salaries Expense</t>
  </si>
  <si>
    <t>6110</t>
  </si>
  <si>
    <t>6120 Payroll Taxes</t>
  </si>
  <si>
    <t>6120</t>
  </si>
  <si>
    <t>6130 Employee Benefit Program</t>
  </si>
  <si>
    <t>6130</t>
  </si>
  <si>
    <t>6160 Severance Expense</t>
  </si>
  <si>
    <t>6160</t>
  </si>
  <si>
    <t>6170 Relocation Exp</t>
  </si>
  <si>
    <t>6170</t>
  </si>
  <si>
    <t>6190 ADP Service Charges</t>
  </si>
  <si>
    <t>6190</t>
  </si>
  <si>
    <t>Total for 6100 Payroll</t>
  </si>
  <si>
    <t>6200 Gift Expense</t>
  </si>
  <si>
    <t>6200</t>
  </si>
  <si>
    <t>6600 Travel Expense</t>
  </si>
  <si>
    <t>6600</t>
  </si>
  <si>
    <t>6601 Airlines</t>
  </si>
  <si>
    <t>6601</t>
  </si>
  <si>
    <t>6602 Public Transit</t>
  </si>
  <si>
    <t>6603 Gas - etc</t>
  </si>
  <si>
    <t>6603</t>
  </si>
  <si>
    <t>6605 Groceries</t>
  </si>
  <si>
    <t>6605</t>
  </si>
  <si>
    <t>6606 Lodging</t>
  </si>
  <si>
    <t>6606</t>
  </si>
  <si>
    <t>6607 Parking</t>
  </si>
  <si>
    <t>6607</t>
  </si>
  <si>
    <t>6608 Meals</t>
  </si>
  <si>
    <t>6608</t>
  </si>
  <si>
    <t>6609 Meals with Team</t>
  </si>
  <si>
    <t>6609</t>
  </si>
  <si>
    <t>6610 Meals with Client</t>
  </si>
  <si>
    <t>6610</t>
  </si>
  <si>
    <t>6611 Rental Car</t>
  </si>
  <si>
    <t>6611</t>
  </si>
  <si>
    <t>6612 Services/Conference Room Rental</t>
  </si>
  <si>
    <t>6613 Taxi/Shared Ride Apps</t>
  </si>
  <si>
    <t>6613</t>
  </si>
  <si>
    <t>6614 Other</t>
  </si>
  <si>
    <t>6614</t>
  </si>
  <si>
    <t>Total for 6600 Travel Expense</t>
  </si>
  <si>
    <t>6650 Board Meeting Travel Expense</t>
  </si>
  <si>
    <t>6650</t>
  </si>
  <si>
    <t>6651 Board Meeting Airlines</t>
  </si>
  <si>
    <t>6651</t>
  </si>
  <si>
    <t>6652 Board Meeting Gas - etc</t>
  </si>
  <si>
    <t>6652</t>
  </si>
  <si>
    <t>6653 Board Meeting Lodging</t>
  </si>
  <si>
    <t>6653</t>
  </si>
  <si>
    <t>6654 Board Meeting Parking</t>
  </si>
  <si>
    <t>6654</t>
  </si>
  <si>
    <t>6655 Board Meeting Meals-50%</t>
  </si>
  <si>
    <t>6655</t>
  </si>
  <si>
    <t>6656 Board Meeting Meals-100%</t>
  </si>
  <si>
    <t>6656</t>
  </si>
  <si>
    <t>6657 Board Meeting Rental Car</t>
  </si>
  <si>
    <t>6657</t>
  </si>
  <si>
    <t>6658 Board Meeting Taxi/Shared Ride</t>
  </si>
  <si>
    <t>6658</t>
  </si>
  <si>
    <t>6659 Board Meeting Services/Conference</t>
  </si>
  <si>
    <t>6659</t>
  </si>
  <si>
    <t>6660 Board Meeting Others</t>
  </si>
  <si>
    <t>6660</t>
  </si>
  <si>
    <t>Total for 6650 Board Meeting Travel Expense</t>
  </si>
  <si>
    <t>6750 Professional Fees</t>
  </si>
  <si>
    <t>6750</t>
  </si>
  <si>
    <t>6751 Legal Fees - Corporate</t>
  </si>
  <si>
    <t>6751</t>
  </si>
  <si>
    <t>6752 Legal Fees - Intellectual Property</t>
  </si>
  <si>
    <t>6752</t>
  </si>
  <si>
    <t>6753 FundraisingLegal</t>
  </si>
  <si>
    <t>6753</t>
  </si>
  <si>
    <t>6756 SAFE Legal</t>
  </si>
  <si>
    <t>6756</t>
  </si>
  <si>
    <t>Total for 6753 FundraisingLegal</t>
  </si>
  <si>
    <t>Total for 6750 Professional Fees</t>
  </si>
  <si>
    <t>6800 License and Subscription Expense</t>
  </si>
  <si>
    <t>6800</t>
  </si>
  <si>
    <t>6801 Business registration</t>
  </si>
  <si>
    <t>6801</t>
  </si>
  <si>
    <t>6802 Membership and dues</t>
  </si>
  <si>
    <t>6802</t>
  </si>
  <si>
    <t>6803 PPE</t>
  </si>
  <si>
    <t>6803</t>
  </si>
  <si>
    <t>6804 Training</t>
  </si>
  <si>
    <t>6804</t>
  </si>
  <si>
    <t>6850 Maintenance Expense</t>
  </si>
  <si>
    <t>6900 Consultant Expense</t>
  </si>
  <si>
    <t>6900</t>
  </si>
  <si>
    <t>N/A</t>
  </si>
  <si>
    <t>6910 Project Consulting Expense - all technical work</t>
  </si>
  <si>
    <t>6910</t>
  </si>
  <si>
    <t>6911 Subject matter experts</t>
  </si>
  <si>
    <t>6911</t>
  </si>
  <si>
    <t>6912 Software Services</t>
  </si>
  <si>
    <t>6912</t>
  </si>
  <si>
    <t>6913 Eng Services</t>
  </si>
  <si>
    <t>6913</t>
  </si>
  <si>
    <t>6914 General research</t>
  </si>
  <si>
    <t>6914</t>
  </si>
  <si>
    <t>Total for 6910 Project Consulting Expense - all technical work</t>
  </si>
  <si>
    <t>6920 Corporate Consulting Expense</t>
  </si>
  <si>
    <t>6920</t>
  </si>
  <si>
    <t>6921 Accounting</t>
  </si>
  <si>
    <t>6921</t>
  </si>
  <si>
    <t>6922 Audit</t>
  </si>
  <si>
    <t>6922</t>
  </si>
  <si>
    <t xml:space="preserve"> 6923 Tax</t>
  </si>
  <si>
    <t>6924 IT</t>
  </si>
  <si>
    <t>6924</t>
  </si>
  <si>
    <t>6925 Other</t>
  </si>
  <si>
    <t>6925</t>
  </si>
  <si>
    <t>Total for 6920 Corporate Consulting Expense</t>
  </si>
  <si>
    <t>Total for 6900 Consultant Expense</t>
  </si>
  <si>
    <t>6950 Office Expense</t>
  </si>
  <si>
    <t>6950</t>
  </si>
  <si>
    <t>6951 Rent</t>
  </si>
  <si>
    <t>6951</t>
  </si>
  <si>
    <t>6952 Postage</t>
  </si>
  <si>
    <t>6952</t>
  </si>
  <si>
    <t>6953 Bank Charges</t>
  </si>
  <si>
    <t>6953</t>
  </si>
  <si>
    <t>6954 Printing</t>
  </si>
  <si>
    <t>6955 CAM &amp; Other Charges</t>
  </si>
  <si>
    <t>6956 Office Supplies</t>
  </si>
  <si>
    <t>6956</t>
  </si>
  <si>
    <t>6957 Phone/Internet Charges</t>
  </si>
  <si>
    <t>6957</t>
  </si>
  <si>
    <t>Total for 6950 Office Expense</t>
  </si>
  <si>
    <t>7000 R&amp;D Projects</t>
  </si>
  <si>
    <t>7000</t>
  </si>
  <si>
    <t>7001 SSD</t>
  </si>
  <si>
    <t>7001</t>
  </si>
  <si>
    <t>7002 LSE</t>
  </si>
  <si>
    <t>7002</t>
  </si>
  <si>
    <t>7003 TRE Sheath Lab Demo</t>
  </si>
  <si>
    <t>7003</t>
  </si>
  <si>
    <t>7004 TRE Sheath Field Demo-Cudd</t>
  </si>
  <si>
    <t>7004</t>
  </si>
  <si>
    <t>7005 Prototype-Brownfield Demo</t>
  </si>
  <si>
    <t>7005</t>
  </si>
  <si>
    <t>7009 7009 TRE Fluid Design</t>
  </si>
  <si>
    <t>7009</t>
  </si>
  <si>
    <t>7010 7010 TRE Formulation Lab Research</t>
  </si>
  <si>
    <t>7010</t>
  </si>
  <si>
    <t>7011 7011 TRE Placement Misc. Testing</t>
  </si>
  <si>
    <t>7011</t>
  </si>
  <si>
    <t>7012 7012 Mini Shallow Well Lab Demo</t>
  </si>
  <si>
    <t>7012</t>
  </si>
  <si>
    <t>7013 7013 TRE High-Temp Fluid Design</t>
  </si>
  <si>
    <t>7013</t>
  </si>
  <si>
    <t>7014 7014 Mini TRE Placement Lab Demo</t>
  </si>
  <si>
    <t>7014</t>
  </si>
  <si>
    <t>7015 7015 Coso Resource Evaluation</t>
  </si>
  <si>
    <t>7015</t>
  </si>
  <si>
    <t>7016 7016 TRE Sheath Field Demo Phase 3</t>
  </si>
  <si>
    <t>7016</t>
  </si>
  <si>
    <t>7017 7017 Complex TRE Placement Lab Demo</t>
  </si>
  <si>
    <t>7017</t>
  </si>
  <si>
    <t>7018 7018 TRE High-Solids Fluid Design</t>
  </si>
  <si>
    <t>7018</t>
  </si>
  <si>
    <t>7019 Power Cycle Improvement</t>
  </si>
  <si>
    <t>7020 Misc. Testing and Modeling - SOW</t>
  </si>
  <si>
    <t>7020</t>
  </si>
  <si>
    <t>7021 7021 TRE Prototype Reformulation</t>
  </si>
  <si>
    <t>7021</t>
  </si>
  <si>
    <t>7022 7022 TRE &amp; HTK Cement Design</t>
  </si>
  <si>
    <t>7022</t>
  </si>
  <si>
    <t>7023 7023 Cement Plugging Methodology</t>
  </si>
  <si>
    <t>7043 Material performance</t>
  </si>
  <si>
    <t>7048 Cement placement real-time simulators</t>
  </si>
  <si>
    <t>7056 X-Heat Basic</t>
  </si>
  <si>
    <t>7086 Cement Placement Tool</t>
  </si>
  <si>
    <t>Total for 7000 R&amp;D Projects</t>
  </si>
  <si>
    <t>7101 Project Development</t>
  </si>
  <si>
    <t>7102 XGS Energy California, LLC</t>
  </si>
  <si>
    <t>7103 XGS Energy New Mexico, LLC</t>
  </si>
  <si>
    <t>7104 Red Hills Infrastructure, LLC</t>
  </si>
  <si>
    <t>7105 Imperial Energy Infrastructure, LLC</t>
  </si>
  <si>
    <t>7420 Federal and State Taxes</t>
  </si>
  <si>
    <t>7420</t>
  </si>
  <si>
    <t>7700 Insurance - General</t>
  </si>
  <si>
    <t>7700</t>
  </si>
  <si>
    <t>7800 Charitable Contributions</t>
  </si>
  <si>
    <t>7800</t>
  </si>
  <si>
    <t>7900 Penalty and Interest</t>
  </si>
  <si>
    <t>Total for Expenses</t>
  </si>
  <si>
    <t>Net Operating Income</t>
  </si>
  <si>
    <t>Other Income</t>
  </si>
  <si>
    <t>4600 Interest Income</t>
  </si>
  <si>
    <t>4600</t>
  </si>
  <si>
    <t>Total for Other Income</t>
  </si>
  <si>
    <t>6050 Amortization Expense</t>
  </si>
  <si>
    <t>6050</t>
  </si>
  <si>
    <t>6350 Depreciation Expense</t>
  </si>
  <si>
    <t>6350</t>
  </si>
  <si>
    <t>6360 Gain/Loss on Disposal of Intangible Assets</t>
  </si>
  <si>
    <t>6700 Interest Expense</t>
  </si>
  <si>
    <t>7200 Loss on Disposal of Investment</t>
  </si>
  <si>
    <t>8000 Stock Based Compensation Expense</t>
  </si>
  <si>
    <t>Total for Other Expenses</t>
  </si>
  <si>
    <t>Net Other Income</t>
  </si>
  <si>
    <t>Net Income</t>
  </si>
  <si>
    <t>Financing Expenses</t>
  </si>
  <si>
    <t>Statement of Cash Flows</t>
  </si>
  <si>
    <t>OPERATING ACTIVITIES</t>
  </si>
  <si>
    <t>Adjustments to reconcile Net Income to Net Cash provided by operations:</t>
  </si>
  <si>
    <t xml:space="preserve">      Changes in Prepaid Expenses and Other Assets</t>
  </si>
  <si>
    <t>1410 Prepaid expenses &amp; Other Current Assets:Prepaid Insurance</t>
  </si>
  <si>
    <t>1410</t>
  </si>
  <si>
    <t>1430 - Prepaid expenses &amp; Other Current Assets:Prepaid Repairs and Maintenance</t>
  </si>
  <si>
    <t>1440 Prepaid expenses &amp; Other Current Assets:Prepaid Rent</t>
  </si>
  <si>
    <t>1440</t>
  </si>
  <si>
    <t>1455 Prepaid expenses &amp; Other Current Assets:Prepaid Licenses</t>
  </si>
  <si>
    <t>1455</t>
  </si>
  <si>
    <t>1640 Accumulated depreciation:ACCUM DEPR Computer Equipment</t>
  </si>
  <si>
    <t>1640</t>
  </si>
  <si>
    <t>1650 Accumulated depreciation:ACCUM DEPR Furniture &amp; Fixtures</t>
  </si>
  <si>
    <t>1650</t>
  </si>
  <si>
    <t>Changes in Accounts Receivable</t>
  </si>
  <si>
    <t>1200 - Accounts Receivable</t>
  </si>
  <si>
    <t>Changes in Accounts Payable</t>
  </si>
  <si>
    <t>2100 Accounts Payable (A/P)</t>
  </si>
  <si>
    <t>2100</t>
  </si>
  <si>
    <t>2110 - Accounts Payable (A/P):A/P Trade</t>
  </si>
  <si>
    <t>2140 - AP Credit Card-SVB</t>
  </si>
  <si>
    <t>Changes to Accrued Liabilites and Other Liabilities</t>
  </si>
  <si>
    <t>2210 Accrued Compensation &amp; Related Items:Accrued Payroll</t>
  </si>
  <si>
    <t>2210</t>
  </si>
  <si>
    <t>2275 - Unearned Revenue</t>
  </si>
  <si>
    <t>2280 - Expenses From LLC</t>
  </si>
  <si>
    <t>2290 Accrued Liabilities</t>
  </si>
  <si>
    <t>2290</t>
  </si>
  <si>
    <t>2295 - Accrued Interest</t>
  </si>
  <si>
    <t>Total Adjustments to reconcile Net Income to Net Cash provided by operations:</t>
  </si>
  <si>
    <t>Net cash provided by operating activities</t>
  </si>
  <si>
    <t>Cash Flow from Operations</t>
  </si>
  <si>
    <t>INVESTING ACTIVITIES</t>
  </si>
  <si>
    <t>Capital Expenditures</t>
  </si>
  <si>
    <t>1540 PPE Computer Equipment</t>
  </si>
  <si>
    <t>1540</t>
  </si>
  <si>
    <t>1550 PPE Furniture &amp; fixtures</t>
  </si>
  <si>
    <t>1550</t>
  </si>
  <si>
    <t>1930 Intangible Assets </t>
  </si>
  <si>
    <t>1930</t>
  </si>
  <si>
    <t>1931 Patents WIP</t>
  </si>
  <si>
    <t>1931</t>
  </si>
  <si>
    <t>1940 ACCUM AMORTIZATION</t>
  </si>
  <si>
    <t>1940</t>
  </si>
  <si>
    <t>1950 ROU Asset</t>
  </si>
  <si>
    <t>1950</t>
  </si>
  <si>
    <t>2810 Lease Liability</t>
  </si>
  <si>
    <t>2810</t>
  </si>
  <si>
    <t>Purchase of long term investments and other assets</t>
  </si>
  <si>
    <t>1450 Security Deposits</t>
  </si>
  <si>
    <t>1450</t>
  </si>
  <si>
    <t>1460 Other Assets</t>
  </si>
  <si>
    <t>1460</t>
  </si>
  <si>
    <t>1960 Deferred Finance Fees</t>
  </si>
  <si>
    <t>1960</t>
  </si>
  <si>
    <t>1961 - Deferred Finance Fees- Accumulated Amortization</t>
  </si>
  <si>
    <t>1980 Investment in Subsidiary</t>
  </si>
  <si>
    <t>1980</t>
  </si>
  <si>
    <t>Net cash provided by investing activities</t>
  </si>
  <si>
    <t>Cash Flow from Investing</t>
  </si>
  <si>
    <t>FINANCING ACTIVITIES</t>
  </si>
  <si>
    <t>2800 Other Long Term Liabilities</t>
  </si>
  <si>
    <t>2800</t>
  </si>
  <si>
    <t>2801 - SVB loan</t>
  </si>
  <si>
    <t>3200 Preferred stock - Series A</t>
  </si>
  <si>
    <t>3200</t>
  </si>
  <si>
    <t>3210 Preferred stock - Series A:Cost of Financing - Series A</t>
  </si>
  <si>
    <t>3210</t>
  </si>
  <si>
    <t>3250 Preferred stock - Series A:Preferred Stock APIC</t>
  </si>
  <si>
    <t>3250</t>
  </si>
  <si>
    <t>3260 - Stock Based Compensation</t>
  </si>
  <si>
    <t>Opening balance equity</t>
  </si>
  <si>
    <t>Net cash provided by financing activities</t>
  </si>
  <si>
    <t>Cash Flow from Financing</t>
  </si>
  <si>
    <t>Net cash increase for period</t>
  </si>
  <si>
    <t>Net Change in Cash</t>
  </si>
  <si>
    <t>BREAKDOWN OF LONG-TERM LIABILITIES</t>
  </si>
  <si>
    <t>Total 2800 Long Term Liabilities</t>
  </si>
  <si>
    <t>2800 Exclude Previous SAFE Conversion</t>
  </si>
  <si>
    <t>2800 Exclude Balance to Accrual</t>
  </si>
  <si>
    <t>SAFE Balance</t>
  </si>
  <si>
    <t>2800 SAFE Conversion Balance to Accrual</t>
  </si>
  <si>
    <t>Balance Sheet</t>
  </si>
  <si>
    <t>ASSETS</t>
  </si>
  <si>
    <t>Current Assets</t>
  </si>
  <si>
    <t>Bank Accounts</t>
  </si>
  <si>
    <t>1010 Savings Account - GSI</t>
  </si>
  <si>
    <t>1010</t>
  </si>
  <si>
    <t>-</t>
  </si>
  <si>
    <t>1011 Business Adv Relationship - 2820 - 1</t>
  </si>
  <si>
    <t>1011</t>
  </si>
  <si>
    <t>1012 BOA LLC Checking Account 4944</t>
  </si>
  <si>
    <t>1012</t>
  </si>
  <si>
    <t>1013 BOA LLC Savings Account 8535</t>
  </si>
  <si>
    <t>1013</t>
  </si>
  <si>
    <t>1014 Merrill Acct 2014</t>
  </si>
  <si>
    <t>1014</t>
  </si>
  <si>
    <t>1015 XGS Working Acct 5959</t>
  </si>
  <si>
    <t>1015</t>
  </si>
  <si>
    <t>1016 XGS Operational Checking-1915</t>
  </si>
  <si>
    <t>1016</t>
  </si>
  <si>
    <t>1017 IBDDA Checking-1928</t>
  </si>
  <si>
    <t>1017</t>
  </si>
  <si>
    <t>1018 SVB 8931</t>
  </si>
  <si>
    <t>1018</t>
  </si>
  <si>
    <t>1071 Bill.com Money In Clearing</t>
  </si>
  <si>
    <t>1071</t>
  </si>
  <si>
    <t>1072 Bill.com Money Out Clearing</t>
  </si>
  <si>
    <t>1072</t>
  </si>
  <si>
    <t>1019 SVB 3393</t>
  </si>
  <si>
    <t>Total Bank Accounts</t>
  </si>
  <si>
    <t>Cash</t>
  </si>
  <si>
    <t>Accounts Receivable</t>
  </si>
  <si>
    <t>1200 Accounts Receivable</t>
  </si>
  <si>
    <t>Total Accounts Receivable</t>
  </si>
  <si>
    <t>Other Current Assets</t>
  </si>
  <si>
    <t>1400 Prepaid expenses &amp; Other Current Assets</t>
  </si>
  <si>
    <t>1410 Prepaid Insurance</t>
  </si>
  <si>
    <t>1430 Prepaid Repairs and Maintenance</t>
  </si>
  <si>
    <t>1440 Prepaid Rent</t>
  </si>
  <si>
    <t>1455 Prepaid Licenses</t>
  </si>
  <si>
    <t>Total 1400 Prepaid expenses &amp; Other Current Assets</t>
  </si>
  <si>
    <t>Uncategorized Asset</t>
  </si>
  <si>
    <t>Total Other Current Assets</t>
  </si>
  <si>
    <t>Total Current Assets</t>
  </si>
  <si>
    <t>Fixed Assets</t>
  </si>
  <si>
    <t>1600 Accumulated depreciation</t>
  </si>
  <si>
    <t>1600</t>
  </si>
  <si>
    <t>1640 ACCUM DEPR Computer Equipment</t>
  </si>
  <si>
    <t>1650 ACCUM DEPR Furniture &amp; Fixtures</t>
  </si>
  <si>
    <t>Total 1600 Accumulated depreciation</t>
  </si>
  <si>
    <t>Total Fixed Assets</t>
  </si>
  <si>
    <t>Other Assets</t>
  </si>
  <si>
    <t>1700 Non- Current Receivables</t>
  </si>
  <si>
    <t>1700</t>
  </si>
  <si>
    <t>1730 NCA Retainage Withheld</t>
  </si>
  <si>
    <t>1730</t>
  </si>
  <si>
    <t>Total 1700 Non- Current Receivables</t>
  </si>
  <si>
    <t>1961 Deferred Finance Fees-Accumulated Amortization</t>
  </si>
  <si>
    <t>Total Other Assets</t>
  </si>
  <si>
    <t>TOTAL ASSETS</t>
  </si>
  <si>
    <t>LIABILITIES AND EQUITY</t>
  </si>
  <si>
    <t>Liabilities</t>
  </si>
  <si>
    <t>Current Liabilities</t>
  </si>
  <si>
    <t>Accounts Payable</t>
  </si>
  <si>
    <t>2110 A/P Trade</t>
  </si>
  <si>
    <t>2110</t>
  </si>
  <si>
    <t>2120 A/P Accrued Accounts Payable</t>
  </si>
  <si>
    <t>2140 AP Credit Card-SVB</t>
  </si>
  <si>
    <t>Total 2100 Accounts Payable (A/P)</t>
  </si>
  <si>
    <t>Total Accounts Payable</t>
  </si>
  <si>
    <t>Other Current Liabilities</t>
  </si>
  <si>
    <t>2200 Accrued Compensation &amp; Related Items</t>
  </si>
  <si>
    <t>2200</t>
  </si>
  <si>
    <t>2210 Accrued Payroll</t>
  </si>
  <si>
    <t>Total 2200 Accrued Compensation &amp; Related Items</t>
  </si>
  <si>
    <t>2275 Unearned Revenue</t>
  </si>
  <si>
    <t>2280 Expenses From LLC</t>
  </si>
  <si>
    <t>2280</t>
  </si>
  <si>
    <t>2295 Accrued Interest</t>
  </si>
  <si>
    <t>Total Other Current Liabilities</t>
  </si>
  <si>
    <t>Total Current Liabilities</t>
  </si>
  <si>
    <t>Long-Term Liabilities</t>
  </si>
  <si>
    <t>Debt</t>
  </si>
  <si>
    <t>SVB Loan</t>
  </si>
  <si>
    <t>Total Long-Term Liabilities</t>
  </si>
  <si>
    <t>Total Liabilities</t>
  </si>
  <si>
    <t>3100 Common stock</t>
  </si>
  <si>
    <t>3100</t>
  </si>
  <si>
    <t>3150 Common Stock APIC</t>
  </si>
  <si>
    <t>3150</t>
  </si>
  <si>
    <t>Total 3100 Common stock</t>
  </si>
  <si>
    <t>3210 Cost of Financing - Series A</t>
  </si>
  <si>
    <t>3250 Preferred Stock APIC</t>
  </si>
  <si>
    <t>Total 3200 Preferred stock - Series A</t>
  </si>
  <si>
    <t>3260 Stock Based Compensation</t>
  </si>
  <si>
    <t>3260</t>
  </si>
  <si>
    <t>3300 Additional Paid in capital</t>
  </si>
  <si>
    <t>3300</t>
  </si>
  <si>
    <t>3500 Members Contributions</t>
  </si>
  <si>
    <t>3500</t>
  </si>
  <si>
    <t>3900 Retained Earnings</t>
  </si>
  <si>
    <t>3900</t>
  </si>
  <si>
    <t>Treasury stock</t>
  </si>
  <si>
    <t>Total Equity</t>
  </si>
  <si>
    <t>TOTAL LIABILITIES AND EQUITY</t>
  </si>
  <si>
    <t>Adjustments</t>
  </si>
  <si>
    <t>2800 Other Long Term Liabilities (Excl Capuano)</t>
  </si>
  <si>
    <t>2800 Other Long Term Liabilities (Capuano Only)</t>
  </si>
  <si>
    <t>(All values in $000)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</si>
  <si>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</si>
  <si>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</si>
  <si>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</si>
  <si>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</si>
  <si>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</si>
  <si>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</si>
  <si>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</si>
  <si>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</si>
  <si>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</si>
  <si>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</si>
  <si>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</si>
  <si>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Operations</t>
  </si>
  <si>
    <t>Opex</t>
  </si>
  <si>
    <t>Project &amp; Financing Expenses</t>
  </si>
  <si>
    <t>Devex Reimbursements</t>
  </si>
  <si>
    <t>Equitized Wells</t>
  </si>
  <si>
    <t>Equitized Well Reimbursements</t>
  </si>
  <si>
    <t>Unleverred Cashflows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</si>
</sst>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#,##0.00\ _€"/>
    <numFmt numFmtId="166" formatCode="#,##0_);\(#,##0\);_(* &quot;-&quot;_)"/>
    <numFmt numFmtId="167" formatCode="#,##0.0%_);\(#,##0.0%\)"/>
    <numFmt numFmtId="168" formatCode="#,##0.0_);\(#,##0.0\);_(* &quot;-&quot;_)"/>
    <numFmt numFmtId="169" formatCode="#,##0.00_);\(#,##0.00\);_(* &quot;-&quot;_)"/>
    <numFmt numFmtId="170" formatCode="#,##0.0\x"/>
    <numFmt numFmtId="171" formatCode="&quot;Year &quot;0"/>
  </numFmts>
  <fonts count="4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2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11"/>
      <color theme="1" tint="0.499984740745262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8"/>
      <color rgb="FF0000FF"/>
      <name val="Arial"/>
      <family val="2"/>
    </font>
    <font>
      <sz val="8"/>
      <color rgb="FF000000"/>
      <name val="Arial"/>
      <family val="2"/>
    </font>
    <font>
      <b/>
      <sz val="9"/>
      <color rgb="FF0000FF"/>
      <name val="Arial"/>
      <family val="2"/>
    </font>
    <font>
      <b/>
      <sz val="9"/>
      <color rgb="FFFF0000"/>
      <name val="Arial"/>
      <family val="2"/>
    </font>
    <font>
      <b/>
      <sz val="9"/>
      <color rgb="FF000000"/>
      <name val="Arial"/>
      <family val="2"/>
    </font>
    <font>
      <sz val="9"/>
      <color theme="2" tint="-9.9978637043366805E-2"/>
      <name val="Arial"/>
      <family val="2"/>
    </font>
    <font>
      <sz val="11"/>
      <color theme="2" tint="-9.9978637043366805E-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1" tint="0.499984740745262"/>
      <name val="Aptos Narrow"/>
      <family val="2"/>
      <scheme val="minor"/>
    </font>
    <font>
      <i/>
      <sz val="11"/>
      <color rgb="FF008000"/>
      <name val="Aptos Narrow"/>
      <family val="2"/>
      <scheme val="minor"/>
    </font>
    <font>
      <b/>
      <sz val="11"/>
      <color theme="1" tint="0.499984740745262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5"/>
      <color rgb="FFE57D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rgb="FF002CFF"/>
      <name val="Aptos Narrow"/>
      <family val="2"/>
      <scheme val="minor"/>
    </font>
    <font>
      <sz val="8"/>
      <color indexed="8"/>
      <name val="Aptos Narrow"/>
      <family val="2"/>
      <scheme val="minor"/>
    </font>
    <font>
      <sz val="8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B9EEE8"/>
        <bgColor indexed="64"/>
      </patternFill>
    </fill>
    <fill>
      <patternFill patternType="solid">
        <fgColor rgb="FFE57D00"/>
        <bgColor indexed="64"/>
      </patternFill>
    </fill>
    <fill>
      <patternFill patternType="solid">
        <fgColor rgb="FF1F2B3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0" fillId="0" borderId="0"/>
    <xf numFmtId="0" fontId="13" fillId="0" borderId="1"/>
    <xf numFmtId="0" fontId="38" fillId="0" borderId="0" applyNumberFormat="0" applyFill="0" applyBorder="0" applyAlignment="0" applyProtection="0"/>
  </cellStyleXfs>
  <cellXfs count="249">
    <xf numFmtId="0" fontId="0" fillId="0" borderId="0" xfId="0"/>
    <xf numFmtId="0" fontId="4" fillId="2" borderId="0" xfId="0" applyFont="1" applyFill="1"/>
    <xf numFmtId="0" fontId="5" fillId="0" borderId="0" xfId="3"/>
    <xf numFmtId="0" fontId="8" fillId="0" borderId="0" xfId="3" applyFont="1" applyAlignment="1">
      <alignment horizontal="left" wrapText="1"/>
    </xf>
    <xf numFmtId="164" fontId="9" fillId="0" borderId="0" xfId="4" applyNumberFormat="1" applyFont="1" applyAlignment="1">
      <alignment wrapText="1"/>
    </xf>
    <xf numFmtId="164" fontId="0" fillId="0" borderId="0" xfId="4" applyNumberFormat="1" applyFont="1"/>
    <xf numFmtId="165" fontId="9" fillId="0" borderId="0" xfId="3" applyNumberFormat="1" applyFont="1" applyAlignment="1">
      <alignment wrapText="1"/>
    </xf>
    <xf numFmtId="166" fontId="8" fillId="0" borderId="0" xfId="3" applyNumberFormat="1" applyFont="1" applyAlignment="1">
      <alignment horizontal="left"/>
    </xf>
    <xf numFmtId="166" fontId="9" fillId="0" borderId="0" xfId="3" applyNumberFormat="1" applyFont="1"/>
    <xf numFmtId="166" fontId="8" fillId="0" borderId="2" xfId="4" applyNumberFormat="1" applyFont="1" applyBorder="1" applyAlignment="1">
      <alignment horizontal="right"/>
    </xf>
    <xf numFmtId="166" fontId="8" fillId="0" borderId="2" xfId="3" applyNumberFormat="1" applyFont="1" applyBorder="1" applyAlignment="1">
      <alignment horizontal="right"/>
    </xf>
    <xf numFmtId="166" fontId="9" fillId="0" borderId="0" xfId="4" applyNumberFormat="1" applyFont="1" applyAlignment="1"/>
    <xf numFmtId="166" fontId="9" fillId="0" borderId="0" xfId="4" applyNumberFormat="1" applyFont="1" applyAlignment="1">
      <alignment wrapText="1"/>
    </xf>
    <xf numFmtId="166" fontId="8" fillId="0" borderId="2" xfId="4" applyNumberFormat="1" applyFont="1" applyBorder="1" applyAlignment="1">
      <alignment horizontal="right" wrapText="1"/>
    </xf>
    <xf numFmtId="166" fontId="5" fillId="0" borderId="0" xfId="3" applyNumberFormat="1"/>
    <xf numFmtId="0" fontId="2" fillId="2" borderId="0" xfId="0" applyFont="1" applyFill="1"/>
    <xf numFmtId="9" fontId="0" fillId="0" borderId="0" xfId="2" applyFont="1"/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166" fontId="0" fillId="0" borderId="0" xfId="0" applyNumberFormat="1"/>
    <xf numFmtId="0" fontId="3" fillId="0" borderId="0" xfId="0" applyFont="1"/>
    <xf numFmtId="166" fontId="16" fillId="0" borderId="0" xfId="0" applyNumberFormat="1" applyFont="1"/>
    <xf numFmtId="0" fontId="16" fillId="0" borderId="0" xfId="0" applyFont="1"/>
    <xf numFmtId="0" fontId="15" fillId="0" borderId="0" xfId="0" quotePrefix="1" applyFont="1"/>
    <xf numFmtId="0" fontId="15" fillId="0" borderId="0" xfId="0" applyFont="1"/>
    <xf numFmtId="0" fontId="0" fillId="3" borderId="0" xfId="0" applyFill="1"/>
    <xf numFmtId="0" fontId="16" fillId="4" borderId="0" xfId="0" applyFont="1" applyFill="1"/>
    <xf numFmtId="0" fontId="0" fillId="4" borderId="0" xfId="0" applyFill="1"/>
    <xf numFmtId="166" fontId="18" fillId="0" borderId="0" xfId="0" applyNumberFormat="1" applyFont="1"/>
    <xf numFmtId="14" fontId="16" fillId="0" borderId="0" xfId="0" applyNumberFormat="1" applyFont="1"/>
    <xf numFmtId="14" fontId="0" fillId="0" borderId="0" xfId="4" applyNumberFormat="1" applyFont="1"/>
    <xf numFmtId="0" fontId="0" fillId="5" borderId="0" xfId="0" applyFill="1"/>
    <xf numFmtId="14" fontId="17" fillId="5" borderId="0" xfId="0" applyNumberFormat="1" applyFont="1" applyFill="1"/>
    <xf numFmtId="14" fontId="0" fillId="5" borderId="0" xfId="0" applyNumberFormat="1" applyFill="1"/>
    <xf numFmtId="166" fontId="0" fillId="5" borderId="0" xfId="0" applyNumberFormat="1" applyFill="1"/>
    <xf numFmtId="166" fontId="18" fillId="5" borderId="0" xfId="0" applyNumberFormat="1" applyFont="1" applyFill="1"/>
    <xf numFmtId="0" fontId="0" fillId="2" borderId="0" xfId="0" applyFill="1"/>
    <xf numFmtId="0" fontId="8" fillId="0" borderId="0" xfId="3" applyFont="1" applyAlignment="1">
      <alignment horizontal="left" wrapText="1" indent="1"/>
    </xf>
    <xf numFmtId="0" fontId="8" fillId="0" borderId="0" xfId="3" applyFont="1" applyAlignment="1">
      <alignment horizontal="left" wrapText="1" indent="2"/>
    </xf>
    <xf numFmtId="0" fontId="8" fillId="0" borderId="0" xfId="3" applyFont="1" applyAlignment="1">
      <alignment horizontal="left" indent="1"/>
    </xf>
    <xf numFmtId="166" fontId="9" fillId="0" borderId="0" xfId="0" applyNumberFormat="1" applyFont="1" applyAlignment="1">
      <alignment wrapText="1"/>
    </xf>
    <xf numFmtId="166" fontId="8" fillId="0" borderId="2" xfId="0" applyNumberFormat="1" applyFont="1" applyBorder="1" applyAlignment="1">
      <alignment horizontal="right" wrapText="1"/>
    </xf>
    <xf numFmtId="0" fontId="0" fillId="0" borderId="2" xfId="0" applyBorder="1"/>
    <xf numFmtId="0" fontId="15" fillId="0" borderId="2" xfId="0" quotePrefix="1" applyFont="1" applyBorder="1"/>
    <xf numFmtId="166" fontId="20" fillId="0" borderId="0" xfId="4" applyNumberFormat="1" applyFont="1" applyAlignment="1">
      <alignment wrapText="1"/>
    </xf>
    <xf numFmtId="166" fontId="20" fillId="0" borderId="0" xfId="4" applyNumberFormat="1" applyFont="1" applyAlignment="1">
      <alignment horizontal="right" wrapText="1"/>
    </xf>
    <xf numFmtId="166" fontId="20" fillId="0" borderId="0" xfId="4" applyNumberFormat="1" applyFont="1" applyAlignment="1"/>
    <xf numFmtId="166" fontId="11" fillId="0" borderId="0" xfId="4" applyNumberFormat="1" applyFont="1" applyAlignment="1"/>
    <xf numFmtId="166" fontId="21" fillId="0" borderId="0" xfId="4" applyNumberFormat="1" applyFont="1" applyAlignment="1">
      <alignment wrapText="1"/>
    </xf>
    <xf numFmtId="166" fontId="14" fillId="0" borderId="2" xfId="4" applyNumberFormat="1" applyFont="1" applyBorder="1" applyAlignment="1">
      <alignment horizontal="right" wrapText="1"/>
    </xf>
    <xf numFmtId="166" fontId="21" fillId="0" borderId="0" xfId="4" applyNumberFormat="1" applyFont="1" applyAlignment="1">
      <alignment horizontal="right" wrapText="1"/>
    </xf>
    <xf numFmtId="166" fontId="21" fillId="0" borderId="0" xfId="4" applyNumberFormat="1" applyFont="1" applyAlignment="1"/>
    <xf numFmtId="166" fontId="21" fillId="0" borderId="0" xfId="3" applyNumberFormat="1" applyFont="1"/>
    <xf numFmtId="0" fontId="18" fillId="0" borderId="0" xfId="3" applyFont="1"/>
    <xf numFmtId="164" fontId="27" fillId="0" borderId="0" xfId="4" applyNumberFormat="1" applyFont="1"/>
    <xf numFmtId="0" fontId="28" fillId="0" borderId="0" xfId="3" applyFont="1"/>
    <xf numFmtId="169" fontId="18" fillId="5" borderId="0" xfId="0" applyNumberFormat="1" applyFont="1" applyFill="1"/>
    <xf numFmtId="166" fontId="20" fillId="0" borderId="0" xfId="0" applyNumberFormat="1" applyFont="1" applyAlignment="1">
      <alignment horizontal="right" wrapText="1"/>
    </xf>
    <xf numFmtId="166" fontId="20" fillId="0" borderId="0" xfId="0" applyNumberFormat="1" applyFont="1" applyAlignment="1">
      <alignment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left" indent="2"/>
    </xf>
    <xf numFmtId="166" fontId="21" fillId="0" borderId="0" xfId="0" applyNumberFormat="1" applyFont="1" applyAlignment="1">
      <alignment horizontal="right" wrapText="1"/>
    </xf>
    <xf numFmtId="166" fontId="21" fillId="0" borderId="0" xfId="0" applyNumberFormat="1" applyFont="1" applyAlignment="1">
      <alignment wrapText="1"/>
    </xf>
    <xf numFmtId="166" fontId="14" fillId="0" borderId="2" xfId="0" applyNumberFormat="1" applyFont="1" applyBorder="1" applyAlignment="1">
      <alignment horizontal="right" wrapText="1"/>
    </xf>
    <xf numFmtId="166" fontId="14" fillId="0" borderId="0" xfId="0" applyNumberFormat="1" applyFont="1" applyAlignment="1">
      <alignment horizontal="right" wrapText="1"/>
    </xf>
    <xf numFmtId="0" fontId="19" fillId="6" borderId="0" xfId="3" applyFont="1" applyFill="1" applyAlignment="1">
      <alignment wrapText="1"/>
    </xf>
    <xf numFmtId="14" fontId="22" fillId="6" borderId="0" xfId="4" applyNumberFormat="1" applyFont="1" applyFill="1" applyBorder="1" applyAlignment="1">
      <alignment horizontal="right" wrapText="1"/>
    </xf>
    <xf numFmtId="0" fontId="5" fillId="6" borderId="0" xfId="3" applyFill="1"/>
    <xf numFmtId="14" fontId="23" fillId="6" borderId="0" xfId="4" applyNumberFormat="1" applyFont="1" applyFill="1" applyBorder="1" applyAlignment="1">
      <alignment horizontal="right" wrapText="1"/>
    </xf>
    <xf numFmtId="14" fontId="24" fillId="6" borderId="0" xfId="4" applyNumberFormat="1" applyFont="1" applyFill="1" applyBorder="1" applyAlignment="1">
      <alignment horizontal="right" wrapText="1"/>
    </xf>
    <xf numFmtId="0" fontId="5" fillId="6" borderId="0" xfId="3" applyFill="1" applyAlignment="1">
      <alignment wrapText="1"/>
    </xf>
    <xf numFmtId="14" fontId="25" fillId="6" borderId="0" xfId="4" applyNumberFormat="1" applyFont="1" applyFill="1" applyBorder="1" applyAlignment="1">
      <alignment horizontal="right" wrapText="1"/>
    </xf>
    <xf numFmtId="0" fontId="26" fillId="6" borderId="0" xfId="3" applyFont="1" applyFill="1"/>
    <xf numFmtId="0" fontId="5" fillId="6" borderId="1" xfId="3" applyFill="1" applyBorder="1" applyAlignment="1">
      <alignment wrapText="1"/>
    </xf>
    <xf numFmtId="0" fontId="19" fillId="6" borderId="1" xfId="3" applyFont="1" applyFill="1" applyBorder="1" applyAlignment="1">
      <alignment wrapText="1"/>
    </xf>
    <xf numFmtId="14" fontId="25" fillId="6" borderId="1" xfId="4" applyNumberFormat="1" applyFont="1" applyFill="1" applyBorder="1" applyAlignment="1">
      <alignment horizontal="right" wrapText="1"/>
    </xf>
    <xf numFmtId="0" fontId="9" fillId="4" borderId="0" xfId="3" applyFont="1" applyFill="1" applyAlignment="1">
      <alignment horizontal="left"/>
    </xf>
    <xf numFmtId="0" fontId="21" fillId="4" borderId="0" xfId="3" applyFont="1" applyFill="1" applyAlignment="1">
      <alignment horizontal="left"/>
    </xf>
    <xf numFmtId="0" fontId="11" fillId="4" borderId="0" xfId="5" applyFont="1" applyFill="1" applyAlignment="1">
      <alignment horizontal="left"/>
    </xf>
    <xf numFmtId="0" fontId="19" fillId="6" borderId="1" xfId="3" applyFont="1" applyFill="1" applyBorder="1"/>
    <xf numFmtId="14" fontId="22" fillId="6" borderId="1" xfId="4" applyNumberFormat="1" applyFont="1" applyFill="1" applyBorder="1" applyAlignment="1">
      <alignment horizontal="right" wrapText="1"/>
    </xf>
    <xf numFmtId="14" fontId="23" fillId="6" borderId="1" xfId="4" applyNumberFormat="1" applyFont="1" applyFill="1" applyBorder="1" applyAlignment="1">
      <alignment horizontal="right" wrapText="1"/>
    </xf>
    <xf numFmtId="0" fontId="5" fillId="6" borderId="1" xfId="3" applyFill="1" applyBorder="1"/>
    <xf numFmtId="14" fontId="24" fillId="6" borderId="1" xfId="4" applyNumberFormat="1" applyFont="1" applyFill="1" applyBorder="1" applyAlignment="1">
      <alignment horizontal="right" wrapText="1"/>
    </xf>
    <xf numFmtId="166" fontId="20" fillId="0" borderId="0" xfId="4" applyNumberFormat="1" applyFont="1" applyAlignment="1">
      <alignment horizontal="right"/>
    </xf>
    <xf numFmtId="166" fontId="20" fillId="0" borderId="0" xfId="3" applyNumberFormat="1" applyFont="1" applyAlignment="1">
      <alignment horizontal="right"/>
    </xf>
    <xf numFmtId="166" fontId="20" fillId="0" borderId="0" xfId="3" applyNumberFormat="1" applyFont="1"/>
    <xf numFmtId="166" fontId="8" fillId="0" borderId="0" xfId="3" applyNumberFormat="1" applyFont="1" applyAlignment="1">
      <alignment horizontal="left" indent="1"/>
    </xf>
    <xf numFmtId="166" fontId="8" fillId="0" borderId="0" xfId="3" applyNumberFormat="1" applyFont="1" applyAlignment="1">
      <alignment horizontal="left" indent="2"/>
    </xf>
    <xf numFmtId="166" fontId="8" fillId="0" borderId="0" xfId="3" applyNumberFormat="1" applyFont="1" applyAlignment="1">
      <alignment horizontal="left" indent="3"/>
    </xf>
    <xf numFmtId="166" fontId="8" fillId="0" borderId="0" xfId="3" applyNumberFormat="1" applyFont="1" applyAlignment="1">
      <alignment horizontal="left" indent="4"/>
    </xf>
    <xf numFmtId="166" fontId="8" fillId="0" borderId="0" xfId="3" applyNumberFormat="1" applyFont="1" applyAlignment="1">
      <alignment horizontal="left" indent="5"/>
    </xf>
    <xf numFmtId="166" fontId="21" fillId="0" borderId="0" xfId="3" applyNumberFormat="1" applyFont="1" applyAlignment="1">
      <alignment horizontal="right"/>
    </xf>
    <xf numFmtId="166" fontId="14" fillId="0" borderId="2" xfId="4" applyNumberFormat="1" applyFont="1" applyBorder="1" applyAlignment="1">
      <alignment horizontal="right"/>
    </xf>
    <xf numFmtId="166" fontId="14" fillId="0" borderId="2" xfId="3" applyNumberFormat="1" applyFont="1" applyBorder="1" applyAlignment="1">
      <alignment horizontal="right"/>
    </xf>
    <xf numFmtId="0" fontId="14" fillId="0" borderId="0" xfId="3" applyFont="1" applyAlignment="1">
      <alignment horizontal="left" wrapText="1" indent="1"/>
    </xf>
    <xf numFmtId="0" fontId="12" fillId="0" borderId="0" xfId="5" applyFont="1" applyAlignment="1">
      <alignment horizontal="left" wrapText="1" indent="1"/>
    </xf>
    <xf numFmtId="166" fontId="0" fillId="0" borderId="2" xfId="0" applyNumberFormat="1" applyBorder="1"/>
    <xf numFmtId="166" fontId="17" fillId="0" borderId="0" xfId="0" applyNumberFormat="1" applyFont="1"/>
    <xf numFmtId="0" fontId="29" fillId="0" borderId="0" xfId="0" applyFont="1"/>
    <xf numFmtId="0" fontId="30" fillId="0" borderId="0" xfId="0" quotePrefix="1" applyFont="1"/>
    <xf numFmtId="166" fontId="31" fillId="0" borderId="0" xfId="0" applyNumberFormat="1" applyFont="1"/>
    <xf numFmtId="0" fontId="0" fillId="0" borderId="3" xfId="0" applyBorder="1"/>
    <xf numFmtId="0" fontId="15" fillId="0" borderId="3" xfId="0" quotePrefix="1" applyFont="1" applyBorder="1"/>
    <xf numFmtId="166" fontId="0" fillId="0" borderId="3" xfId="0" applyNumberFormat="1" applyBorder="1"/>
    <xf numFmtId="166" fontId="0" fillId="4" borderId="0" xfId="0" applyNumberFormat="1" applyFill="1"/>
    <xf numFmtId="166" fontId="15" fillId="4" borderId="0" xfId="0" applyNumberFormat="1" applyFont="1" applyFill="1"/>
    <xf numFmtId="166" fontId="15" fillId="4" borderId="2" xfId="0" applyNumberFormat="1" applyFont="1" applyFill="1" applyBorder="1"/>
    <xf numFmtId="0" fontId="15" fillId="4" borderId="0" xfId="0" applyFont="1" applyFill="1"/>
    <xf numFmtId="166" fontId="30" fillId="4" borderId="0" xfId="0" applyNumberFormat="1" applyFont="1" applyFill="1"/>
    <xf numFmtId="166" fontId="15" fillId="4" borderId="3" xfId="0" applyNumberFormat="1" applyFont="1" applyFill="1" applyBorder="1"/>
    <xf numFmtId="14" fontId="18" fillId="5" borderId="0" xfId="0" applyNumberFormat="1" applyFont="1" applyFill="1"/>
    <xf numFmtId="0" fontId="18" fillId="3" borderId="0" xfId="0" applyFont="1" applyFill="1"/>
    <xf numFmtId="166" fontId="18" fillId="3" borderId="0" xfId="0" applyNumberFormat="1" applyFont="1" applyFill="1"/>
    <xf numFmtId="166" fontId="18" fillId="3" borderId="2" xfId="0" applyNumberFormat="1" applyFont="1" applyFill="1" applyBorder="1"/>
    <xf numFmtId="166" fontId="18" fillId="3" borderId="3" xfId="0" applyNumberFormat="1" applyFont="1" applyFill="1" applyBorder="1"/>
    <xf numFmtId="166" fontId="16" fillId="3" borderId="0" xfId="0" applyNumberFormat="1" applyFont="1" applyFill="1"/>
    <xf numFmtId="166" fontId="17" fillId="3" borderId="0" xfId="0" applyNumberFormat="1" applyFont="1" applyFill="1"/>
    <xf numFmtId="166" fontId="31" fillId="3" borderId="0" xfId="0" applyNumberFormat="1" applyFont="1" applyFill="1"/>
    <xf numFmtId="166" fontId="29" fillId="6" borderId="0" xfId="0" applyNumberFormat="1" applyFont="1" applyFill="1"/>
    <xf numFmtId="166" fontId="30" fillId="6" borderId="0" xfId="0" quotePrefix="1" applyNumberFormat="1" applyFont="1" applyFill="1"/>
    <xf numFmtId="166" fontId="30" fillId="6" borderId="0" xfId="0" applyNumberFormat="1" applyFont="1" applyFill="1"/>
    <xf numFmtId="0" fontId="0" fillId="0" borderId="0" xfId="0" applyAlignment="1">
      <alignment horizontal="right"/>
    </xf>
    <xf numFmtId="166" fontId="0" fillId="3" borderId="0" xfId="0" applyNumberFormat="1" applyFill="1"/>
    <xf numFmtId="166" fontId="0" fillId="3" borderId="2" xfId="0" applyNumberFormat="1" applyFill="1" applyBorder="1"/>
    <xf numFmtId="0" fontId="0" fillId="4" borderId="2" xfId="0" applyFill="1" applyBorder="1"/>
    <xf numFmtId="0" fontId="0" fillId="0" borderId="2" xfId="0" applyBorder="1" applyAlignment="1">
      <alignment horizontal="right"/>
    </xf>
    <xf numFmtId="166" fontId="16" fillId="0" borderId="2" xfId="0" applyNumberFormat="1" applyFont="1" applyBorder="1" applyAlignment="1">
      <alignment horizontal="right"/>
    </xf>
    <xf numFmtId="0" fontId="3" fillId="0" borderId="3" xfId="0" applyFont="1" applyBorder="1"/>
    <xf numFmtId="0" fontId="32" fillId="0" borderId="3" xfId="0" quotePrefix="1" applyFont="1" applyBorder="1"/>
    <xf numFmtId="166" fontId="32" fillId="4" borderId="3" xfId="0" applyNumberFormat="1" applyFont="1" applyFill="1" applyBorder="1"/>
    <xf numFmtId="0" fontId="29" fillId="0" borderId="0" xfId="0" applyFont="1" applyAlignment="1">
      <alignment horizontal="right"/>
    </xf>
    <xf numFmtId="0" fontId="29" fillId="4" borderId="0" xfId="0" applyFont="1" applyFill="1"/>
    <xf numFmtId="166" fontId="3" fillId="3" borderId="3" xfId="0" applyNumberFormat="1" applyFont="1" applyFill="1" applyBorder="1"/>
    <xf numFmtId="166" fontId="29" fillId="3" borderId="0" xfId="0" applyNumberFormat="1" applyFont="1" applyFill="1"/>
    <xf numFmtId="166" fontId="17" fillId="0" borderId="2" xfId="0" applyNumberFormat="1" applyFont="1" applyBorder="1" applyAlignment="1">
      <alignment horizontal="right"/>
    </xf>
    <xf numFmtId="0" fontId="18" fillId="0" borderId="0" xfId="0" applyFont="1"/>
    <xf numFmtId="0" fontId="18" fillId="0" borderId="2" xfId="0" applyFont="1" applyBorder="1"/>
    <xf numFmtId="0" fontId="33" fillId="0" borderId="0" xfId="0" applyFont="1"/>
    <xf numFmtId="0" fontId="18" fillId="0" borderId="3" xfId="0" applyFont="1" applyBorder="1"/>
    <xf numFmtId="0" fontId="18" fillId="2" borderId="0" xfId="0" applyFont="1" applyFill="1"/>
    <xf numFmtId="0" fontId="34" fillId="0" borderId="3" xfId="0" applyFont="1" applyBorder="1"/>
    <xf numFmtId="166" fontId="18" fillId="0" borderId="2" xfId="0" applyNumberFormat="1" applyFont="1" applyBorder="1"/>
    <xf numFmtId="167" fontId="0" fillId="3" borderId="0" xfId="0" applyNumberFormat="1" applyFill="1"/>
    <xf numFmtId="166" fontId="17" fillId="4" borderId="0" xfId="0" applyNumberFormat="1" applyFont="1" applyFill="1"/>
    <xf numFmtId="166" fontId="0" fillId="4" borderId="3" xfId="0" applyNumberFormat="1" applyFill="1" applyBorder="1"/>
    <xf numFmtId="166" fontId="18" fillId="0" borderId="3" xfId="0" applyNumberFormat="1" applyFont="1" applyBorder="1"/>
    <xf numFmtId="0" fontId="0" fillId="0" borderId="3" xfId="0" applyBorder="1" applyAlignment="1">
      <alignment horizontal="right"/>
    </xf>
    <xf numFmtId="166" fontId="17" fillId="3" borderId="3" xfId="0" applyNumberFormat="1" applyFont="1" applyFill="1" applyBorder="1"/>
    <xf numFmtId="0" fontId="32" fillId="0" borderId="0" xfId="0" quotePrefix="1" applyFont="1"/>
    <xf numFmtId="0" fontId="3" fillId="0" borderId="2" xfId="0" applyFont="1" applyBorder="1"/>
    <xf numFmtId="0" fontId="17" fillId="0" borderId="0" xfId="0" applyFont="1"/>
    <xf numFmtId="0" fontId="18" fillId="5" borderId="0" xfId="0" applyFont="1" applyFill="1"/>
    <xf numFmtId="166" fontId="18" fillId="4" borderId="0" xfId="0" applyNumberFormat="1" applyFont="1" applyFill="1"/>
    <xf numFmtId="167" fontId="17" fillId="0" borderId="0" xfId="0" applyNumberFormat="1" applyFont="1"/>
    <xf numFmtId="168" fontId="17" fillId="0" borderId="0" xfId="0" applyNumberFormat="1" applyFont="1"/>
    <xf numFmtId="167" fontId="33" fillId="0" borderId="0" xfId="0" applyNumberFormat="1" applyFont="1"/>
    <xf numFmtId="167" fontId="16" fillId="0" borderId="0" xfId="0" applyNumberFormat="1" applyFont="1"/>
    <xf numFmtId="167" fontId="0" fillId="0" borderId="0" xfId="0" applyNumberFormat="1"/>
    <xf numFmtId="166" fontId="16" fillId="4" borderId="0" xfId="0" applyNumberFormat="1" applyFont="1" applyFill="1"/>
    <xf numFmtId="166" fontId="31" fillId="4" borderId="0" xfId="0" applyNumberFormat="1" applyFont="1" applyFill="1"/>
    <xf numFmtId="0" fontId="18" fillId="4" borderId="0" xfId="0" applyFont="1" applyFill="1"/>
    <xf numFmtId="9" fontId="18" fillId="0" borderId="3" xfId="2" applyFont="1" applyBorder="1"/>
    <xf numFmtId="9" fontId="0" fillId="0" borderId="3" xfId="2" applyFont="1" applyBorder="1"/>
    <xf numFmtId="0" fontId="34" fillId="0" borderId="2" xfId="0" applyFont="1" applyBorder="1"/>
    <xf numFmtId="0" fontId="32" fillId="0" borderId="2" xfId="0" quotePrefix="1" applyFont="1" applyBorder="1"/>
    <xf numFmtId="166" fontId="32" fillId="4" borderId="2" xfId="0" applyNumberFormat="1" applyFont="1" applyFill="1" applyBorder="1"/>
    <xf numFmtId="166" fontId="34" fillId="0" borderId="2" xfId="0" applyNumberFormat="1" applyFont="1" applyBorder="1"/>
    <xf numFmtId="0" fontId="34" fillId="0" borderId="0" xfId="0" applyFont="1"/>
    <xf numFmtId="166" fontId="32" fillId="4" borderId="0" xfId="0" applyNumberFormat="1" applyFont="1" applyFill="1"/>
    <xf numFmtId="166" fontId="34" fillId="0" borderId="0" xfId="0" applyNumberFormat="1" applyFont="1"/>
    <xf numFmtId="166" fontId="18" fillId="0" borderId="3" xfId="2" applyNumberFormat="1" applyFont="1" applyFill="1" applyBorder="1"/>
    <xf numFmtId="0" fontId="30" fillId="0" borderId="0" xfId="0" applyFont="1"/>
    <xf numFmtId="167" fontId="30" fillId="0" borderId="0" xfId="0" applyNumberFormat="1" applyFont="1"/>
    <xf numFmtId="17" fontId="0" fillId="0" borderId="0" xfId="0" applyNumberFormat="1"/>
    <xf numFmtId="166" fontId="17" fillId="0" borderId="0" xfId="0" applyNumberFormat="1" applyFont="1" applyAlignment="1">
      <alignment horizontal="right"/>
    </xf>
    <xf numFmtId="166" fontId="34" fillId="0" borderId="3" xfId="0" applyNumberFormat="1" applyFont="1" applyBorder="1"/>
    <xf numFmtId="166" fontId="18" fillId="4" borderId="2" xfId="0" applyNumberFormat="1" applyFont="1" applyFill="1" applyBorder="1"/>
    <xf numFmtId="0" fontId="2" fillId="0" borderId="0" xfId="0" applyFont="1"/>
    <xf numFmtId="0" fontId="0" fillId="4" borderId="3" xfId="0" applyFill="1" applyBorder="1"/>
    <xf numFmtId="6" fontId="15" fillId="0" borderId="0" xfId="0" quotePrefix="1" applyNumberFormat="1" applyFont="1"/>
    <xf numFmtId="170" fontId="0" fillId="0" borderId="0" xfId="0" applyNumberFormat="1"/>
    <xf numFmtId="0" fontId="4" fillId="0" borderId="0" xfId="0" applyFont="1"/>
    <xf numFmtId="0" fontId="3" fillId="4" borderId="4" xfId="0" applyFont="1" applyFill="1" applyBorder="1" applyAlignment="1">
      <alignment horizontal="right"/>
    </xf>
    <xf numFmtId="166" fontId="16" fillId="0" borderId="0" xfId="0" applyNumberFormat="1" applyFont="1" applyAlignment="1">
      <alignment horizontal="right"/>
    </xf>
    <xf numFmtId="166" fontId="3" fillId="0" borderId="4" xfId="0" applyNumberFormat="1" applyFont="1" applyBorder="1"/>
    <xf numFmtId="166" fontId="3" fillId="0" borderId="5" xfId="0" applyNumberFormat="1" applyFont="1" applyBorder="1"/>
    <xf numFmtId="167" fontId="17" fillId="0" borderId="2" xfId="0" applyNumberFormat="1" applyFont="1" applyBorder="1"/>
    <xf numFmtId="166" fontId="16" fillId="4" borderId="2" xfId="0" applyNumberFormat="1" applyFont="1" applyFill="1" applyBorder="1"/>
    <xf numFmtId="166" fontId="31" fillId="6" borderId="0" xfId="0" applyNumberFormat="1" applyFont="1" applyFill="1"/>
    <xf numFmtId="166" fontId="35" fillId="0" borderId="0" xfId="0" applyNumberFormat="1" applyFont="1"/>
    <xf numFmtId="166" fontId="17" fillId="0" borderId="2" xfId="0" applyNumberFormat="1" applyFont="1" applyBorder="1"/>
    <xf numFmtId="168" fontId="17" fillId="0" borderId="0" xfId="0" applyNumberFormat="1" applyFont="1" applyAlignment="1">
      <alignment horizontal="right"/>
    </xf>
    <xf numFmtId="14" fontId="0" fillId="0" borderId="0" xfId="0" applyNumberFormat="1"/>
    <xf numFmtId="0" fontId="37" fillId="0" borderId="0" xfId="0" applyFont="1"/>
    <xf numFmtId="0" fontId="27" fillId="0" borderId="0" xfId="0" applyFont="1"/>
    <xf numFmtId="0" fontId="10" fillId="0" borderId="0" xfId="0" applyFont="1"/>
    <xf numFmtId="0" fontId="37" fillId="0" borderId="1" xfId="0" applyFont="1" applyBorder="1"/>
    <xf numFmtId="0" fontId="38" fillId="0" borderId="0" xfId="7"/>
    <xf numFmtId="0" fontId="0" fillId="7" borderId="0" xfId="0" applyFill="1"/>
    <xf numFmtId="0" fontId="36" fillId="7" borderId="0" xfId="0" applyFont="1" applyFill="1"/>
    <xf numFmtId="9" fontId="0" fillId="8" borderId="0" xfId="2" applyFont="1" applyFill="1"/>
    <xf numFmtId="0" fontId="39" fillId="0" borderId="0" xfId="0" applyFont="1"/>
    <xf numFmtId="0" fontId="3" fillId="3" borderId="0" xfId="0" applyFont="1" applyFill="1"/>
    <xf numFmtId="0" fontId="27" fillId="0" borderId="0" xfId="0" applyFont="1" applyAlignment="1">
      <alignment wrapText="1"/>
    </xf>
    <xf numFmtId="168" fontId="16" fillId="0" borderId="0" xfId="0" applyNumberFormat="1" applyFont="1"/>
    <xf numFmtId="14" fontId="16" fillId="5" borderId="0" xfId="0" applyNumberFormat="1" applyFont="1" applyFill="1"/>
    <xf numFmtId="166" fontId="18" fillId="0" borderId="0" xfId="2" applyNumberFormat="1" applyFont="1" applyFill="1" applyBorder="1"/>
    <xf numFmtId="167" fontId="17" fillId="0" borderId="0" xfId="0" applyNumberFormat="1" applyFont="1" applyAlignment="1">
      <alignment horizontal="right"/>
    </xf>
    <xf numFmtId="0" fontId="40" fillId="2" borderId="0" xfId="0" applyFont="1" applyFill="1"/>
    <xf numFmtId="171" fontId="0" fillId="0" borderId="0" xfId="0" applyNumberFormat="1"/>
    <xf numFmtId="171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6" fontId="0" fillId="0" borderId="0" xfId="1" applyNumberFormat="1" applyFont="1" applyAlignment="1">
      <alignment vertical="center"/>
    </xf>
    <xf numFmtId="0" fontId="0" fillId="6" borderId="0" xfId="0" applyFill="1" applyAlignment="1">
      <alignment horizontal="left" vertical="center"/>
    </xf>
    <xf numFmtId="166" fontId="0" fillId="6" borderId="0" xfId="1" applyNumberFormat="1" applyFont="1" applyFill="1" applyAlignment="1">
      <alignment vertical="center"/>
    </xf>
    <xf numFmtId="0" fontId="29" fillId="9" borderId="0" xfId="0" applyFont="1" applyFill="1" applyAlignment="1">
      <alignment horizontal="left" vertical="center"/>
    </xf>
    <xf numFmtId="167" fontId="29" fillId="9" borderId="0" xfId="0" applyNumberFormat="1" applyFont="1" applyFill="1" applyAlignment="1">
      <alignment vertical="center"/>
    </xf>
    <xf numFmtId="0" fontId="2" fillId="10" borderId="0" xfId="0" applyFont="1" applyFill="1" applyAlignment="1">
      <alignment horizontal="left" vertical="center"/>
    </xf>
    <xf numFmtId="166" fontId="2" fillId="10" borderId="0" xfId="1" applyNumberFormat="1" applyFont="1" applyFill="1" applyAlignment="1">
      <alignment vertical="center"/>
    </xf>
    <xf numFmtId="9" fontId="41" fillId="8" borderId="0" xfId="2" applyFont="1" applyFill="1"/>
    <xf numFmtId="166" fontId="42" fillId="0" borderId="0" xfId="0" applyNumberFormat="1" applyFont="1"/>
    <xf numFmtId="166" fontId="35" fillId="0" borderId="2" xfId="0" applyNumberFormat="1" applyFont="1" applyBorder="1"/>
    <xf numFmtId="0" fontId="14" fillId="0" borderId="0" xfId="0" applyFont="1" applyAlignment="1">
      <alignment horizontal="left" wrapText="1"/>
    </xf>
    <xf numFmtId="166" fontId="8" fillId="0" borderId="0" xfId="4" applyNumberFormat="1" applyFont="1" applyBorder="1" applyAlignment="1">
      <alignment horizontal="right" wrapText="1"/>
    </xf>
    <xf numFmtId="166" fontId="14" fillId="0" borderId="0" xfId="4" applyNumberFormat="1" applyFont="1" applyBorder="1" applyAlignment="1">
      <alignment horizontal="right" wrapText="1"/>
    </xf>
    <xf numFmtId="166" fontId="9" fillId="0" borderId="0" xfId="4" applyNumberFormat="1" applyFont="1" applyBorder="1" applyAlignment="1">
      <alignment horizontal="right" wrapText="1"/>
    </xf>
    <xf numFmtId="4" fontId="43" fillId="0" borderId="0" xfId="3" applyNumberFormat="1" applyFont="1"/>
    <xf numFmtId="166" fontId="12" fillId="0" borderId="6" xfId="4" applyNumberFormat="1" applyFont="1" applyBorder="1" applyAlignment="1"/>
    <xf numFmtId="166" fontId="21" fillId="0" borderId="0" xfId="4" applyNumberFormat="1" applyFont="1" applyBorder="1" applyAlignment="1">
      <alignment horizontal="right" wrapText="1"/>
    </xf>
    <xf numFmtId="3" fontId="5" fillId="0" borderId="0" xfId="3" applyNumberFormat="1"/>
    <xf numFmtId="166" fontId="8" fillId="0" borderId="0" xfId="4" applyNumberFormat="1" applyFont="1" applyBorder="1" applyAlignment="1">
      <alignment horizontal="right"/>
    </xf>
    <xf numFmtId="166" fontId="14" fillId="0" borderId="0" xfId="4" applyNumberFormat="1" applyFont="1" applyBorder="1" applyAlignment="1">
      <alignment horizontal="right"/>
    </xf>
    <xf numFmtId="166" fontId="20" fillId="0" borderId="0" xfId="4" applyNumberFormat="1" applyFont="1" applyFill="1" applyAlignment="1">
      <alignment horizontal="right"/>
    </xf>
    <xf numFmtId="0" fontId="8" fillId="0" borderId="0" xfId="0" applyFont="1" applyAlignment="1">
      <alignment horizontal="left" indent="3"/>
    </xf>
    <xf numFmtId="166" fontId="8" fillId="0" borderId="0" xfId="0" applyNumberFormat="1" applyFont="1" applyAlignment="1">
      <alignment horizontal="right" wrapText="1"/>
    </xf>
    <xf numFmtId="0" fontId="17" fillId="3" borderId="0" xfId="0" applyFont="1" applyFill="1"/>
    <xf numFmtId="0" fontId="8" fillId="4" borderId="0" xfId="3" applyFont="1" applyFill="1" applyAlignment="1">
      <alignment horizontal="left"/>
    </xf>
    <xf numFmtId="0" fontId="12" fillId="4" borderId="0" xfId="5" applyFont="1" applyFill="1" applyAlignment="1">
      <alignment horizontal="left"/>
    </xf>
    <xf numFmtId="166" fontId="0" fillId="0" borderId="0" xfId="0" applyNumberFormat="1" applyAlignment="1">
      <alignment horizontal="right"/>
    </xf>
    <xf numFmtId="166" fontId="17" fillId="3" borderId="2" xfId="0" applyNumberFormat="1" applyFont="1" applyFill="1" applyBorder="1"/>
    <xf numFmtId="166" fontId="16" fillId="0" borderId="2" xfId="0" applyNumberFormat="1" applyFont="1" applyBorder="1"/>
    <xf numFmtId="166" fontId="0" fillId="0" borderId="2" xfId="0" applyNumberFormat="1" applyBorder="1" applyAlignment="1">
      <alignment horizontal="right"/>
    </xf>
    <xf numFmtId="166" fontId="44" fillId="0" borderId="0" xfId="0" applyNumberFormat="1" applyFont="1" applyAlignment="1">
      <alignment horizontal="right" wrapText="1"/>
    </xf>
    <xf numFmtId="166" fontId="4" fillId="0" borderId="0" xfId="0" applyNumberFormat="1" applyFont="1"/>
    <xf numFmtId="0" fontId="27" fillId="0" borderId="2" xfId="0" applyFont="1" applyBorder="1" applyAlignment="1">
      <alignment wrapText="1"/>
    </xf>
  </cellXfs>
  <cellStyles count="8">
    <cellStyle name="Comma" xfId="1" builtinId="3"/>
    <cellStyle name="Comma 2" xfId="4" xr:uid="{847028DD-8E96-483D-A870-7E89317DED63}"/>
    <cellStyle name="HeaderCellStyle" xfId="6" xr:uid="{FEDBAF2C-D5CA-42E7-89BF-B21A87884F12}"/>
    <cellStyle name="Hyperlink" xfId="7" builtinId="8"/>
    <cellStyle name="Normal" xfId="0" builtinId="0"/>
    <cellStyle name="Normal 2" xfId="3" xr:uid="{FDD42473-9B37-410C-B8E0-8E4320B7AB0B}"/>
    <cellStyle name="Normal 2 2" xfId="5" xr:uid="{02DE2542-1BB2-4AEA-B7B5-BB0076C5F570}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_);\(#,##0\);_(* &quot;-&quot;_)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_);\(#,##0\);_(* &quot;-&quot;_)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_);\(#,##0\);_(* &quot;-&quot;_)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_);\(#,##0\);_(* &quot;-&quot;_)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_);\(#,##0\);_(* &quot;-&quot;_)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_);\(#,##0\);_(* &quot;-&quot;_)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_);\(#,##0\);_(* &quot;-&quot;_)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_);\(#,##0\);_(* &quot;-&quot;_)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_);\(#,##0\);_(* &quot;-&quot;_)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_);\(#,##0\);_(* &quot;-&quot;_)"/>
      <alignment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1" formatCode="&quot;Year &quot;0"/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71" formatCode="&quot;Year &quot;0"/>
      <fill>
        <patternFill patternType="solid">
          <fgColor indexed="64"/>
          <bgColor theme="4"/>
        </patternFill>
      </fill>
      <alignment vertical="center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F0DAA14B-E928-4452-81FA-2CDFABCDE153}"/>
  </tableStyles>
  <colors>
    <mruColors>
      <color rgb="FFE57D00"/>
      <color rgb="FF1F2B38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220980</xdr:colOff>
      <xdr:row>18</xdr:row>
      <xdr:rowOff>97790</xdr:rowOff>
    </xdr:from>
    <xdr:to>
      <xdr:col>13</xdr:col>
      <xdr:colOff>535940</xdr:colOff>
      <xdr:row>23</xdr:row>
      <xdr:rowOff>5715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8DB478-F361-9228-2934-9C917E3BA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5580" y="3496310"/>
          <a:ext cx="1534160" cy="841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eothermicsolution.sharepoint.com/sites/XGSEnergy/Shared%20Documents/03%20Commercial/Financial%20Models/Enterprise%20Model/XGS%20Enterprise%20Model_vLatest.xlsx" TargetMode="External"/><Relationship Id="rId1" Type="http://schemas.openxmlformats.org/officeDocument/2006/relationships/externalLinkPath" Target="https://geothermicsolution.sharepoint.com/sites/XGSEnergy/Shared%20Documents/03%20Commercial/Financial%20Models/Enterprise%20Model/XGS%20Enterprise%20Model_vLa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lidated Model &gt;"/>
      <sheetName val="Inputs &amp; Outputs"/>
      <sheetName val="Outputs"/>
      <sheetName val="PnL Model (A)"/>
      <sheetName val="Cons Hist &amp; Forecast (Q)"/>
      <sheetName val="Growth Rnd Forecast (M)"/>
      <sheetName val="FY25 Forecast (M)"/>
      <sheetName val="Hist PnL (M)"/>
      <sheetName val="Reference &gt;"/>
      <sheetName val="Cost Forecast (v2)"/>
      <sheetName val="Growth Rd Forecast (v2)"/>
      <sheetName val="FY24 Actual + FY25 Forecast"/>
      <sheetName val="Historical FS Inputs&gt;"/>
      <sheetName val="Historical IS"/>
      <sheetName val="Historical BS"/>
      <sheetName val="Historical C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>
        <row r="3">
          <cell r="H3">
            <v>45382</v>
          </cell>
          <cell r="I3">
            <v>45382</v>
          </cell>
          <cell r="J3">
            <v>45382</v>
          </cell>
          <cell r="K3">
            <v>45473</v>
          </cell>
          <cell r="L3">
            <v>45473</v>
          </cell>
          <cell r="M3">
            <v>45473</v>
          </cell>
          <cell r="N3">
            <v>45565</v>
          </cell>
          <cell r="O3">
            <v>45565</v>
          </cell>
          <cell r="P3">
            <v>45565</v>
          </cell>
          <cell r="Q3">
            <v>45657</v>
          </cell>
          <cell r="R3">
            <v>45657</v>
          </cell>
          <cell r="S3">
            <v>45657</v>
          </cell>
          <cell r="T3">
            <v>45747</v>
          </cell>
          <cell r="U3">
            <v>45747</v>
          </cell>
          <cell r="V3">
            <v>45747</v>
          </cell>
        </row>
        <row r="11">
          <cell r="C11" t="str">
            <v>Revenue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</row>
        <row r="13"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</row>
        <row r="14">
          <cell r="C14" t="str">
            <v>New Headcount (FTE)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</row>
        <row r="15">
          <cell r="C15" t="str">
            <v>Total Headcount (FTE)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</row>
        <row r="16"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</row>
        <row r="17">
          <cell r="C17" t="str">
            <v>Payroll</v>
          </cell>
          <cell r="H17">
            <v>267.37049999999999</v>
          </cell>
          <cell r="I17">
            <v>294.41314</v>
          </cell>
          <cell r="J17">
            <v>160.39341000000002</v>
          </cell>
          <cell r="K17">
            <v>143.95633999999998</v>
          </cell>
          <cell r="L17">
            <v>261.99757999999997</v>
          </cell>
          <cell r="M17">
            <v>151.31327999999999</v>
          </cell>
          <cell r="N17">
            <v>217.70439999999999</v>
          </cell>
          <cell r="O17">
            <v>204.98362000000003</v>
          </cell>
          <cell r="P17">
            <v>205.54743999999999</v>
          </cell>
          <cell r="Q17">
            <v>230.47490000000002</v>
          </cell>
          <cell r="R17">
            <v>209.97206</v>
          </cell>
          <cell r="S17">
            <v>355.23380999999995</v>
          </cell>
          <cell r="T17">
            <v>272.84825000000001</v>
          </cell>
          <cell r="U17">
            <v>406.71862000000004</v>
          </cell>
          <cell r="V17">
            <v>320.42326999999995</v>
          </cell>
        </row>
        <row r="18">
          <cell r="C18" t="str">
            <v>Overhead</v>
          </cell>
          <cell r="H18">
            <v>14.491</v>
          </cell>
          <cell r="I18">
            <v>12.28007</v>
          </cell>
          <cell r="J18">
            <v>11.739289999999999</v>
          </cell>
          <cell r="K18">
            <v>6.5651200000000003</v>
          </cell>
          <cell r="L18">
            <v>9.130510000000001</v>
          </cell>
          <cell r="M18">
            <v>9.7156699999999994</v>
          </cell>
          <cell r="N18">
            <v>11.312570000000001</v>
          </cell>
          <cell r="O18">
            <v>14.883669999999999</v>
          </cell>
          <cell r="P18">
            <v>15.50751</v>
          </cell>
          <cell r="Q18">
            <v>7.5745800000000001</v>
          </cell>
          <cell r="R18">
            <v>5.3662600000000005</v>
          </cell>
          <cell r="S18">
            <v>8.0952400000000004</v>
          </cell>
          <cell r="T18">
            <v>10.61875</v>
          </cell>
          <cell r="U18">
            <v>10.07832</v>
          </cell>
          <cell r="V18">
            <v>8.9265600000000003</v>
          </cell>
        </row>
        <row r="19"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</row>
        <row r="20">
          <cell r="C20" t="str">
            <v>Subject Matter experts</v>
          </cell>
          <cell r="H20">
            <v>20</v>
          </cell>
          <cell r="I20">
            <v>20</v>
          </cell>
          <cell r="J20">
            <v>20</v>
          </cell>
          <cell r="K20">
            <v>20</v>
          </cell>
          <cell r="L20">
            <v>20</v>
          </cell>
          <cell r="M20">
            <v>9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6.6</v>
          </cell>
        </row>
        <row r="21">
          <cell r="C21" t="str">
            <v>Software services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1.34</v>
          </cell>
          <cell r="M21">
            <v>0</v>
          </cell>
          <cell r="N21">
            <v>0</v>
          </cell>
          <cell r="O21">
            <v>0</v>
          </cell>
          <cell r="P21">
            <v>5.1167199999999999</v>
          </cell>
          <cell r="Q21">
            <v>5.1167199999999999</v>
          </cell>
          <cell r="R21">
            <v>5.1167199999999999</v>
          </cell>
          <cell r="S21">
            <v>5.1167199999999999</v>
          </cell>
          <cell r="T21">
            <v>5.1167199999999999</v>
          </cell>
          <cell r="U21">
            <v>5.1167199999999999</v>
          </cell>
          <cell r="V21">
            <v>5.1167199999999999</v>
          </cell>
        </row>
        <row r="22">
          <cell r="C22" t="str">
            <v>Eng services</v>
          </cell>
          <cell r="H22">
            <v>6.8250000000000002</v>
          </cell>
          <cell r="I22">
            <v>6.9375</v>
          </cell>
          <cell r="J22">
            <v>10.5</v>
          </cell>
          <cell r="K22">
            <v>31.475000000000001</v>
          </cell>
          <cell r="L22">
            <v>43.637500000000003</v>
          </cell>
          <cell r="M22">
            <v>0</v>
          </cell>
          <cell r="N22">
            <v>7</v>
          </cell>
          <cell r="O22">
            <v>31.574999999999999</v>
          </cell>
          <cell r="P22">
            <v>12.1</v>
          </cell>
          <cell r="Q22">
            <v>12.75</v>
          </cell>
          <cell r="R22">
            <v>13.5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C23" t="str">
            <v>General Research</v>
          </cell>
          <cell r="H23">
            <v>0</v>
          </cell>
          <cell r="I23">
            <v>0</v>
          </cell>
          <cell r="J23">
            <v>0</v>
          </cell>
          <cell r="K23">
            <v>0.32558999999999999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12.824999999999999</v>
          </cell>
          <cell r="U23">
            <v>0</v>
          </cell>
          <cell r="V23">
            <v>21.6</v>
          </cell>
        </row>
        <row r="24">
          <cell r="C24" t="str">
            <v>Total Technical Consultants</v>
          </cell>
          <cell r="H24">
            <v>26.824999999999999</v>
          </cell>
          <cell r="I24">
            <v>26.9375</v>
          </cell>
          <cell r="J24">
            <v>30.5</v>
          </cell>
          <cell r="K24">
            <v>51.80059</v>
          </cell>
          <cell r="L24">
            <v>64.977500000000006</v>
          </cell>
          <cell r="M24">
            <v>9</v>
          </cell>
          <cell r="N24">
            <v>7</v>
          </cell>
          <cell r="O24">
            <v>31.574999999999999</v>
          </cell>
          <cell r="P24">
            <v>17.216719999999999</v>
          </cell>
          <cell r="Q24">
            <v>17.866720000000001</v>
          </cell>
          <cell r="R24">
            <v>18.616720000000001</v>
          </cell>
          <cell r="S24">
            <v>5.1167199999999999</v>
          </cell>
          <cell r="T24">
            <v>17.94172</v>
          </cell>
          <cell r="U24">
            <v>5.1167199999999999</v>
          </cell>
          <cell r="V24">
            <v>33.316720000000004</v>
          </cell>
        </row>
        <row r="25"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</row>
        <row r="26">
          <cell r="C26" t="str">
            <v>PR</v>
          </cell>
          <cell r="H26">
            <v>7.9179599999999999</v>
          </cell>
          <cell r="I26">
            <v>27.087479999999999</v>
          </cell>
          <cell r="J26">
            <v>26.7164</v>
          </cell>
          <cell r="K26">
            <v>80.725719999999995</v>
          </cell>
          <cell r="L26">
            <v>32.705280000000002</v>
          </cell>
          <cell r="M26">
            <v>38.587669999999996</v>
          </cell>
          <cell r="N26">
            <v>44.965499999999999</v>
          </cell>
          <cell r="O26">
            <v>18.997769999999999</v>
          </cell>
          <cell r="P26">
            <v>38.589300000000001</v>
          </cell>
          <cell r="Q26">
            <v>47.989910000000002</v>
          </cell>
          <cell r="R26">
            <v>29.086259999999999</v>
          </cell>
          <cell r="S26">
            <v>30.435939999999999</v>
          </cell>
          <cell r="T26">
            <v>32.962870000000002</v>
          </cell>
          <cell r="U26">
            <v>0</v>
          </cell>
          <cell r="V26">
            <v>6.3E-2</v>
          </cell>
        </row>
        <row r="27">
          <cell r="C27" t="str">
            <v>Audit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11.930399999999999</v>
          </cell>
          <cell r="V27">
            <v>15.846500000000001</v>
          </cell>
        </row>
        <row r="28">
          <cell r="C28" t="str">
            <v>General Accounting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12.48</v>
          </cell>
        </row>
        <row r="29">
          <cell r="C29" t="str">
            <v>IT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5.8477299999999994</v>
          </cell>
          <cell r="V29">
            <v>2.7748000000000004</v>
          </cell>
        </row>
        <row r="30">
          <cell r="C30" t="str">
            <v>Other Consultants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20</v>
          </cell>
        </row>
        <row r="31">
          <cell r="C31" t="str">
            <v>Total Corporate Consultants</v>
          </cell>
          <cell r="H31">
            <v>7.9179599999999999</v>
          </cell>
          <cell r="I31">
            <v>27.087479999999999</v>
          </cell>
          <cell r="J31">
            <v>26.7164</v>
          </cell>
          <cell r="K31">
            <v>80.725719999999995</v>
          </cell>
          <cell r="L31">
            <v>32.705280000000002</v>
          </cell>
          <cell r="M31">
            <v>38.587669999999996</v>
          </cell>
          <cell r="N31">
            <v>44.965499999999999</v>
          </cell>
          <cell r="O31">
            <v>18.997769999999999</v>
          </cell>
          <cell r="P31">
            <v>38.589300000000001</v>
          </cell>
          <cell r="Q31">
            <v>47.989910000000002</v>
          </cell>
          <cell r="R31">
            <v>29.086259999999999</v>
          </cell>
          <cell r="S31">
            <v>30.435939999999999</v>
          </cell>
          <cell r="T31">
            <v>32.962870000000002</v>
          </cell>
          <cell r="U31">
            <v>17.778129999999997</v>
          </cell>
          <cell r="V31">
            <v>51.164299999999997</v>
          </cell>
        </row>
        <row r="32"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</row>
        <row r="33">
          <cell r="C33" t="str">
            <v>Legal Fees - Corporate</v>
          </cell>
          <cell r="H33">
            <v>0.3785</v>
          </cell>
          <cell r="I33">
            <v>14.917999999999999</v>
          </cell>
          <cell r="J33">
            <v>2.61</v>
          </cell>
          <cell r="K33">
            <v>13.077</v>
          </cell>
          <cell r="L33">
            <v>21.476500000000001</v>
          </cell>
          <cell r="M33">
            <v>6.2670000000000003</v>
          </cell>
          <cell r="N33">
            <v>3.2704499999999999</v>
          </cell>
          <cell r="O33">
            <v>8.2970000000000006</v>
          </cell>
          <cell r="P33">
            <v>16.083400000000001</v>
          </cell>
          <cell r="Q33">
            <v>22.934429999999999</v>
          </cell>
          <cell r="R33">
            <v>5.9696000000000007</v>
          </cell>
          <cell r="S33">
            <v>3.4640500000000003</v>
          </cell>
          <cell r="T33">
            <v>14.83015</v>
          </cell>
          <cell r="U33">
            <v>11.656750000000001</v>
          </cell>
          <cell r="V33">
            <v>43.723610000000001</v>
          </cell>
        </row>
        <row r="34">
          <cell r="C34" t="str">
            <v>Legal Fees - Intellectual Property</v>
          </cell>
          <cell r="H34">
            <v>1.3000000000000002E-4</v>
          </cell>
          <cell r="I34">
            <v>2.2749999999999999</v>
          </cell>
          <cell r="J34">
            <v>2.1799499999999998</v>
          </cell>
          <cell r="K34">
            <v>-26.073979999999999</v>
          </cell>
          <cell r="L34">
            <v>40.676180000000002</v>
          </cell>
          <cell r="M34">
            <v>0</v>
          </cell>
          <cell r="N34">
            <v>2.9</v>
          </cell>
          <cell r="O34">
            <v>2.8322699999999998</v>
          </cell>
          <cell r="P34">
            <v>1.5585</v>
          </cell>
          <cell r="Q34">
            <v>0</v>
          </cell>
          <cell r="R34">
            <v>3.2404999999999999</v>
          </cell>
          <cell r="S34">
            <v>4.9005000000000001</v>
          </cell>
          <cell r="T34">
            <v>0.23499999999999999</v>
          </cell>
          <cell r="U34">
            <v>0</v>
          </cell>
          <cell r="V34">
            <v>0.115</v>
          </cell>
        </row>
        <row r="35">
          <cell r="C35" t="str">
            <v>Total Legal Fees</v>
          </cell>
          <cell r="H35">
            <v>0.37863000000000002</v>
          </cell>
          <cell r="I35">
            <v>17.192999999999998</v>
          </cell>
          <cell r="J35">
            <v>4.7899499999999993</v>
          </cell>
          <cell r="K35">
            <v>-12.996979999999999</v>
          </cell>
          <cell r="L35">
            <v>62.152680000000004</v>
          </cell>
          <cell r="M35">
            <v>6.2670000000000003</v>
          </cell>
          <cell r="N35">
            <v>6.1704499999999998</v>
          </cell>
          <cell r="O35">
            <v>11.12927</v>
          </cell>
          <cell r="P35">
            <v>17.6419</v>
          </cell>
          <cell r="Q35">
            <v>22.934429999999999</v>
          </cell>
          <cell r="R35">
            <v>9.2101000000000006</v>
          </cell>
          <cell r="S35">
            <v>8.3645500000000013</v>
          </cell>
          <cell r="T35">
            <v>15.065149999999999</v>
          </cell>
          <cell r="U35">
            <v>11.656750000000001</v>
          </cell>
          <cell r="V35">
            <v>43.838610000000003</v>
          </cell>
        </row>
        <row r="36"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</row>
        <row r="37">
          <cell r="C37" t="str">
            <v>Marketing</v>
          </cell>
          <cell r="H37">
            <v>0</v>
          </cell>
          <cell r="I37">
            <v>3.84</v>
          </cell>
          <cell r="J37">
            <v>0</v>
          </cell>
          <cell r="K37">
            <v>6.1301499999999995</v>
          </cell>
          <cell r="L37">
            <v>0.92500000000000004</v>
          </cell>
          <cell r="M37">
            <v>1.7245599999999999</v>
          </cell>
          <cell r="N37">
            <v>3.125</v>
          </cell>
          <cell r="O37">
            <v>3.0059999999999998</v>
          </cell>
          <cell r="P37">
            <v>1.3671600000000002</v>
          </cell>
          <cell r="Q37">
            <v>4.0370000000000003E-2</v>
          </cell>
          <cell r="R37">
            <v>13.699919999999999</v>
          </cell>
          <cell r="S37">
            <v>4.63626</v>
          </cell>
          <cell r="T37">
            <v>0.315</v>
          </cell>
          <cell r="U37">
            <v>13.99727</v>
          </cell>
          <cell r="V37">
            <v>0.21590999999999999</v>
          </cell>
        </row>
        <row r="38">
          <cell r="C38" t="str">
            <v>Government Affairs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5</v>
          </cell>
          <cell r="O38">
            <v>2.2916599999999998</v>
          </cell>
          <cell r="P38">
            <v>42.016249999999999</v>
          </cell>
          <cell r="Q38">
            <v>20</v>
          </cell>
          <cell r="R38">
            <v>20</v>
          </cell>
          <cell r="S38">
            <v>25</v>
          </cell>
          <cell r="T38">
            <v>20</v>
          </cell>
          <cell r="U38">
            <v>0</v>
          </cell>
          <cell r="V38">
            <v>9.9749999999999996</v>
          </cell>
        </row>
        <row r="39">
          <cell r="C39" t="str">
            <v>T&amp;E</v>
          </cell>
          <cell r="H39">
            <v>16.106330000000003</v>
          </cell>
          <cell r="I39">
            <v>18.831559999999996</v>
          </cell>
          <cell r="J39">
            <v>26.822090000000003</v>
          </cell>
          <cell r="K39">
            <v>50.230779999999996</v>
          </cell>
          <cell r="L39">
            <v>18.80301</v>
          </cell>
          <cell r="M39">
            <v>14.722299999999999</v>
          </cell>
          <cell r="N39">
            <v>19.044360000000001</v>
          </cell>
          <cell r="O39">
            <v>8.5446199999999983</v>
          </cell>
          <cell r="P39">
            <v>12.54801</v>
          </cell>
          <cell r="Q39">
            <v>11.88941</v>
          </cell>
          <cell r="R39">
            <v>14.778930000000001</v>
          </cell>
          <cell r="S39">
            <v>11.305649999999998</v>
          </cell>
          <cell r="T39">
            <v>31.527609999999999</v>
          </cell>
          <cell r="U39">
            <v>48.11733000000001</v>
          </cell>
          <cell r="V39">
            <v>5.3640600000000003</v>
          </cell>
        </row>
        <row r="40">
          <cell r="C40" t="str">
            <v>Insurance</v>
          </cell>
          <cell r="H40">
            <v>2.8926999999999996</v>
          </cell>
          <cell r="I40">
            <v>2.8926999999999996</v>
          </cell>
          <cell r="J40">
            <v>2.96306</v>
          </cell>
          <cell r="K40">
            <v>2.8926999999999996</v>
          </cell>
          <cell r="L40">
            <v>2.8926999999999996</v>
          </cell>
          <cell r="M40">
            <v>2.8926999999999996</v>
          </cell>
          <cell r="N40">
            <v>2.8926999999999996</v>
          </cell>
          <cell r="O40">
            <v>27.09995</v>
          </cell>
          <cell r="P40">
            <v>27.636680000000002</v>
          </cell>
          <cell r="Q40">
            <v>27.636680000000002</v>
          </cell>
          <cell r="R40">
            <v>27.636580000000002</v>
          </cell>
          <cell r="S40">
            <v>27.83015</v>
          </cell>
          <cell r="T40">
            <v>0</v>
          </cell>
          <cell r="U40">
            <v>0</v>
          </cell>
          <cell r="V40">
            <v>0</v>
          </cell>
        </row>
        <row r="41">
          <cell r="C41" t="str">
            <v>Office</v>
          </cell>
          <cell r="H41">
            <v>13.533689999999998</v>
          </cell>
          <cell r="I41">
            <v>14.114739999999999</v>
          </cell>
          <cell r="J41">
            <v>22.291830000000001</v>
          </cell>
          <cell r="K41">
            <v>29.253420000000002</v>
          </cell>
          <cell r="L41">
            <v>21.71002</v>
          </cell>
          <cell r="M41">
            <v>17.80264</v>
          </cell>
          <cell r="N41">
            <v>20.09958</v>
          </cell>
          <cell r="O41">
            <v>22.784520000000001</v>
          </cell>
          <cell r="P41">
            <v>21.523389999999999</v>
          </cell>
          <cell r="Q41">
            <v>18.733609999999995</v>
          </cell>
          <cell r="R41">
            <v>17.757639999999999</v>
          </cell>
          <cell r="S41">
            <v>17.225439999999999</v>
          </cell>
          <cell r="T41">
            <v>17.436499999999999</v>
          </cell>
          <cell r="U41">
            <v>17.243410000000001</v>
          </cell>
          <cell r="V41">
            <v>17.48704</v>
          </cell>
        </row>
        <row r="42">
          <cell r="C42" t="str">
            <v>Capitalized Office Expense</v>
          </cell>
          <cell r="H42">
            <v>0</v>
          </cell>
          <cell r="I42">
            <v>-1</v>
          </cell>
          <cell r="J42">
            <v>12.24957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20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9.8059999999999992</v>
          </cell>
          <cell r="V42">
            <v>0</v>
          </cell>
        </row>
        <row r="43">
          <cell r="C43" t="str">
            <v>Other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0.5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28.329930000000001</v>
          </cell>
          <cell r="U43">
            <v>28.270109999999999</v>
          </cell>
          <cell r="V43">
            <v>27.83015</v>
          </cell>
        </row>
        <row r="44">
          <cell r="C44" t="str">
            <v>Total Other Expenses</v>
          </cell>
          <cell r="H44">
            <v>32.532720000000005</v>
          </cell>
          <cell r="I44">
            <v>38.678999999999995</v>
          </cell>
          <cell r="J44">
            <v>64.326550000000012</v>
          </cell>
          <cell r="K44">
            <v>88.507049999999992</v>
          </cell>
          <cell r="L44">
            <v>44.830730000000003</v>
          </cell>
          <cell r="M44">
            <v>37.142200000000003</v>
          </cell>
          <cell r="N44">
            <v>50.161640000000006</v>
          </cell>
          <cell r="O44">
            <v>63.726749999999996</v>
          </cell>
          <cell r="P44">
            <v>125.09148999999999</v>
          </cell>
          <cell r="Q44">
            <v>78.300070000000005</v>
          </cell>
          <cell r="R44">
            <v>93.873069999999998</v>
          </cell>
          <cell r="S44">
            <v>85.997500000000002</v>
          </cell>
          <cell r="T44">
            <v>97.609040000000007</v>
          </cell>
          <cell r="U44">
            <v>117.43412000000001</v>
          </cell>
          <cell r="V44">
            <v>60.872159999999994</v>
          </cell>
        </row>
        <row r="45"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</row>
        <row r="46">
          <cell r="C46" t="str">
            <v>Total Expenses</v>
          </cell>
          <cell r="H46">
            <v>349.51580999999993</v>
          </cell>
          <cell r="I46">
            <v>416.59019000000001</v>
          </cell>
          <cell r="J46">
            <v>298.46560000000005</v>
          </cell>
          <cell r="K46">
            <v>358.55784</v>
          </cell>
          <cell r="L46">
            <v>475.79428000000007</v>
          </cell>
          <cell r="M46">
            <v>252.02581999999998</v>
          </cell>
          <cell r="N46">
            <v>337.31456000000003</v>
          </cell>
          <cell r="O46">
            <v>345.29608000000002</v>
          </cell>
          <cell r="P46">
            <v>419.59436000000005</v>
          </cell>
          <cell r="Q46">
            <v>405.14061000000004</v>
          </cell>
          <cell r="R46">
            <v>366.12446999999997</v>
          </cell>
          <cell r="S46">
            <v>493.24375999999995</v>
          </cell>
          <cell r="T46">
            <v>447.04577999999998</v>
          </cell>
          <cell r="U46">
            <v>568.78266000000008</v>
          </cell>
          <cell r="V46">
            <v>518.54161999999997</v>
          </cell>
        </row>
        <row r="47">
          <cell r="C47" t="str">
            <v>Total Operating Expenses</v>
          </cell>
          <cell r="H47">
            <v>349.51581000000004</v>
          </cell>
          <cell r="I47">
            <v>417.59018999999989</v>
          </cell>
          <cell r="J47">
            <v>286.21603000000016</v>
          </cell>
          <cell r="K47">
            <v>358.55783999999989</v>
          </cell>
          <cell r="L47">
            <v>475.7942799999999</v>
          </cell>
          <cell r="M47">
            <v>252.02581999999984</v>
          </cell>
          <cell r="N47">
            <v>337.31456000000003</v>
          </cell>
          <cell r="O47">
            <v>345.29607999999996</v>
          </cell>
          <cell r="P47">
            <v>399.59436000000034</v>
          </cell>
          <cell r="Q47">
            <v>405.14060999999987</v>
          </cell>
          <cell r="R47">
            <v>366.12447000000003</v>
          </cell>
          <cell r="S47">
            <v>493.24375999999984</v>
          </cell>
          <cell r="T47">
            <v>447.04578000000026</v>
          </cell>
          <cell r="U47">
            <v>558.97666000000004</v>
          </cell>
          <cell r="V47">
            <v>518.54161999999985</v>
          </cell>
        </row>
        <row r="48">
          <cell r="C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</row>
        <row r="49">
          <cell r="C49" t="str">
            <v>CHECK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</row>
        <row r="51">
          <cell r="C51" t="str">
            <v>Operating Profit</v>
          </cell>
          <cell r="H51">
            <v>-349.51580999999993</v>
          </cell>
          <cell r="I51">
            <v>-416.59019000000001</v>
          </cell>
          <cell r="J51">
            <v>-298.46560000000005</v>
          </cell>
          <cell r="K51">
            <v>-358.55784</v>
          </cell>
          <cell r="L51">
            <v>-475.79428000000007</v>
          </cell>
          <cell r="M51">
            <v>-252.02581999999998</v>
          </cell>
          <cell r="N51">
            <v>-337.31456000000003</v>
          </cell>
          <cell r="O51">
            <v>-345.29608000000002</v>
          </cell>
          <cell r="P51">
            <v>-419.59436000000005</v>
          </cell>
          <cell r="Q51">
            <v>-405.14061000000004</v>
          </cell>
          <cell r="R51">
            <v>-366.12446999999997</v>
          </cell>
          <cell r="S51">
            <v>-493.24375999999995</v>
          </cell>
          <cell r="T51">
            <v>-447.04577999999998</v>
          </cell>
          <cell r="U51">
            <v>-568.78266000000008</v>
          </cell>
          <cell r="V51">
            <v>-518.54161999999997</v>
          </cell>
        </row>
        <row r="52"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</row>
        <row r="53"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</row>
        <row r="54">
          <cell r="C54" t="str">
            <v>R&amp;D</v>
          </cell>
          <cell r="H54">
            <v>127.33802</v>
          </cell>
          <cell r="I54">
            <v>97.821130000000011</v>
          </cell>
          <cell r="J54">
            <v>41.897280000000002</v>
          </cell>
          <cell r="K54">
            <v>133.15423999999999</v>
          </cell>
          <cell r="L54">
            <v>24.170800000000003</v>
          </cell>
          <cell r="M54">
            <v>356.09997999999996</v>
          </cell>
          <cell r="N54">
            <v>166.89553999999998</v>
          </cell>
          <cell r="O54">
            <v>44.490300000000005</v>
          </cell>
          <cell r="P54">
            <v>17.012499999999999</v>
          </cell>
          <cell r="Q54">
            <v>185.43836999999999</v>
          </cell>
          <cell r="R54">
            <v>168.06539000000001</v>
          </cell>
          <cell r="S54">
            <v>0</v>
          </cell>
          <cell r="T54">
            <v>40.73798</v>
          </cell>
          <cell r="U54">
            <v>117.715</v>
          </cell>
          <cell r="V54">
            <v>27.695040000000002</v>
          </cell>
        </row>
        <row r="55">
          <cell r="C55" t="str">
            <v>Capitalized R&amp;D</v>
          </cell>
          <cell r="H55">
            <v>0</v>
          </cell>
          <cell r="I55">
            <v>64.400210000000001</v>
          </cell>
          <cell r="J55">
            <v>25.306139999999999</v>
          </cell>
          <cell r="K55">
            <v>49.308590000000002</v>
          </cell>
          <cell r="L55">
            <v>30.169190000000004</v>
          </cell>
          <cell r="M55">
            <v>0</v>
          </cell>
          <cell r="N55">
            <v>21.09731</v>
          </cell>
          <cell r="O55">
            <v>103.31705000000001</v>
          </cell>
          <cell r="P55">
            <v>45.894489999999998</v>
          </cell>
          <cell r="Q55">
            <v>28.926729999999999</v>
          </cell>
          <cell r="R55">
            <v>73.876460000000009</v>
          </cell>
          <cell r="S55">
            <v>67.937449999999998</v>
          </cell>
          <cell r="T55">
            <v>31.222000000000001</v>
          </cell>
          <cell r="U55">
            <v>0</v>
          </cell>
          <cell r="V55">
            <v>64.097059999999999</v>
          </cell>
        </row>
        <row r="56">
          <cell r="C56" t="str">
            <v>Prototype - Brownfield Demo</v>
          </cell>
          <cell r="H56">
            <v>8.4578700000000016</v>
          </cell>
          <cell r="I56">
            <v>16</v>
          </cell>
          <cell r="J56">
            <v>480.66629</v>
          </cell>
          <cell r="K56">
            <v>276.22384999999997</v>
          </cell>
          <cell r="L56">
            <v>62.380330000000001</v>
          </cell>
          <cell r="M56">
            <v>468.60730000000001</v>
          </cell>
          <cell r="N56">
            <v>1198.3943200000001</v>
          </cell>
          <cell r="O56">
            <v>679.38807999999995</v>
          </cell>
          <cell r="P56">
            <v>2153.86285</v>
          </cell>
          <cell r="Q56">
            <v>616.52413999999999</v>
          </cell>
          <cell r="R56">
            <v>2031.6865600000001</v>
          </cell>
          <cell r="S56">
            <v>436.9522</v>
          </cell>
          <cell r="T56">
            <v>5220.3615599999994</v>
          </cell>
          <cell r="U56">
            <v>342.44785999999999</v>
          </cell>
          <cell r="V56">
            <v>2909.6013800000001</v>
          </cell>
        </row>
        <row r="57">
          <cell r="C57" t="str">
            <v>Total R&amp;D</v>
          </cell>
          <cell r="H57">
            <v>135.79589000000001</v>
          </cell>
          <cell r="I57">
            <v>178.22134</v>
          </cell>
          <cell r="J57">
            <v>547.86970999999994</v>
          </cell>
          <cell r="K57">
            <v>458.68667999999997</v>
          </cell>
          <cell r="L57">
            <v>116.72032000000002</v>
          </cell>
          <cell r="M57">
            <v>824.70727999999997</v>
          </cell>
          <cell r="N57">
            <v>1386.38717</v>
          </cell>
          <cell r="O57">
            <v>827.19542999999999</v>
          </cell>
          <cell r="P57">
            <v>2216.7698399999999</v>
          </cell>
          <cell r="Q57">
            <v>830.88923999999997</v>
          </cell>
          <cell r="R57">
            <v>2273.6284100000003</v>
          </cell>
          <cell r="S57">
            <v>504.88965000000002</v>
          </cell>
          <cell r="T57">
            <v>5292.321539999999</v>
          </cell>
          <cell r="U57">
            <v>460.16286000000002</v>
          </cell>
          <cell r="V57">
            <v>3001.3934800000002</v>
          </cell>
        </row>
        <row r="58">
          <cell r="C58" t="str">
            <v>Total R&amp;D Expenses</v>
          </cell>
          <cell r="H58">
            <v>135.79589000000001</v>
          </cell>
          <cell r="I58">
            <v>113.82113000000001</v>
          </cell>
          <cell r="J58">
            <v>522.56356999999991</v>
          </cell>
          <cell r="K58">
            <v>409.37809000000004</v>
          </cell>
          <cell r="L58">
            <v>86.551130000000001</v>
          </cell>
          <cell r="M58">
            <v>824.70728000000008</v>
          </cell>
          <cell r="N58">
            <v>1365.2898600000001</v>
          </cell>
          <cell r="O58">
            <v>723.87837999999999</v>
          </cell>
          <cell r="P58">
            <v>2170.8753500000003</v>
          </cell>
          <cell r="Q58">
            <v>801.96251000000007</v>
          </cell>
          <cell r="R58">
            <v>2199.7519499999999</v>
          </cell>
          <cell r="S58">
            <v>436.9522</v>
          </cell>
          <cell r="T58">
            <v>5261.0995400000002</v>
          </cell>
          <cell r="U58">
            <v>460.16285999999997</v>
          </cell>
          <cell r="V58">
            <v>2937.2964200000001</v>
          </cell>
        </row>
        <row r="59">
          <cell r="C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</row>
        <row r="60">
          <cell r="C60" t="str">
            <v>CHECK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</row>
        <row r="62">
          <cell r="C62" t="str">
            <v>EBITDA</v>
          </cell>
          <cell r="H62">
            <v>-485.31169999999997</v>
          </cell>
          <cell r="I62">
            <v>-594.81152999999995</v>
          </cell>
          <cell r="J62">
            <v>-846.33530999999994</v>
          </cell>
          <cell r="K62">
            <v>-817.24451999999997</v>
          </cell>
          <cell r="L62">
            <v>-592.51460000000009</v>
          </cell>
          <cell r="M62">
            <v>-1076.7330999999999</v>
          </cell>
          <cell r="N62">
            <v>-1723.70173</v>
          </cell>
          <cell r="O62">
            <v>-1172.4915100000001</v>
          </cell>
          <cell r="P62">
            <v>-2636.3642</v>
          </cell>
          <cell r="Q62">
            <v>-1236.0298499999999</v>
          </cell>
          <cell r="R62">
            <v>-2639.75288</v>
          </cell>
          <cell r="S62">
            <v>-998.13340999999991</v>
          </cell>
          <cell r="T62">
            <v>-5739.3673199999994</v>
          </cell>
          <cell r="U62">
            <v>-1028.9455200000002</v>
          </cell>
          <cell r="V62">
            <v>-3519.9351000000001</v>
          </cell>
        </row>
        <row r="63"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</row>
        <row r="64"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</row>
        <row r="65">
          <cell r="C65" t="str">
            <v>Project Development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4.0250000000000004</v>
          </cell>
          <cell r="Q65">
            <v>0</v>
          </cell>
          <cell r="R65">
            <v>3.6173000000000002</v>
          </cell>
          <cell r="S65">
            <v>1.1379999999999999</v>
          </cell>
          <cell r="T65">
            <v>0</v>
          </cell>
          <cell r="U65">
            <v>0</v>
          </cell>
          <cell r="V65">
            <v>0</v>
          </cell>
        </row>
        <row r="66">
          <cell r="C66" t="str">
            <v>Resource Evaluation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16.626000000000001</v>
          </cell>
          <cell r="N66">
            <v>25.042000000000002</v>
          </cell>
          <cell r="O66">
            <v>5.4119999999999999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C67" t="str">
            <v>Total Project Expenses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16.626000000000001</v>
          </cell>
          <cell r="N67">
            <v>25.042000000000002</v>
          </cell>
          <cell r="O67">
            <v>5.4119999999999999</v>
          </cell>
          <cell r="P67">
            <v>4.0250000000000004</v>
          </cell>
          <cell r="Q67">
            <v>0</v>
          </cell>
          <cell r="R67">
            <v>3.6173000000000002</v>
          </cell>
          <cell r="S67">
            <v>1.1379999999999999</v>
          </cell>
          <cell r="T67">
            <v>0</v>
          </cell>
          <cell r="U67">
            <v>0</v>
          </cell>
          <cell r="V67">
            <v>0</v>
          </cell>
        </row>
        <row r="68">
          <cell r="C68" t="str">
            <v>Project Expenses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4.0250000000000004</v>
          </cell>
          <cell r="Q68">
            <v>0</v>
          </cell>
          <cell r="R68">
            <v>3.6173000000000002</v>
          </cell>
          <cell r="S68">
            <v>1.1379999999999999</v>
          </cell>
          <cell r="T68">
            <v>0</v>
          </cell>
          <cell r="U68">
            <v>0</v>
          </cell>
          <cell r="V68">
            <v>0</v>
          </cell>
        </row>
        <row r="69">
          <cell r="C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</row>
        <row r="70">
          <cell r="C70" t="str">
            <v>CHECK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C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</row>
        <row r="72"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</row>
        <row r="73">
          <cell r="C73" t="str">
            <v>Purchase/(Sale) of Fixed Assets</v>
          </cell>
          <cell r="H73">
            <v>-199.523</v>
          </cell>
          <cell r="I73">
            <v>0</v>
          </cell>
          <cell r="J73">
            <v>6.8142899999999997</v>
          </cell>
          <cell r="K73">
            <v>-4.0400200000000002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C74" t="str">
            <v>Total Capex</v>
          </cell>
          <cell r="H74">
            <v>-199.523</v>
          </cell>
          <cell r="I74">
            <v>0</v>
          </cell>
          <cell r="J74">
            <v>6.8142899999999997</v>
          </cell>
          <cell r="K74">
            <v>-4.0400200000000002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</row>
        <row r="76">
          <cell r="C76" t="str">
            <v>EBITDA Less Capex &amp; Devex</v>
          </cell>
          <cell r="H76">
            <v>-285.78869999999995</v>
          </cell>
          <cell r="I76">
            <v>-594.81152999999995</v>
          </cell>
          <cell r="J76">
            <v>-853.14959999999996</v>
          </cell>
          <cell r="K76">
            <v>-813.20449999999994</v>
          </cell>
          <cell r="L76">
            <v>-592.51460000000009</v>
          </cell>
          <cell r="M76">
            <v>-1093.3590999999999</v>
          </cell>
          <cell r="N76">
            <v>-1748.7437299999999</v>
          </cell>
          <cell r="O76">
            <v>-1177.9035100000001</v>
          </cell>
          <cell r="P76">
            <v>-2640.3892000000001</v>
          </cell>
          <cell r="Q76">
            <v>-1236.0298499999999</v>
          </cell>
          <cell r="R76">
            <v>-2643.3701799999999</v>
          </cell>
          <cell r="S76">
            <v>-999.27140999999995</v>
          </cell>
          <cell r="T76">
            <v>-5739.3673199999994</v>
          </cell>
          <cell r="U76">
            <v>-1028.9455200000002</v>
          </cell>
          <cell r="V76">
            <v>-3519.9351000000001</v>
          </cell>
        </row>
        <row r="77"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</row>
        <row r="78">
          <cell r="C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</row>
        <row r="79"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</row>
        <row r="80"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</row>
        <row r="81">
          <cell r="C81" t="str">
            <v>Interest Expense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40.31288</v>
          </cell>
          <cell r="V81">
            <v>6.1222500000000002</v>
          </cell>
        </row>
        <row r="82">
          <cell r="C82" t="str">
            <v>Interest Income</v>
          </cell>
          <cell r="H82">
            <v>34.969859999999997</v>
          </cell>
          <cell r="I82">
            <v>40.894930000000002</v>
          </cell>
          <cell r="J82">
            <v>54.251429999999999</v>
          </cell>
          <cell r="K82">
            <v>58.667169999999999</v>
          </cell>
          <cell r="L82">
            <v>69.167050000000003</v>
          </cell>
          <cell r="M82">
            <v>70.23308999999999</v>
          </cell>
          <cell r="N82">
            <v>69.258710000000008</v>
          </cell>
          <cell r="O82">
            <v>63.56653</v>
          </cell>
          <cell r="P82">
            <v>56.891889999999997</v>
          </cell>
          <cell r="Q82">
            <v>50.840559999999996</v>
          </cell>
          <cell r="R82">
            <v>37.700969999999998</v>
          </cell>
          <cell r="S82">
            <v>31.923279999999998</v>
          </cell>
          <cell r="T82">
            <v>27.62865</v>
          </cell>
          <cell r="U82">
            <v>21.741569999999999</v>
          </cell>
          <cell r="V82">
            <v>13.689249999999999</v>
          </cell>
        </row>
        <row r="83">
          <cell r="C83" t="str">
            <v>Total Interest Expense / (Income)</v>
          </cell>
          <cell r="H83">
            <v>-34.969859999999997</v>
          </cell>
          <cell r="I83">
            <v>-40.894930000000002</v>
          </cell>
          <cell r="J83">
            <v>-54.251429999999999</v>
          </cell>
          <cell r="K83">
            <v>-58.667169999999999</v>
          </cell>
          <cell r="L83">
            <v>-69.167050000000003</v>
          </cell>
          <cell r="M83">
            <v>-70.23308999999999</v>
          </cell>
          <cell r="N83">
            <v>-69.258710000000008</v>
          </cell>
          <cell r="O83">
            <v>-63.56653</v>
          </cell>
          <cell r="P83">
            <v>-56.891889999999997</v>
          </cell>
          <cell r="Q83">
            <v>-50.840559999999996</v>
          </cell>
          <cell r="R83">
            <v>-37.700969999999998</v>
          </cell>
          <cell r="S83">
            <v>-31.923279999999998</v>
          </cell>
          <cell r="T83">
            <v>-27.62865</v>
          </cell>
          <cell r="U83">
            <v>18.57131</v>
          </cell>
          <cell r="V83">
            <v>-7.5669999999999993</v>
          </cell>
        </row>
        <row r="84"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</row>
        <row r="85"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</row>
        <row r="86">
          <cell r="C86" t="str">
            <v>Taxes</v>
          </cell>
          <cell r="H86">
            <v>0</v>
          </cell>
          <cell r="I86">
            <v>2.8664399999999999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2.5000000000000001E-2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19.99614</v>
          </cell>
        </row>
        <row r="87"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</row>
        <row r="88">
          <cell r="C88" t="str">
            <v>FCF</v>
          </cell>
          <cell r="H88">
            <v>-250.81883999999997</v>
          </cell>
          <cell r="I88">
            <v>-556.78303999999991</v>
          </cell>
          <cell r="J88">
            <v>-798.89816999999994</v>
          </cell>
          <cell r="K88">
            <v>-754.53732999999988</v>
          </cell>
          <cell r="L88">
            <v>-523.34755000000007</v>
          </cell>
          <cell r="M88">
            <v>-1023.12601</v>
          </cell>
          <cell r="N88">
            <v>-1679.4850199999998</v>
          </cell>
          <cell r="O88">
            <v>-1114.33698</v>
          </cell>
          <cell r="P88">
            <v>-2583.5223100000003</v>
          </cell>
          <cell r="Q88">
            <v>-1185.1892899999998</v>
          </cell>
          <cell r="R88">
            <v>-2605.66921</v>
          </cell>
          <cell r="S88">
            <v>-967.34812999999997</v>
          </cell>
          <cell r="T88">
            <v>-5711.7386699999997</v>
          </cell>
          <cell r="U88">
            <v>-1047.5168300000003</v>
          </cell>
          <cell r="V88">
            <v>-3532.3642400000003</v>
          </cell>
        </row>
        <row r="89"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</row>
        <row r="90">
          <cell r="C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</row>
        <row r="91"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</row>
        <row r="92"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</row>
        <row r="93">
          <cell r="C93" t="str">
            <v>Starting Balance</v>
          </cell>
          <cell r="H93">
            <v>3791.3040000000001</v>
          </cell>
          <cell r="I93">
            <v>12169.435649999999</v>
          </cell>
          <cell r="J93">
            <v>11289.14467</v>
          </cell>
          <cell r="K93">
            <v>16445.41646</v>
          </cell>
          <cell r="L93">
            <v>18340.620880000002</v>
          </cell>
          <cell r="M93">
            <v>19141.439590000005</v>
          </cell>
          <cell r="N93">
            <v>18317.375220000005</v>
          </cell>
          <cell r="O93">
            <v>17262.017280000007</v>
          </cell>
          <cell r="P93">
            <v>15935.300290000006</v>
          </cell>
          <cell r="Q93">
            <v>14750.146510000006</v>
          </cell>
          <cell r="R93">
            <v>12293.710590000006</v>
          </cell>
          <cell r="S93">
            <v>10264.785570000005</v>
          </cell>
          <cell r="T93">
            <v>8841.3917300000048</v>
          </cell>
          <cell r="U93">
            <v>7958.2170900000046</v>
          </cell>
          <cell r="V93">
            <v>14459.918630000004</v>
          </cell>
        </row>
        <row r="94">
          <cell r="C94" t="str">
            <v>Plus: FCF</v>
          </cell>
          <cell r="H94">
            <v>-250.81883999999997</v>
          </cell>
          <cell r="I94">
            <v>-556.78303999999991</v>
          </cell>
          <cell r="J94">
            <v>-798.89816999999994</v>
          </cell>
          <cell r="K94">
            <v>-754.53732999999988</v>
          </cell>
          <cell r="L94">
            <v>-523.34755000000007</v>
          </cell>
          <cell r="M94">
            <v>-1023.12601</v>
          </cell>
          <cell r="N94">
            <v>-1679.4850199999998</v>
          </cell>
          <cell r="O94">
            <v>-1114.33698</v>
          </cell>
          <cell r="P94">
            <v>-2583.5223100000003</v>
          </cell>
          <cell r="Q94">
            <v>-1185.1892899999998</v>
          </cell>
          <cell r="R94">
            <v>-2605.66921</v>
          </cell>
          <cell r="S94">
            <v>-967.34812999999997</v>
          </cell>
          <cell r="T94">
            <v>-5711.7386699999997</v>
          </cell>
          <cell r="U94">
            <v>-1047.5168300000003</v>
          </cell>
          <cell r="V94">
            <v>-3532.3642400000003</v>
          </cell>
        </row>
        <row r="95">
          <cell r="C95" t="str">
            <v>Plus: Working Capital Inflow / (Outflow)</v>
          </cell>
          <cell r="H95">
            <v>-941.84855000000005</v>
          </cell>
          <cell r="I95">
            <v>-229.74343999999999</v>
          </cell>
          <cell r="J95">
            <v>-149.09183000000002</v>
          </cell>
          <cell r="K95">
            <v>462.82729</v>
          </cell>
          <cell r="L95">
            <v>-253.78221999999997</v>
          </cell>
          <cell r="M95">
            <v>215.38043999999999</v>
          </cell>
          <cell r="N95">
            <v>131.91588000000002</v>
          </cell>
          <cell r="O95">
            <v>-210.74471000000003</v>
          </cell>
          <cell r="P95">
            <v>1398.36853</v>
          </cell>
          <cell r="Q95">
            <v>-1271.2466300000001</v>
          </cell>
          <cell r="R95">
            <v>576.74418999999989</v>
          </cell>
          <cell r="S95">
            <v>-456.04570999999999</v>
          </cell>
          <cell r="T95">
            <v>4828.5640299999995</v>
          </cell>
          <cell r="U95">
            <v>-836.50762999999995</v>
          </cell>
          <cell r="V95">
            <v>-2287.9937599999998</v>
          </cell>
        </row>
        <row r="96">
          <cell r="C96" t="str">
            <v>Plus: Reconcile D&amp;A</v>
          </cell>
          <cell r="H96">
            <v>0</v>
          </cell>
          <cell r="I96">
            <v>0</v>
          </cell>
          <cell r="J96">
            <v>0</v>
          </cell>
          <cell r="K96">
            <v>-1.62724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C97" t="str">
            <v>Minus: One Time Financing Expenses</v>
          </cell>
          <cell r="H97">
            <v>-129.18615</v>
          </cell>
          <cell r="I97">
            <v>-93.764499999999998</v>
          </cell>
          <cell r="J97">
            <v>-5.7361499999999994</v>
          </cell>
          <cell r="K97">
            <v>-11.452500000000001</v>
          </cell>
          <cell r="L97">
            <v>-12.04785</v>
          </cell>
          <cell r="M97">
            <v>-16.3188</v>
          </cell>
          <cell r="N97">
            <v>-7.7888000000000002</v>
          </cell>
          <cell r="O97">
            <v>-1.6353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-31.774000000000001</v>
          </cell>
          <cell r="V97">
            <v>-58.766849999999998</v>
          </cell>
        </row>
        <row r="98">
          <cell r="C98" t="str">
            <v>Plus: Equity Injections</v>
          </cell>
          <cell r="H98">
            <v>9699.9851899999994</v>
          </cell>
          <cell r="I98">
            <v>0</v>
          </cell>
          <cell r="J98">
            <v>6109.9979399999993</v>
          </cell>
          <cell r="K98">
            <v>2599.9942000000001</v>
          </cell>
          <cell r="L98">
            <v>1589.9963300000002</v>
          </cell>
          <cell r="M98">
            <v>0</v>
          </cell>
          <cell r="N98">
            <v>500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8417.5</v>
          </cell>
          <cell r="V98">
            <v>4500.0249999999996</v>
          </cell>
        </row>
        <row r="99">
          <cell r="C99" t="str">
            <v>Plus: Debt Drawdown / (Repayment)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C100" t="str">
            <v>Minus: Investment in Subsidiaries</v>
          </cell>
          <cell r="H100">
            <v>0</v>
          </cell>
          <cell r="I100">
            <v>0</v>
          </cell>
          <cell r="J100">
            <v>0</v>
          </cell>
          <cell r="K100">
            <v>-400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C101" t="str">
            <v>Ending Balance</v>
          </cell>
          <cell r="H101">
            <v>12169.435649999999</v>
          </cell>
          <cell r="I101">
            <v>11289.14467</v>
          </cell>
          <cell r="J101">
            <v>16445.41646</v>
          </cell>
          <cell r="K101">
            <v>18340.620880000002</v>
          </cell>
          <cell r="L101">
            <v>19141.439590000005</v>
          </cell>
          <cell r="M101">
            <v>18317.375220000005</v>
          </cell>
          <cell r="N101">
            <v>17262.017280000007</v>
          </cell>
          <cell r="O101">
            <v>15935.300290000006</v>
          </cell>
          <cell r="P101">
            <v>14750.146510000006</v>
          </cell>
          <cell r="Q101">
            <v>12293.710590000006</v>
          </cell>
          <cell r="R101">
            <v>10264.785570000005</v>
          </cell>
          <cell r="S101">
            <v>8841.3917300000048</v>
          </cell>
          <cell r="T101">
            <v>7958.2170900000046</v>
          </cell>
          <cell r="U101">
            <v>14459.918630000004</v>
          </cell>
          <cell r="V101">
            <v>13080.818780000003</v>
          </cell>
        </row>
        <row r="102">
          <cell r="C102" t="str">
            <v>Cash Check</v>
          </cell>
          <cell r="H102">
            <v>12169.43597</v>
          </cell>
          <cell r="I102">
            <v>11289.144990000001</v>
          </cell>
          <cell r="J102">
            <v>16445.41678</v>
          </cell>
          <cell r="K102">
            <v>18340.621199999998</v>
          </cell>
          <cell r="L102">
            <v>19141.439910000001</v>
          </cell>
          <cell r="M102">
            <v>18317.375540000001</v>
          </cell>
          <cell r="N102">
            <v>17262.017600000003</v>
          </cell>
          <cell r="O102">
            <v>15935.300610000002</v>
          </cell>
          <cell r="P102">
            <v>14750.14683</v>
          </cell>
          <cell r="Q102">
            <v>12293.71091</v>
          </cell>
          <cell r="R102">
            <v>10264.785890000001</v>
          </cell>
          <cell r="S102">
            <v>8841.3920499999986</v>
          </cell>
          <cell r="T102">
            <v>7958.2174000000005</v>
          </cell>
          <cell r="U102">
            <v>14459.918940000001</v>
          </cell>
          <cell r="V102">
            <v>13080.819089999999</v>
          </cell>
        </row>
        <row r="103">
          <cell r="C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</row>
        <row r="104">
          <cell r="C104" t="str">
            <v>CHECK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</row>
        <row r="106"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</row>
        <row r="107">
          <cell r="C107" t="str">
            <v>Accrual to Cash Adjustment</v>
          </cell>
          <cell r="H107">
            <v>-941.84855000000005</v>
          </cell>
          <cell r="I107">
            <v>-229.74343999999999</v>
          </cell>
          <cell r="J107">
            <v>-149.09183000000002</v>
          </cell>
          <cell r="K107">
            <v>462.82729</v>
          </cell>
          <cell r="L107">
            <v>-253.78221999999997</v>
          </cell>
          <cell r="M107">
            <v>215.38043999999999</v>
          </cell>
          <cell r="N107">
            <v>131.91588000000002</v>
          </cell>
          <cell r="O107">
            <v>-210.74471000000003</v>
          </cell>
          <cell r="P107">
            <v>1398.36853</v>
          </cell>
          <cell r="Q107">
            <v>-1271.2466300000001</v>
          </cell>
          <cell r="R107">
            <v>576.74418999999989</v>
          </cell>
          <cell r="S107">
            <v>-456.04570999999999</v>
          </cell>
          <cell r="T107">
            <v>4828.5640299999995</v>
          </cell>
          <cell r="U107">
            <v>-836.50762999999995</v>
          </cell>
          <cell r="V107">
            <v>-2287.9937599999998</v>
          </cell>
        </row>
        <row r="108"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</row>
        <row r="109">
          <cell r="C109" t="str">
            <v>D&amp;A</v>
          </cell>
          <cell r="H109">
            <v>0.80346999999999991</v>
          </cell>
          <cell r="I109">
            <v>0.62924000000000002</v>
          </cell>
          <cell r="J109">
            <v>0.6900400000000001</v>
          </cell>
          <cell r="K109">
            <v>0.69572000000000001</v>
          </cell>
          <cell r="L109">
            <v>0.71330000000000005</v>
          </cell>
          <cell r="M109">
            <v>0.70450999999999997</v>
          </cell>
          <cell r="N109">
            <v>0.70450999999999997</v>
          </cell>
          <cell r="O109">
            <v>2.4278300000000006</v>
          </cell>
          <cell r="P109">
            <v>1.1431899999999999</v>
          </cell>
          <cell r="Q109">
            <v>1.1772499999999999</v>
          </cell>
          <cell r="R109">
            <v>1.1772499999999999</v>
          </cell>
          <cell r="S109">
            <v>1.1772499999999999</v>
          </cell>
          <cell r="T109">
            <v>1.21058</v>
          </cell>
          <cell r="U109">
            <v>1.21058</v>
          </cell>
          <cell r="V109">
            <v>3.4198300000000006</v>
          </cell>
        </row>
        <row r="110">
          <cell r="C110" t="str">
            <v>D&amp;A</v>
          </cell>
          <cell r="H110">
            <v>0.80346999999999991</v>
          </cell>
          <cell r="I110">
            <v>0.62924000000000002</v>
          </cell>
          <cell r="J110">
            <v>0.6900400000000001</v>
          </cell>
          <cell r="K110">
            <v>-0.93152000000000001</v>
          </cell>
          <cell r="L110">
            <v>0.71330000000000005</v>
          </cell>
          <cell r="M110">
            <v>0.70450999999999997</v>
          </cell>
          <cell r="N110">
            <v>0.70450999999999997</v>
          </cell>
          <cell r="O110">
            <v>2.4278300000000006</v>
          </cell>
          <cell r="P110">
            <v>1.1431899999999999</v>
          </cell>
          <cell r="Q110">
            <v>1.1772499999999999</v>
          </cell>
          <cell r="R110">
            <v>1.1772499999999999</v>
          </cell>
          <cell r="S110">
            <v>1.1772499999999999</v>
          </cell>
          <cell r="T110">
            <v>1.21058</v>
          </cell>
          <cell r="U110">
            <v>1.21058</v>
          </cell>
          <cell r="V110">
            <v>3.4198300000000006</v>
          </cell>
        </row>
        <row r="111">
          <cell r="C111" t="str">
            <v>Reconciling D&amp;A Across I/S and CFS</v>
          </cell>
          <cell r="H111">
            <v>0</v>
          </cell>
          <cell r="I111">
            <v>0</v>
          </cell>
          <cell r="J111">
            <v>0</v>
          </cell>
          <cell r="K111">
            <v>-1.62724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</row>
        <row r="113"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</row>
        <row r="114">
          <cell r="C114" t="str">
            <v>Equity - Series A</v>
          </cell>
          <cell r="H114">
            <v>9999.9851899999994</v>
          </cell>
          <cell r="I114">
            <v>0</v>
          </cell>
          <cell r="J114">
            <v>6109.9979399999993</v>
          </cell>
          <cell r="K114">
            <v>2599.9942000000001</v>
          </cell>
          <cell r="L114">
            <v>1589.9963300000002</v>
          </cell>
          <cell r="M114">
            <v>0</v>
          </cell>
          <cell r="N114">
            <v>500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C115" t="str">
            <v>Equity - SAFE</v>
          </cell>
          <cell r="H115">
            <v>-300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8417.5</v>
          </cell>
          <cell r="V115">
            <v>4500.0249999999996</v>
          </cell>
        </row>
        <row r="116">
          <cell r="C116" t="str">
            <v>Total Equity Injection</v>
          </cell>
          <cell r="H116">
            <v>9699.9851899999994</v>
          </cell>
          <cell r="I116">
            <v>0</v>
          </cell>
          <cell r="J116">
            <v>6109.9979399999993</v>
          </cell>
          <cell r="K116">
            <v>2599.9942000000001</v>
          </cell>
          <cell r="L116">
            <v>1589.9963300000002</v>
          </cell>
          <cell r="M116">
            <v>0</v>
          </cell>
          <cell r="N116">
            <v>500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8417.5</v>
          </cell>
          <cell r="V116">
            <v>4500.0249999999996</v>
          </cell>
        </row>
        <row r="117"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</row>
        <row r="118">
          <cell r="C118" t="str">
            <v>Investment in Subsidiaries</v>
          </cell>
          <cell r="H118">
            <v>0</v>
          </cell>
          <cell r="I118">
            <v>0</v>
          </cell>
          <cell r="J118">
            <v>0</v>
          </cell>
          <cell r="K118">
            <v>-400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</row>
        <row r="120"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</row>
        <row r="121">
          <cell r="C121" t="str">
            <v>Legal Fees - Financing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31.774000000000001</v>
          </cell>
          <cell r="V121">
            <v>58.766849999999998</v>
          </cell>
        </row>
        <row r="122">
          <cell r="C122" t="str">
            <v>Financing Fees</v>
          </cell>
          <cell r="H122">
            <v>129.18615</v>
          </cell>
          <cell r="I122">
            <v>93.764499999999998</v>
          </cell>
          <cell r="J122">
            <v>5.7361499999999994</v>
          </cell>
          <cell r="K122">
            <v>11.452500000000001</v>
          </cell>
          <cell r="L122">
            <v>12.04785</v>
          </cell>
          <cell r="M122">
            <v>16.3188</v>
          </cell>
          <cell r="N122">
            <v>7.7888000000000002</v>
          </cell>
          <cell r="O122">
            <v>1.6353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C123" t="str">
            <v>Total Financing Expenses</v>
          </cell>
          <cell r="H123">
            <v>129.18615</v>
          </cell>
          <cell r="I123">
            <v>93.764499999999998</v>
          </cell>
          <cell r="J123">
            <v>5.7361499999999994</v>
          </cell>
          <cell r="K123">
            <v>11.452500000000001</v>
          </cell>
          <cell r="L123">
            <v>12.04785</v>
          </cell>
          <cell r="M123">
            <v>16.3188</v>
          </cell>
          <cell r="N123">
            <v>7.7888000000000002</v>
          </cell>
          <cell r="O123">
            <v>1.6353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31.774000000000001</v>
          </cell>
          <cell r="V123">
            <v>58.766849999999998</v>
          </cell>
        </row>
      </sheetData>
      <sheetData sheetId="8" refreshError="1"/>
      <sheetData sheetId="9">
        <row r="3">
          <cell r="F3">
            <v>45991</v>
          </cell>
          <cell r="G3">
            <v>46022</v>
          </cell>
          <cell r="H3">
            <v>46053</v>
          </cell>
          <cell r="I3">
            <v>46081</v>
          </cell>
          <cell r="J3">
            <v>46112</v>
          </cell>
          <cell r="K3">
            <v>46142</v>
          </cell>
          <cell r="L3">
            <v>46173</v>
          </cell>
          <cell r="M3">
            <v>46203</v>
          </cell>
          <cell r="N3">
            <v>46234</v>
          </cell>
          <cell r="O3">
            <v>46265</v>
          </cell>
          <cell r="P3">
            <v>46295</v>
          </cell>
          <cell r="Q3">
            <v>46326</v>
          </cell>
          <cell r="R3">
            <v>46356</v>
          </cell>
          <cell r="S3">
            <v>46387</v>
          </cell>
          <cell r="T3">
            <v>46418</v>
          </cell>
          <cell r="U3">
            <v>46446</v>
          </cell>
          <cell r="V3">
            <v>46477</v>
          </cell>
          <cell r="W3">
            <v>46507</v>
          </cell>
          <cell r="X3">
            <v>46538</v>
          </cell>
          <cell r="Y3">
            <v>46568</v>
          </cell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/>
          <cell r="AP3"/>
          <cell r="AQ3"/>
        </row>
        <row r="9">
          <cell r="D9" t="str">
            <v>Total Headcount (FTE)</v>
          </cell>
          <cell r="F9">
            <v>25</v>
          </cell>
          <cell r="G9">
            <v>30</v>
          </cell>
          <cell r="H9">
            <v>34</v>
          </cell>
          <cell r="I9">
            <v>38</v>
          </cell>
          <cell r="J9">
            <v>43</v>
          </cell>
          <cell r="K9">
            <v>47</v>
          </cell>
          <cell r="L9">
            <v>51</v>
          </cell>
          <cell r="M9">
            <v>56</v>
          </cell>
          <cell r="N9">
            <v>60</v>
          </cell>
          <cell r="O9">
            <v>64</v>
          </cell>
          <cell r="P9">
            <v>68</v>
          </cell>
          <cell r="Q9">
            <v>71</v>
          </cell>
          <cell r="R9">
            <v>74</v>
          </cell>
          <cell r="S9">
            <v>77</v>
          </cell>
          <cell r="T9">
            <v>79</v>
          </cell>
          <cell r="U9">
            <v>81</v>
          </cell>
          <cell r="V9">
            <v>84</v>
          </cell>
          <cell r="W9">
            <v>86</v>
          </cell>
          <cell r="X9">
            <v>88</v>
          </cell>
          <cell r="Y9">
            <v>91</v>
          </cell>
        </row>
        <row r="10">
          <cell r="D10" t="str">
            <v>New Headcount (FTE)</v>
          </cell>
          <cell r="F10">
            <v>5</v>
          </cell>
          <cell r="G10">
            <v>4</v>
          </cell>
          <cell r="H10">
            <v>4</v>
          </cell>
          <cell r="I10">
            <v>5</v>
          </cell>
          <cell r="J10">
            <v>4</v>
          </cell>
          <cell r="K10">
            <v>4</v>
          </cell>
          <cell r="L10">
            <v>5</v>
          </cell>
          <cell r="M10">
            <v>4</v>
          </cell>
          <cell r="N10">
            <v>4</v>
          </cell>
          <cell r="O10">
            <v>4</v>
          </cell>
          <cell r="P10">
            <v>3</v>
          </cell>
          <cell r="Q10">
            <v>3</v>
          </cell>
          <cell r="R10">
            <v>3</v>
          </cell>
          <cell r="S10">
            <v>2</v>
          </cell>
          <cell r="T10">
            <v>2</v>
          </cell>
          <cell r="U10">
            <v>3</v>
          </cell>
          <cell r="V10">
            <v>2</v>
          </cell>
          <cell r="W10">
            <v>2</v>
          </cell>
          <cell r="X10">
            <v>3</v>
          </cell>
          <cell r="Y10">
            <v>0</v>
          </cell>
        </row>
        <row r="11">
          <cell r="D11"/>
          <cell r="F11">
            <v>2</v>
          </cell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1</v>
          </cell>
          <cell r="P11">
            <v>1</v>
          </cell>
          <cell r="Q11">
            <v>1</v>
          </cell>
          <cell r="R11"/>
          <cell r="S11"/>
          <cell r="T11"/>
          <cell r="U11"/>
          <cell r="V11"/>
          <cell r="W11"/>
          <cell r="X11"/>
          <cell r="Y11"/>
        </row>
        <row r="12">
          <cell r="D12"/>
          <cell r="F12">
            <v>3</v>
          </cell>
          <cell r="G12">
            <v>2</v>
          </cell>
          <cell r="H12">
            <v>2</v>
          </cell>
          <cell r="I12">
            <v>3</v>
          </cell>
          <cell r="J12">
            <v>2</v>
          </cell>
          <cell r="K12">
            <v>2</v>
          </cell>
          <cell r="L12">
            <v>3</v>
          </cell>
          <cell r="M12">
            <v>2</v>
          </cell>
          <cell r="N12">
            <v>2</v>
          </cell>
          <cell r="O12">
            <v>3</v>
          </cell>
          <cell r="P12">
            <v>2</v>
          </cell>
          <cell r="Q12">
            <v>2</v>
          </cell>
          <cell r="R12">
            <v>3</v>
          </cell>
          <cell r="S12">
            <v>2</v>
          </cell>
          <cell r="T12">
            <v>2</v>
          </cell>
          <cell r="U12">
            <v>3</v>
          </cell>
          <cell r="V12">
            <v>2</v>
          </cell>
          <cell r="W12">
            <v>2</v>
          </cell>
          <cell r="X12">
            <v>3</v>
          </cell>
          <cell r="Y12"/>
        </row>
        <row r="13">
          <cell r="D13"/>
        </row>
        <row r="14">
          <cell r="D14"/>
        </row>
        <row r="15">
          <cell r="D15" t="str">
            <v>Payroll</v>
          </cell>
          <cell r="F15">
            <v>452546.29629629635</v>
          </cell>
          <cell r="G15">
            <v>543055.55555555562</v>
          </cell>
          <cell r="H15">
            <v>615462.96296296304</v>
          </cell>
          <cell r="I15">
            <v>687870.37037037045</v>
          </cell>
          <cell r="J15">
            <v>778379.62962962966</v>
          </cell>
          <cell r="K15">
            <v>850787.03703703708</v>
          </cell>
          <cell r="L15">
            <v>923194.4444444445</v>
          </cell>
          <cell r="M15">
            <v>1013703.7037037038</v>
          </cell>
          <cell r="N15">
            <v>1086111.1111111112</v>
          </cell>
          <cell r="O15">
            <v>1158518.5185185187</v>
          </cell>
          <cell r="P15">
            <v>1230925.9259259261</v>
          </cell>
          <cell r="Q15">
            <v>1285231.4814814816</v>
          </cell>
          <cell r="R15">
            <v>1339537.0370370373</v>
          </cell>
          <cell r="S15">
            <v>1393842.5925925928</v>
          </cell>
          <cell r="T15">
            <v>1430046.2962962964</v>
          </cell>
          <cell r="U15">
            <v>1466250.0000000002</v>
          </cell>
          <cell r="V15">
            <v>1520555.5555555557</v>
          </cell>
          <cell r="W15">
            <v>1556759.2592592593</v>
          </cell>
          <cell r="X15">
            <v>1592962.9629629632</v>
          </cell>
          <cell r="Y15">
            <v>1647268.5185185187</v>
          </cell>
        </row>
        <row r="16">
          <cell r="D16" t="str">
            <v>Overhead</v>
          </cell>
          <cell r="F16">
            <v>158391.20370370371</v>
          </cell>
          <cell r="G16">
            <v>190069.44444444447</v>
          </cell>
          <cell r="H16">
            <v>215412.03703703705</v>
          </cell>
          <cell r="I16">
            <v>240754.62962962964</v>
          </cell>
          <cell r="J16">
            <v>272432.87037037039</v>
          </cell>
          <cell r="K16">
            <v>297775.46296296298</v>
          </cell>
          <cell r="L16">
            <v>323118.05555555556</v>
          </cell>
          <cell r="M16">
            <v>354796.29629629629</v>
          </cell>
          <cell r="N16">
            <v>380138.88888888893</v>
          </cell>
          <cell r="O16">
            <v>405481.48148148152</v>
          </cell>
          <cell r="P16">
            <v>430824.0740740741</v>
          </cell>
          <cell r="Q16">
            <v>449831.01851851854</v>
          </cell>
          <cell r="R16">
            <v>468837.96296296304</v>
          </cell>
          <cell r="S16">
            <v>487844.90740740747</v>
          </cell>
          <cell r="T16">
            <v>500516.20370370371</v>
          </cell>
          <cell r="U16">
            <v>513187.50000000006</v>
          </cell>
          <cell r="V16">
            <v>532194.4444444445</v>
          </cell>
          <cell r="W16">
            <v>544865.74074074079</v>
          </cell>
          <cell r="X16">
            <v>557537.03703703708</v>
          </cell>
          <cell r="Y16">
            <v>576543.98148148146</v>
          </cell>
        </row>
        <row r="17">
          <cell r="D17"/>
          <cell r="F17">
            <v>78455.755528394759</v>
          </cell>
          <cell r="G17">
            <v>94146.906634073719</v>
          </cell>
          <cell r="H17">
            <v>106699.82751861689</v>
          </cell>
          <cell r="I17">
            <v>119252.74840316005</v>
          </cell>
          <cell r="J17">
            <v>134943.89950883898</v>
          </cell>
          <cell r="K17">
            <v>147496.82039338216</v>
          </cell>
          <cell r="L17">
            <v>160049.74127792532</v>
          </cell>
          <cell r="M17">
            <v>175740.89238360428</v>
          </cell>
          <cell r="N17">
            <v>188293.81326814744</v>
          </cell>
          <cell r="O17">
            <v>200846.73415269059</v>
          </cell>
          <cell r="P17">
            <v>213399.65503723378</v>
          </cell>
          <cell r="Q17">
            <v>222814.34570064113</v>
          </cell>
          <cell r="R17">
            <v>232229.03636404854</v>
          </cell>
          <cell r="S17">
            <v>241643.7270274559</v>
          </cell>
          <cell r="T17">
            <v>247920.18746972748</v>
          </cell>
          <cell r="U17">
            <v>254196.64791199903</v>
          </cell>
          <cell r="V17">
            <v>263611.33857540641</v>
          </cell>
          <cell r="W17">
            <v>269887.79901767796</v>
          </cell>
          <cell r="X17">
            <v>276164.25945994956</v>
          </cell>
          <cell r="Y17">
            <v>285578.95012335695</v>
          </cell>
        </row>
        <row r="18">
          <cell r="D18" t="str">
            <v>Subject Matter experts</v>
          </cell>
          <cell r="F18">
            <v>22900.199972839207</v>
          </cell>
          <cell r="G18">
            <v>27480.239967407051</v>
          </cell>
          <cell r="H18">
            <v>31144.271963061325</v>
          </cell>
          <cell r="I18">
            <v>34808.303958715594</v>
          </cell>
          <cell r="J18">
            <v>39388.343953283438</v>
          </cell>
          <cell r="K18">
            <v>43052.375948937712</v>
          </cell>
          <cell r="L18">
            <v>46716.407944591985</v>
          </cell>
          <cell r="M18">
            <v>51296.447939159829</v>
          </cell>
          <cell r="N18">
            <v>54960.479934814102</v>
          </cell>
          <cell r="O18">
            <v>58624.511930468376</v>
          </cell>
          <cell r="P18">
            <v>62288.543926122649</v>
          </cell>
          <cell r="Q18">
            <v>65036.567922863353</v>
          </cell>
          <cell r="R18">
            <v>67784.591919604063</v>
          </cell>
          <cell r="S18">
            <v>70532.615916344774</v>
          </cell>
          <cell r="T18">
            <v>72364.6319141719</v>
          </cell>
          <cell r="U18">
            <v>74196.64791199904</v>
          </cell>
          <cell r="V18">
            <v>76944.671908739736</v>
          </cell>
          <cell r="W18">
            <v>78776.687906566876</v>
          </cell>
          <cell r="X18">
            <v>80608.703904394017</v>
          </cell>
          <cell r="Y18">
            <v>83356.727901134713</v>
          </cell>
        </row>
        <row r="19">
          <cell r="D19" t="str">
            <v>Software services</v>
          </cell>
          <cell r="F19">
            <v>55555.555555555555</v>
          </cell>
          <cell r="G19">
            <v>66666.666666666672</v>
          </cell>
          <cell r="H19">
            <v>75555.555555555562</v>
          </cell>
          <cell r="I19">
            <v>84444.444444444453</v>
          </cell>
          <cell r="J19">
            <v>95555.555555555547</v>
          </cell>
          <cell r="K19">
            <v>104444.44444444444</v>
          </cell>
          <cell r="L19">
            <v>113333.33333333333</v>
          </cell>
          <cell r="M19">
            <v>124444.44444444445</v>
          </cell>
          <cell r="N19">
            <v>133333.33333333334</v>
          </cell>
          <cell r="O19">
            <v>142222.22222222222</v>
          </cell>
          <cell r="P19">
            <v>151111.11111111112</v>
          </cell>
          <cell r="Q19">
            <v>157777.77777777778</v>
          </cell>
          <cell r="R19">
            <v>164444.44444444447</v>
          </cell>
          <cell r="S19">
            <v>171111.11111111112</v>
          </cell>
          <cell r="T19">
            <v>175555.55555555556</v>
          </cell>
          <cell r="U19">
            <v>180000</v>
          </cell>
          <cell r="V19">
            <v>186666.66666666669</v>
          </cell>
          <cell r="W19">
            <v>191111.11111111109</v>
          </cell>
          <cell r="X19">
            <v>195555.55555555556</v>
          </cell>
          <cell r="Y19">
            <v>202222.22222222222</v>
          </cell>
        </row>
        <row r="20">
          <cell r="D20" t="str">
            <v>Total Corporate Consultants</v>
          </cell>
          <cell r="F20">
            <v>92548.958333333328</v>
          </cell>
          <cell r="G20">
            <v>111058.75</v>
          </cell>
          <cell r="H20">
            <v>125866.58333333333</v>
          </cell>
          <cell r="I20">
            <v>140674.41666666666</v>
          </cell>
          <cell r="J20">
            <v>159184.20833333331</v>
          </cell>
          <cell r="K20">
            <v>173992.04166666666</v>
          </cell>
          <cell r="L20">
            <v>188799.87499999997</v>
          </cell>
          <cell r="M20">
            <v>207309.66666666666</v>
          </cell>
          <cell r="N20">
            <v>222117.5</v>
          </cell>
          <cell r="O20">
            <v>236925.33333333331</v>
          </cell>
          <cell r="P20">
            <v>251733.16666666666</v>
          </cell>
          <cell r="Q20">
            <v>262839.04166666663</v>
          </cell>
          <cell r="R20">
            <v>273944.91666666669</v>
          </cell>
          <cell r="S20">
            <v>285050.79166666669</v>
          </cell>
          <cell r="T20">
            <v>292454.70833333331</v>
          </cell>
          <cell r="U20">
            <v>299858.625</v>
          </cell>
          <cell r="V20">
            <v>310964.5</v>
          </cell>
          <cell r="W20">
            <v>318368.41666666663</v>
          </cell>
          <cell r="X20">
            <v>325772.33333333331</v>
          </cell>
          <cell r="Y20">
            <v>336878.20833333331</v>
          </cell>
        </row>
        <row r="21">
          <cell r="D21"/>
          <cell r="F21">
            <v>106786.00659156826</v>
          </cell>
          <cell r="G21">
            <v>116143.20790988191</v>
          </cell>
          <cell r="H21">
            <v>133628.96896453283</v>
          </cell>
          <cell r="I21">
            <v>141114.73001918377</v>
          </cell>
          <cell r="J21">
            <v>150471.9313374974</v>
          </cell>
          <cell r="K21">
            <v>157957.69239214831</v>
          </cell>
          <cell r="L21">
            <v>165443.45344679925</v>
          </cell>
          <cell r="M21">
            <v>174800.65476511291</v>
          </cell>
          <cell r="N21">
            <v>182286.41581976382</v>
          </cell>
          <cell r="O21">
            <v>189772.17687441473</v>
          </cell>
          <cell r="P21">
            <v>197257.93792906567</v>
          </cell>
          <cell r="Q21">
            <v>202872.25872005385</v>
          </cell>
          <cell r="R21">
            <v>208486.57951104204</v>
          </cell>
          <cell r="S21">
            <v>214100.90030203023</v>
          </cell>
          <cell r="T21">
            <v>227843.7808293557</v>
          </cell>
          <cell r="U21">
            <v>231586.66135668117</v>
          </cell>
          <cell r="V21">
            <v>237200.98214766933</v>
          </cell>
          <cell r="W21">
            <v>240943.8626749948</v>
          </cell>
          <cell r="X21">
            <v>244686.74320232027</v>
          </cell>
          <cell r="Y21">
            <v>250301.06399330846</v>
          </cell>
        </row>
        <row r="22">
          <cell r="D22" t="str">
            <v>Legal Fees - Corporate</v>
          </cell>
          <cell r="F22">
            <v>46786.006591568257</v>
          </cell>
          <cell r="G22">
            <v>56143.207909881909</v>
          </cell>
          <cell r="H22">
            <v>63628.968964532833</v>
          </cell>
          <cell r="I22">
            <v>71114.730019183757</v>
          </cell>
          <cell r="J22">
            <v>80471.931337497401</v>
          </cell>
          <cell r="K22">
            <v>87957.692392148325</v>
          </cell>
          <cell r="L22">
            <v>95443.453446799234</v>
          </cell>
          <cell r="M22">
            <v>104800.65476511289</v>
          </cell>
          <cell r="N22">
            <v>112286.41581976382</v>
          </cell>
          <cell r="O22">
            <v>119772.17687441474</v>
          </cell>
          <cell r="P22">
            <v>127257.93792906567</v>
          </cell>
          <cell r="Q22">
            <v>132872.25872005385</v>
          </cell>
          <cell r="R22">
            <v>138486.57951104204</v>
          </cell>
          <cell r="S22">
            <v>144100.90030203023</v>
          </cell>
          <cell r="T22">
            <v>147843.7808293557</v>
          </cell>
          <cell r="U22">
            <v>151586.66135668117</v>
          </cell>
          <cell r="V22">
            <v>157200.98214766933</v>
          </cell>
          <cell r="W22">
            <v>160943.8626749948</v>
          </cell>
          <cell r="X22">
            <v>164686.74320232027</v>
          </cell>
          <cell r="Y22">
            <v>170301.06399330846</v>
          </cell>
        </row>
        <row r="23">
          <cell r="D23" t="str">
            <v>Legal Fees - Intellectual Property</v>
          </cell>
          <cell r="F23">
            <v>60000</v>
          </cell>
          <cell r="G23">
            <v>60000</v>
          </cell>
          <cell r="H23">
            <v>70000</v>
          </cell>
          <cell r="I23">
            <v>70000</v>
          </cell>
          <cell r="J23">
            <v>70000</v>
          </cell>
          <cell r="K23">
            <v>70000</v>
          </cell>
          <cell r="L23">
            <v>70000</v>
          </cell>
          <cell r="M23">
            <v>70000</v>
          </cell>
          <cell r="N23">
            <v>70000</v>
          </cell>
          <cell r="O23">
            <v>70000</v>
          </cell>
          <cell r="P23">
            <v>70000</v>
          </cell>
          <cell r="Q23">
            <v>70000</v>
          </cell>
          <cell r="R23">
            <v>70000</v>
          </cell>
          <cell r="S23">
            <v>70000</v>
          </cell>
          <cell r="T23">
            <v>80000</v>
          </cell>
          <cell r="U23">
            <v>80000</v>
          </cell>
          <cell r="V23">
            <v>80000</v>
          </cell>
          <cell r="W23">
            <v>80000</v>
          </cell>
          <cell r="X23">
            <v>80000</v>
          </cell>
          <cell r="Y23">
            <v>80000</v>
          </cell>
        </row>
        <row r="24">
          <cell r="D24" t="str">
            <v>Marketing</v>
          </cell>
          <cell r="F24">
            <v>12000</v>
          </cell>
          <cell r="G24">
            <v>12000</v>
          </cell>
          <cell r="H24">
            <v>12000</v>
          </cell>
          <cell r="I24">
            <v>12000</v>
          </cell>
          <cell r="J24">
            <v>12000</v>
          </cell>
          <cell r="K24">
            <v>12000</v>
          </cell>
          <cell r="L24">
            <v>12000</v>
          </cell>
          <cell r="M24">
            <v>12000</v>
          </cell>
          <cell r="N24">
            <v>12000</v>
          </cell>
          <cell r="O24">
            <v>12000</v>
          </cell>
          <cell r="P24">
            <v>12000</v>
          </cell>
          <cell r="Q24">
            <v>12000</v>
          </cell>
          <cell r="R24">
            <v>12000</v>
          </cell>
          <cell r="S24">
            <v>12000</v>
          </cell>
          <cell r="T24">
            <v>12000</v>
          </cell>
          <cell r="U24">
            <v>12000</v>
          </cell>
          <cell r="V24">
            <v>12000</v>
          </cell>
          <cell r="W24">
            <v>12000</v>
          </cell>
          <cell r="X24">
            <v>12000</v>
          </cell>
          <cell r="Y24">
            <v>12000</v>
          </cell>
        </row>
        <row r="25">
          <cell r="D25" t="str">
            <v>Government Affairs</v>
          </cell>
          <cell r="F25">
            <v>60000</v>
          </cell>
          <cell r="G25">
            <v>60000</v>
          </cell>
          <cell r="H25">
            <v>60000</v>
          </cell>
          <cell r="I25">
            <v>60000</v>
          </cell>
          <cell r="J25">
            <v>60000</v>
          </cell>
          <cell r="K25">
            <v>60000</v>
          </cell>
          <cell r="L25">
            <v>60000</v>
          </cell>
          <cell r="M25">
            <v>60000</v>
          </cell>
          <cell r="N25">
            <v>60000</v>
          </cell>
          <cell r="O25">
            <v>60000</v>
          </cell>
          <cell r="P25">
            <v>60000</v>
          </cell>
          <cell r="Q25">
            <v>60000</v>
          </cell>
          <cell r="R25">
            <v>60000</v>
          </cell>
          <cell r="S25">
            <v>60000</v>
          </cell>
          <cell r="T25">
            <v>60000</v>
          </cell>
          <cell r="U25">
            <v>60000</v>
          </cell>
          <cell r="V25">
            <v>60000</v>
          </cell>
          <cell r="W25">
            <v>60000</v>
          </cell>
          <cell r="X25">
            <v>60000</v>
          </cell>
          <cell r="Y25">
            <v>60000</v>
          </cell>
        </row>
        <row r="26">
          <cell r="D26" t="str">
            <v>T&amp;E</v>
          </cell>
          <cell r="F26">
            <v>57250.499932098035</v>
          </cell>
          <cell r="G26">
            <v>68700.599918517648</v>
          </cell>
          <cell r="H26">
            <v>77860.679907653335</v>
          </cell>
          <cell r="I26">
            <v>87020.759896789023</v>
          </cell>
          <cell r="J26">
            <v>98470.859883208614</v>
          </cell>
          <cell r="K26">
            <v>107630.9398723443</v>
          </cell>
          <cell r="L26">
            <v>116791.01986147999</v>
          </cell>
          <cell r="M26">
            <v>128241.11984789961</v>
          </cell>
          <cell r="N26">
            <v>137401.1998370353</v>
          </cell>
          <cell r="O26">
            <v>146561.27982617097</v>
          </cell>
          <cell r="P26">
            <v>155721.35981530667</v>
          </cell>
          <cell r="Q26">
            <v>162591.41980715841</v>
          </cell>
          <cell r="R26">
            <v>169461.47979901021</v>
          </cell>
          <cell r="S26">
            <v>176331.53979086198</v>
          </cell>
          <cell r="T26">
            <v>180911.57978542979</v>
          </cell>
          <cell r="U26">
            <v>185491.61977999765</v>
          </cell>
          <cell r="V26">
            <v>192361.67977184942</v>
          </cell>
          <cell r="W26">
            <v>196941.71976641723</v>
          </cell>
          <cell r="X26">
            <v>201521.75976098509</v>
          </cell>
          <cell r="Y26">
            <v>208391.81975283686</v>
          </cell>
        </row>
        <row r="27">
          <cell r="D27" t="str">
            <v>Insurance</v>
          </cell>
          <cell r="F27">
            <v>37500</v>
          </cell>
          <cell r="G27">
            <v>45000</v>
          </cell>
          <cell r="H27">
            <v>51000</v>
          </cell>
          <cell r="I27">
            <v>57000</v>
          </cell>
          <cell r="J27">
            <v>64499.999999999993</v>
          </cell>
          <cell r="K27">
            <v>70500</v>
          </cell>
          <cell r="L27">
            <v>76500</v>
          </cell>
          <cell r="M27">
            <v>84000</v>
          </cell>
          <cell r="N27">
            <v>90000</v>
          </cell>
          <cell r="O27">
            <v>96000</v>
          </cell>
          <cell r="P27">
            <v>102000</v>
          </cell>
          <cell r="Q27">
            <v>106500</v>
          </cell>
          <cell r="R27">
            <v>111000.00000000001</v>
          </cell>
          <cell r="S27">
            <v>115500</v>
          </cell>
          <cell r="T27">
            <v>118500</v>
          </cell>
          <cell r="U27">
            <v>121500</v>
          </cell>
          <cell r="V27">
            <v>126000</v>
          </cell>
          <cell r="W27">
            <v>128999.99999999999</v>
          </cell>
          <cell r="X27">
            <v>132000</v>
          </cell>
          <cell r="Y27">
            <v>136500</v>
          </cell>
        </row>
        <row r="28">
          <cell r="D28" t="str">
            <v>Office</v>
          </cell>
          <cell r="F28">
            <v>34722.222222222219</v>
          </cell>
          <cell r="G28">
            <v>41666.666666666664</v>
          </cell>
          <cell r="H28">
            <v>47222.222222222219</v>
          </cell>
          <cell r="I28">
            <v>52777.777777777774</v>
          </cell>
          <cell r="J28">
            <v>59722.222222222219</v>
          </cell>
          <cell r="K28">
            <v>65277.777777777774</v>
          </cell>
          <cell r="L28">
            <v>70833.333333333328</v>
          </cell>
          <cell r="M28">
            <v>77777.777777777781</v>
          </cell>
          <cell r="N28">
            <v>83333.333333333328</v>
          </cell>
          <cell r="O28">
            <v>88888.888888888891</v>
          </cell>
          <cell r="P28">
            <v>94444.444444444438</v>
          </cell>
          <cell r="Q28">
            <v>98611.111111111109</v>
          </cell>
          <cell r="R28">
            <v>102777.77777777778</v>
          </cell>
          <cell r="S28">
            <v>106944.44444444444</v>
          </cell>
          <cell r="T28">
            <v>109722.22222222222</v>
          </cell>
          <cell r="U28">
            <v>112500</v>
          </cell>
          <cell r="V28">
            <v>116666.66666666666</v>
          </cell>
          <cell r="W28">
            <v>119444.44444444444</v>
          </cell>
          <cell r="X28">
            <v>122222.22222222222</v>
          </cell>
          <cell r="Y28">
            <v>126388.88888888888</v>
          </cell>
        </row>
        <row r="29">
          <cell r="D29"/>
          <cell r="F29">
            <v>1090200.9426076168</v>
          </cell>
          <cell r="G29">
            <v>1281841.1311291403</v>
          </cell>
          <cell r="H29">
            <v>1445153.2819463587</v>
          </cell>
          <cell r="I29">
            <v>1598465.4327635774</v>
          </cell>
          <cell r="J29">
            <v>1790105.6212851005</v>
          </cell>
          <cell r="K29">
            <v>1943417.7721023192</v>
          </cell>
          <cell r="L29">
            <v>2096729.9229195376</v>
          </cell>
          <cell r="M29">
            <v>2288370.1114410618</v>
          </cell>
          <cell r="N29">
            <v>2441682.2622582805</v>
          </cell>
          <cell r="O29">
            <v>2594994.4130754983</v>
          </cell>
          <cell r="P29">
            <v>2748306.5638927175</v>
          </cell>
          <cell r="Q29">
            <v>2863290.6770056309</v>
          </cell>
          <cell r="R29">
            <v>2978274.7901185462</v>
          </cell>
          <cell r="S29">
            <v>3093258.9032314592</v>
          </cell>
          <cell r="T29">
            <v>3179914.9786400683</v>
          </cell>
          <cell r="U29">
            <v>3256571.0540486779</v>
          </cell>
          <cell r="V29">
            <v>3371555.1671615918</v>
          </cell>
          <cell r="W29">
            <v>3448211.2425702009</v>
          </cell>
          <cell r="X29">
            <v>3524867.3179788105</v>
          </cell>
          <cell r="Y29">
            <v>3639851.4310917254</v>
          </cell>
        </row>
        <row r="30">
          <cell r="D30" t="str">
            <v>Legal Fees - Financing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300000</v>
          </cell>
          <cell r="X30">
            <v>0</v>
          </cell>
          <cell r="Y30">
            <v>0</v>
          </cell>
        </row>
        <row r="31">
          <cell r="D31" t="str">
            <v>Debt Repayment</v>
          </cell>
          <cell r="F31">
            <v>117962.96</v>
          </cell>
          <cell r="G31">
            <v>117314.81</v>
          </cell>
          <cell r="H31">
            <v>116666.67</v>
          </cell>
          <cell r="I31">
            <v>116018.52</v>
          </cell>
          <cell r="J31">
            <v>115370.37</v>
          </cell>
          <cell r="K31">
            <v>114722.22</v>
          </cell>
          <cell r="L31">
            <v>114074.07</v>
          </cell>
          <cell r="M31">
            <v>113425.93</v>
          </cell>
          <cell r="N31">
            <v>112777.78</v>
          </cell>
          <cell r="O31">
            <v>112129.63</v>
          </cell>
          <cell r="P31">
            <v>111481.48</v>
          </cell>
          <cell r="Q31">
            <v>110833.33</v>
          </cell>
          <cell r="R31">
            <v>110185.19</v>
          </cell>
          <cell r="S31">
            <v>109537.04</v>
          </cell>
          <cell r="T31">
            <v>108888.89</v>
          </cell>
          <cell r="U31">
            <v>108240.74</v>
          </cell>
          <cell r="V31">
            <v>107592.59</v>
          </cell>
          <cell r="W31">
            <v>106944.44</v>
          </cell>
          <cell r="X31">
            <v>106296.3</v>
          </cell>
          <cell r="Y31">
            <v>105648.15</v>
          </cell>
        </row>
        <row r="32">
          <cell r="D32"/>
          <cell r="F32">
            <v>1208163.9026076167</v>
          </cell>
          <cell r="G32">
            <v>1399155.9411291403</v>
          </cell>
          <cell r="H32">
            <v>1561819.9519463587</v>
          </cell>
          <cell r="I32">
            <v>1714483.9527635775</v>
          </cell>
          <cell r="J32">
            <v>1905475.9912851006</v>
          </cell>
          <cell r="K32">
            <v>2058139.9921023191</v>
          </cell>
          <cell r="L32">
            <v>2210803.9929195377</v>
          </cell>
          <cell r="M32">
            <v>2401796.041441062</v>
          </cell>
          <cell r="N32">
            <v>2554460.0422582803</v>
          </cell>
          <cell r="O32">
            <v>2707124.0430754982</v>
          </cell>
          <cell r="P32">
            <v>2859788.0438927175</v>
          </cell>
          <cell r="Q32">
            <v>2974124.007005631</v>
          </cell>
          <cell r="R32">
            <v>3088459.9801185462</v>
          </cell>
          <cell r="S32">
            <v>3202795.9432314592</v>
          </cell>
          <cell r="T32">
            <v>3288803.8686400685</v>
          </cell>
          <cell r="U32">
            <v>3364811.7940486781</v>
          </cell>
          <cell r="V32">
            <v>3479147.7571615917</v>
          </cell>
          <cell r="W32">
            <v>3855155.6825702009</v>
          </cell>
          <cell r="X32">
            <v>3631163.6179788103</v>
          </cell>
          <cell r="Y32">
            <v>3745499.5810917253</v>
          </cell>
        </row>
        <row r="33">
          <cell r="D33"/>
          <cell r="Y33"/>
        </row>
        <row r="34">
          <cell r="D34"/>
        </row>
        <row r="35">
          <cell r="D35" t="str">
            <v>R&amp;D</v>
          </cell>
          <cell r="H35">
            <v>2000000</v>
          </cell>
          <cell r="I35">
            <v>2000000</v>
          </cell>
          <cell r="J35">
            <v>2000000</v>
          </cell>
          <cell r="K35">
            <v>2000000</v>
          </cell>
          <cell r="L35">
            <v>2000000</v>
          </cell>
          <cell r="N35"/>
          <cell r="P35"/>
          <cell r="R35"/>
          <cell r="S35"/>
          <cell r="T35"/>
          <cell r="U35"/>
        </row>
        <row r="36">
          <cell r="D36" t="str">
            <v>R&amp;D</v>
          </cell>
          <cell r="F36">
            <v>75000</v>
          </cell>
          <cell r="G36">
            <v>75000</v>
          </cell>
          <cell r="H36">
            <v>75000</v>
          </cell>
          <cell r="I36">
            <v>75000</v>
          </cell>
          <cell r="J36">
            <v>75000</v>
          </cell>
          <cell r="K36">
            <v>75000</v>
          </cell>
          <cell r="L36">
            <v>75000</v>
          </cell>
          <cell r="M36">
            <v>75000</v>
          </cell>
          <cell r="N36">
            <v>75000</v>
          </cell>
          <cell r="O36">
            <v>75000</v>
          </cell>
          <cell r="P36">
            <v>75000</v>
          </cell>
          <cell r="Q36">
            <v>75000</v>
          </cell>
          <cell r="R36">
            <v>75000</v>
          </cell>
          <cell r="S36">
            <v>75000</v>
          </cell>
          <cell r="T36">
            <v>75000</v>
          </cell>
          <cell r="U36">
            <v>75000</v>
          </cell>
          <cell r="V36">
            <v>75000</v>
          </cell>
          <cell r="W36">
            <v>75000</v>
          </cell>
          <cell r="X36">
            <v>75000</v>
          </cell>
          <cell r="Y36">
            <v>75000</v>
          </cell>
        </row>
        <row r="37">
          <cell r="D37" t="str">
            <v>R&amp;D</v>
          </cell>
          <cell r="F37">
            <v>200000</v>
          </cell>
          <cell r="G37">
            <v>200000</v>
          </cell>
          <cell r="H37">
            <v>200000</v>
          </cell>
          <cell r="I37">
            <v>200000</v>
          </cell>
          <cell r="O37">
            <v>200000</v>
          </cell>
          <cell r="U37">
            <v>200000</v>
          </cell>
          <cell r="Y37">
            <v>300000</v>
          </cell>
        </row>
        <row r="38">
          <cell r="D38" t="str">
            <v>R&amp;D</v>
          </cell>
          <cell r="F38">
            <v>200000</v>
          </cell>
          <cell r="G38">
            <v>200000</v>
          </cell>
          <cell r="H38">
            <v>200000</v>
          </cell>
          <cell r="I38">
            <v>200000</v>
          </cell>
          <cell r="O38">
            <v>200000</v>
          </cell>
          <cell r="U38">
            <v>200000</v>
          </cell>
          <cell r="Y38">
            <v>300000</v>
          </cell>
        </row>
        <row r="39">
          <cell r="D39" t="str">
            <v>R&amp;D</v>
          </cell>
          <cell r="K39"/>
          <cell r="M39">
            <v>500000</v>
          </cell>
          <cell r="O39"/>
          <cell r="T39">
            <v>500000</v>
          </cell>
        </row>
        <row r="40">
          <cell r="D40" t="str">
            <v>R&amp;D</v>
          </cell>
          <cell r="F40">
            <v>100000</v>
          </cell>
          <cell r="G40">
            <v>100000</v>
          </cell>
          <cell r="H40">
            <v>100000</v>
          </cell>
          <cell r="I40">
            <v>100000</v>
          </cell>
          <cell r="J40">
            <v>100000</v>
          </cell>
          <cell r="K40">
            <v>600000</v>
          </cell>
          <cell r="L40">
            <v>100000</v>
          </cell>
          <cell r="M40">
            <v>100000</v>
          </cell>
          <cell r="N40">
            <v>100000</v>
          </cell>
          <cell r="O40">
            <v>100000</v>
          </cell>
          <cell r="P40">
            <v>100000</v>
          </cell>
          <cell r="Q40">
            <v>600000</v>
          </cell>
          <cell r="R40">
            <v>100000</v>
          </cell>
          <cell r="S40">
            <v>100000</v>
          </cell>
          <cell r="T40">
            <v>100000</v>
          </cell>
          <cell r="U40">
            <v>100000</v>
          </cell>
          <cell r="V40">
            <v>100000</v>
          </cell>
          <cell r="W40">
            <v>100000</v>
          </cell>
          <cell r="X40">
            <v>100000</v>
          </cell>
          <cell r="Y40">
            <v>100000</v>
          </cell>
        </row>
        <row r="41">
          <cell r="D41" t="str">
            <v>R&amp;D</v>
          </cell>
          <cell r="F41">
            <v>100000</v>
          </cell>
          <cell r="G41">
            <v>100000</v>
          </cell>
          <cell r="H41">
            <v>100000</v>
          </cell>
          <cell r="I41">
            <v>100000</v>
          </cell>
          <cell r="J41">
            <v>100000</v>
          </cell>
          <cell r="K41">
            <v>100000</v>
          </cell>
          <cell r="L41">
            <v>100000</v>
          </cell>
          <cell r="M41">
            <v>100000</v>
          </cell>
          <cell r="S41">
            <v>100000</v>
          </cell>
          <cell r="X41">
            <v>100000</v>
          </cell>
        </row>
        <row r="42">
          <cell r="D42" t="str">
            <v>R&amp;D</v>
          </cell>
          <cell r="F42">
            <v>200000</v>
          </cell>
          <cell r="G42">
            <v>200000</v>
          </cell>
          <cell r="H42">
            <v>200000</v>
          </cell>
          <cell r="I42">
            <v>200000</v>
          </cell>
          <cell r="J42">
            <v>200000</v>
          </cell>
          <cell r="M42"/>
          <cell r="R42"/>
          <cell r="S42"/>
          <cell r="T42"/>
          <cell r="V42"/>
          <cell r="X42"/>
        </row>
        <row r="43">
          <cell r="D43" t="str">
            <v>R&amp;D</v>
          </cell>
          <cell r="M43"/>
          <cell r="R43"/>
          <cell r="S43"/>
          <cell r="T43">
            <v>4000000</v>
          </cell>
          <cell r="V43">
            <v>4000000</v>
          </cell>
          <cell r="X43">
            <v>2000000</v>
          </cell>
        </row>
        <row r="44">
          <cell r="D44"/>
          <cell r="F44">
            <v>875000</v>
          </cell>
          <cell r="G44">
            <v>875000</v>
          </cell>
          <cell r="H44">
            <v>2875000</v>
          </cell>
          <cell r="I44">
            <v>2875000</v>
          </cell>
          <cell r="J44">
            <v>2475000</v>
          </cell>
          <cell r="K44">
            <v>2775000</v>
          </cell>
          <cell r="L44">
            <v>2275000</v>
          </cell>
          <cell r="M44">
            <v>775000</v>
          </cell>
          <cell r="N44">
            <v>175000</v>
          </cell>
          <cell r="O44">
            <v>575000</v>
          </cell>
          <cell r="P44">
            <v>175000</v>
          </cell>
          <cell r="Q44">
            <v>675000</v>
          </cell>
          <cell r="R44">
            <v>175000</v>
          </cell>
          <cell r="S44">
            <v>275000</v>
          </cell>
          <cell r="T44">
            <v>4675000</v>
          </cell>
          <cell r="U44">
            <v>575000</v>
          </cell>
          <cell r="V44">
            <v>4175000</v>
          </cell>
          <cell r="W44">
            <v>175000</v>
          </cell>
          <cell r="X44">
            <v>2275000</v>
          </cell>
          <cell r="Y44">
            <v>775000</v>
          </cell>
        </row>
        <row r="45">
          <cell r="D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</row>
        <row r="46">
          <cell r="D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</row>
        <row r="47">
          <cell r="D47" t="str">
            <v>Resource Evaluation</v>
          </cell>
          <cell r="F47">
            <v>750000</v>
          </cell>
          <cell r="G47"/>
          <cell r="H47"/>
          <cell r="I47">
            <v>750000</v>
          </cell>
          <cell r="J47"/>
          <cell r="K47"/>
          <cell r="L47">
            <v>750000</v>
          </cell>
          <cell r="M47"/>
          <cell r="N47"/>
          <cell r="O47">
            <v>750000</v>
          </cell>
          <cell r="P47"/>
          <cell r="Q47"/>
          <cell r="R47"/>
          <cell r="S47"/>
          <cell r="T47"/>
          <cell r="U47"/>
          <cell r="V47"/>
          <cell r="W47"/>
          <cell r="X47"/>
          <cell r="Y47"/>
        </row>
        <row r="48">
          <cell r="D48" t="str">
            <v>Subsurface engineering services</v>
          </cell>
          <cell r="F48">
            <v>100000</v>
          </cell>
          <cell r="G48">
            <v>100000</v>
          </cell>
          <cell r="H48">
            <v>100000</v>
          </cell>
          <cell r="I48">
            <v>100000</v>
          </cell>
          <cell r="J48">
            <v>100000</v>
          </cell>
          <cell r="K48">
            <v>100000</v>
          </cell>
          <cell r="L48">
            <v>100000</v>
          </cell>
          <cell r="M48">
            <v>100000</v>
          </cell>
          <cell r="N48">
            <v>100000</v>
          </cell>
          <cell r="O48">
            <v>100000</v>
          </cell>
          <cell r="P48">
            <v>100000</v>
          </cell>
          <cell r="Q48">
            <v>100000</v>
          </cell>
          <cell r="R48">
            <v>100000</v>
          </cell>
          <cell r="S48">
            <v>100000</v>
          </cell>
          <cell r="T48">
            <v>100000</v>
          </cell>
          <cell r="U48"/>
          <cell r="V48"/>
          <cell r="W48"/>
          <cell r="X48"/>
          <cell r="Y48"/>
        </row>
        <row r="49">
          <cell r="D49" t="str">
            <v>Surface engineering services</v>
          </cell>
          <cell r="F49"/>
          <cell r="G49"/>
          <cell r="H49">
            <v>335000</v>
          </cell>
          <cell r="I49"/>
          <cell r="J49"/>
          <cell r="K49">
            <v>335000</v>
          </cell>
          <cell r="L49"/>
          <cell r="M49"/>
          <cell r="N49">
            <v>335000</v>
          </cell>
          <cell r="O49"/>
          <cell r="P49"/>
          <cell r="Q49">
            <v>335000</v>
          </cell>
          <cell r="R49"/>
          <cell r="S49"/>
          <cell r="T49"/>
          <cell r="U49"/>
          <cell r="V49"/>
          <cell r="W49"/>
          <cell r="X49"/>
          <cell r="Y49"/>
        </row>
        <row r="50">
          <cell r="D50" t="str">
            <v>Fully equitized wells</v>
          </cell>
          <cell r="F50">
            <v>20000000</v>
          </cell>
          <cell r="G50"/>
          <cell r="H50"/>
          <cell r="I50"/>
          <cell r="J50"/>
          <cell r="M50"/>
          <cell r="N50"/>
          <cell r="O50"/>
          <cell r="P50"/>
          <cell r="Q50"/>
          <cell r="R50">
            <v>20000000</v>
          </cell>
          <cell r="S50"/>
          <cell r="T50"/>
          <cell r="U50"/>
          <cell r="V50"/>
          <cell r="W50"/>
          <cell r="X50"/>
          <cell r="Y50"/>
        </row>
        <row r="51">
          <cell r="D51" t="str">
            <v>Project Development</v>
          </cell>
          <cell r="F51">
            <v>200000</v>
          </cell>
          <cell r="G51">
            <v>200000</v>
          </cell>
          <cell r="H51">
            <v>200000</v>
          </cell>
          <cell r="I51">
            <v>200000</v>
          </cell>
          <cell r="J51">
            <v>200000</v>
          </cell>
          <cell r="K51">
            <v>200000</v>
          </cell>
          <cell r="L51">
            <v>200000</v>
          </cell>
          <cell r="M51">
            <v>200000</v>
          </cell>
          <cell r="N51">
            <v>200000</v>
          </cell>
          <cell r="O51">
            <v>200000</v>
          </cell>
          <cell r="P51">
            <v>200000</v>
          </cell>
          <cell r="Q51">
            <v>200000</v>
          </cell>
          <cell r="R51">
            <v>200000</v>
          </cell>
          <cell r="S51">
            <v>200000</v>
          </cell>
          <cell r="T51">
            <v>200000</v>
          </cell>
          <cell r="U51">
            <v>200000</v>
          </cell>
          <cell r="V51">
            <v>200000</v>
          </cell>
          <cell r="W51">
            <v>200000</v>
          </cell>
          <cell r="X51">
            <v>200000</v>
          </cell>
          <cell r="Y51">
            <v>200000</v>
          </cell>
        </row>
        <row r="52">
          <cell r="D52"/>
          <cell r="F52">
            <v>21050000</v>
          </cell>
          <cell r="G52">
            <v>300000</v>
          </cell>
          <cell r="H52">
            <v>635000</v>
          </cell>
          <cell r="I52">
            <v>1050000</v>
          </cell>
          <cell r="J52">
            <v>300000</v>
          </cell>
          <cell r="K52">
            <v>635000</v>
          </cell>
          <cell r="L52">
            <v>1050000</v>
          </cell>
          <cell r="M52">
            <v>300000</v>
          </cell>
          <cell r="N52">
            <v>635000</v>
          </cell>
          <cell r="O52">
            <v>1050000</v>
          </cell>
          <cell r="P52">
            <v>300000</v>
          </cell>
          <cell r="Q52">
            <v>635000</v>
          </cell>
          <cell r="R52">
            <v>20300000</v>
          </cell>
          <cell r="S52">
            <v>300000</v>
          </cell>
          <cell r="T52">
            <v>300000</v>
          </cell>
          <cell r="U52">
            <v>200000</v>
          </cell>
          <cell r="V52">
            <v>200000</v>
          </cell>
          <cell r="W52">
            <v>200000</v>
          </cell>
          <cell r="X52">
            <v>200000</v>
          </cell>
          <cell r="Y52">
            <v>200000</v>
          </cell>
        </row>
        <row r="53">
          <cell r="D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</row>
        <row r="54"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</row>
        <row r="55">
          <cell r="D55"/>
          <cell r="F55">
            <v>23133163.902607616</v>
          </cell>
          <cell r="G55">
            <v>2574155.9411291406</v>
          </cell>
          <cell r="H55">
            <v>5071819.9519463591</v>
          </cell>
          <cell r="I55">
            <v>5639483.9527635779</v>
          </cell>
          <cell r="J55">
            <v>4680475.9912851006</v>
          </cell>
          <cell r="K55">
            <v>5468139.9921023194</v>
          </cell>
          <cell r="L55">
            <v>5535803.9929195382</v>
          </cell>
          <cell r="M55">
            <v>3476796.041441062</v>
          </cell>
          <cell r="N55">
            <v>3364460.0422582803</v>
          </cell>
          <cell r="O55">
            <v>4332124.0430754982</v>
          </cell>
          <cell r="P55">
            <v>3334788.0438927175</v>
          </cell>
          <cell r="Q55">
            <v>4284124.007005631</v>
          </cell>
          <cell r="R55">
            <v>23563459.980118547</v>
          </cell>
          <cell r="S55">
            <v>3777795.9432314592</v>
          </cell>
          <cell r="T55">
            <v>8263803.8686400689</v>
          </cell>
          <cell r="U55">
            <v>4139811.7940486781</v>
          </cell>
          <cell r="V55">
            <v>7854147.7571615912</v>
          </cell>
          <cell r="W55">
            <v>4230155.6825702004</v>
          </cell>
          <cell r="X55">
            <v>6106163.6179788103</v>
          </cell>
          <cell r="Y55">
            <v>4720499.5810917253</v>
          </cell>
        </row>
      </sheetData>
      <sheetData sheetId="10" refreshError="1"/>
      <sheetData sheetId="11" refreshError="1"/>
      <sheetData sheetId="12" refreshError="1"/>
      <sheetData sheetId="13">
        <row r="5">
          <cell r="D5">
            <v>45322</v>
          </cell>
          <cell r="E5">
            <v>45351</v>
          </cell>
          <cell r="F5">
            <v>45382</v>
          </cell>
          <cell r="G5">
            <v>45412</v>
          </cell>
          <cell r="H5">
            <v>45443</v>
          </cell>
          <cell r="I5">
            <v>45473</v>
          </cell>
          <cell r="J5">
            <v>45504</v>
          </cell>
          <cell r="K5">
            <v>45535</v>
          </cell>
          <cell r="L5">
            <v>45565</v>
          </cell>
          <cell r="M5">
            <v>45596</v>
          </cell>
          <cell r="N5">
            <v>45626</v>
          </cell>
          <cell r="O5">
            <v>45657</v>
          </cell>
          <cell r="P5">
            <v>45688</v>
          </cell>
          <cell r="Q5">
            <v>45716</v>
          </cell>
          <cell r="R5">
            <v>45747</v>
          </cell>
        </row>
        <row r="8">
          <cell r="C8" t="str">
            <v>Revenue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/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/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</row>
        <row r="12">
          <cell r="C12" t="str">
            <v>Marketing</v>
          </cell>
          <cell r="D12">
            <v>0</v>
          </cell>
          <cell r="E12">
            <v>0</v>
          </cell>
          <cell r="F12">
            <v>0</v>
          </cell>
          <cell r="G12">
            <v>2142.15</v>
          </cell>
          <cell r="H12">
            <v>925</v>
          </cell>
          <cell r="I12">
            <v>584.55999999999995</v>
          </cell>
          <cell r="J12">
            <v>0</v>
          </cell>
          <cell r="K12">
            <v>0</v>
          </cell>
          <cell r="L12">
            <v>0</v>
          </cell>
          <cell r="M12">
            <v>177.12</v>
          </cell>
          <cell r="N12">
            <v>4812.54</v>
          </cell>
          <cell r="O12">
            <v>0</v>
          </cell>
          <cell r="P12">
            <v>0</v>
          </cell>
          <cell r="Q12">
            <v>6000</v>
          </cell>
          <cell r="R12">
            <v>0</v>
          </cell>
        </row>
        <row r="13">
          <cell r="C13" t="str">
            <v>Marketing</v>
          </cell>
          <cell r="D13">
            <v>0</v>
          </cell>
          <cell r="E13">
            <v>3840</v>
          </cell>
          <cell r="F13">
            <v>0</v>
          </cell>
          <cell r="G13">
            <v>3988</v>
          </cell>
          <cell r="H13">
            <v>0</v>
          </cell>
          <cell r="I13">
            <v>1140</v>
          </cell>
          <cell r="J13">
            <v>3125</v>
          </cell>
          <cell r="K13">
            <v>3006</v>
          </cell>
          <cell r="L13">
            <v>1367.16</v>
          </cell>
          <cell r="M13">
            <v>-136.75</v>
          </cell>
          <cell r="N13">
            <v>8887.3799999999992</v>
          </cell>
          <cell r="O13">
            <v>4636.26</v>
          </cell>
          <cell r="P13">
            <v>315</v>
          </cell>
          <cell r="Q13">
            <v>7997.27</v>
          </cell>
          <cell r="R13">
            <v>215.91</v>
          </cell>
        </row>
        <row r="14">
          <cell r="C14" t="str">
            <v>Government Affairs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5000</v>
          </cell>
          <cell r="K14">
            <v>2291.66</v>
          </cell>
          <cell r="L14">
            <v>42016.25</v>
          </cell>
          <cell r="M14">
            <v>20000</v>
          </cell>
          <cell r="N14">
            <v>20000</v>
          </cell>
          <cell r="O14">
            <v>25000</v>
          </cell>
          <cell r="P14">
            <v>20000</v>
          </cell>
          <cell r="Q14">
            <v>0</v>
          </cell>
          <cell r="R14">
            <v>9975</v>
          </cell>
        </row>
        <row r="15">
          <cell r="C15"/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C16"/>
          <cell r="D16">
            <v>114019.76</v>
          </cell>
          <cell r="E16">
            <v>132307.76</v>
          </cell>
          <cell r="F16">
            <v>132307.76</v>
          </cell>
          <cell r="G16">
            <v>138307.76999999999</v>
          </cell>
          <cell r="H16">
            <v>219580.91</v>
          </cell>
          <cell r="I16">
            <v>149282.78</v>
          </cell>
          <cell r="J16">
            <v>160175.06</v>
          </cell>
          <cell r="K16">
            <v>170673.17</v>
          </cell>
          <cell r="L16">
            <v>201802.94</v>
          </cell>
          <cell r="M16">
            <v>193851.4</v>
          </cell>
          <cell r="N16">
            <v>190885.81</v>
          </cell>
          <cell r="O16">
            <v>342048.79</v>
          </cell>
          <cell r="P16">
            <v>247436.4</v>
          </cell>
          <cell r="Q16">
            <v>229092.07</v>
          </cell>
          <cell r="R16">
            <v>230600.36</v>
          </cell>
        </row>
        <row r="17">
          <cell r="C17"/>
          <cell r="D17">
            <v>12379.52</v>
          </cell>
          <cell r="E17">
            <v>10778.2</v>
          </cell>
          <cell r="F17">
            <v>9379.02</v>
          </cell>
          <cell r="G17">
            <v>-12816.11</v>
          </cell>
          <cell r="H17">
            <v>17004.84</v>
          </cell>
          <cell r="I17">
            <v>-20716.7</v>
          </cell>
          <cell r="J17">
            <v>10138.030000000001</v>
          </cell>
          <cell r="K17">
            <v>11282.58</v>
          </cell>
          <cell r="L17">
            <v>-24361.599999999999</v>
          </cell>
          <cell r="M17">
            <v>11106.98</v>
          </cell>
          <cell r="N17">
            <v>10889.88</v>
          </cell>
          <cell r="O17">
            <v>8204.99</v>
          </cell>
          <cell r="P17">
            <v>21767.05</v>
          </cell>
          <cell r="Q17">
            <v>19514.91</v>
          </cell>
          <cell r="R17">
            <v>22261.51</v>
          </cell>
        </row>
        <row r="18">
          <cell r="C18"/>
          <cell r="D18">
            <v>15024.37</v>
          </cell>
          <cell r="E18">
            <v>150916.18</v>
          </cell>
          <cell r="F18">
            <v>17431.310000000001</v>
          </cell>
          <cell r="G18">
            <v>17580.310000000001</v>
          </cell>
          <cell r="H18">
            <v>24796.97</v>
          </cell>
          <cell r="I18">
            <v>21618.880000000001</v>
          </cell>
          <cell r="J18">
            <v>21945.47</v>
          </cell>
          <cell r="K18">
            <v>22032.7</v>
          </cell>
          <cell r="L18">
            <v>23221.439999999999</v>
          </cell>
          <cell r="M18">
            <v>22323.23</v>
          </cell>
          <cell r="N18">
            <v>5053.68</v>
          </cell>
          <cell r="O18">
            <v>1831.56</v>
          </cell>
          <cell r="P18">
            <v>0</v>
          </cell>
          <cell r="Q18">
            <v>155032.82</v>
          </cell>
          <cell r="R18">
            <v>43348.61</v>
          </cell>
        </row>
        <row r="19">
          <cell r="C19"/>
          <cell r="D19">
            <v>125000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20018</v>
          </cell>
        </row>
        <row r="20">
          <cell r="C20"/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25000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/>
          <cell r="D21">
            <v>946.85</v>
          </cell>
          <cell r="E21">
            <v>411</v>
          </cell>
          <cell r="F21">
            <v>1275.32</v>
          </cell>
          <cell r="G21">
            <v>884.37</v>
          </cell>
          <cell r="H21">
            <v>614.86</v>
          </cell>
          <cell r="I21">
            <v>1128.32</v>
          </cell>
          <cell r="J21">
            <v>445.84</v>
          </cell>
          <cell r="K21">
            <v>995.17</v>
          </cell>
          <cell r="L21">
            <v>4884.66</v>
          </cell>
          <cell r="M21">
            <v>3193.29</v>
          </cell>
          <cell r="N21">
            <v>3142.69</v>
          </cell>
          <cell r="O21">
            <v>3148.47</v>
          </cell>
          <cell r="P21">
            <v>3644.8</v>
          </cell>
          <cell r="Q21">
            <v>3078.82</v>
          </cell>
          <cell r="R21">
            <v>4194.79</v>
          </cell>
        </row>
        <row r="22">
          <cell r="C22" t="str">
            <v>Payroll</v>
          </cell>
          <cell r="D22">
            <v>267370.5</v>
          </cell>
          <cell r="E22">
            <v>294413.14</v>
          </cell>
          <cell r="F22">
            <v>160393.41</v>
          </cell>
          <cell r="G22">
            <v>143956.34</v>
          </cell>
          <cell r="H22">
            <v>261997.58</v>
          </cell>
          <cell r="I22">
            <v>151313.28</v>
          </cell>
          <cell r="J22">
            <v>217704.4</v>
          </cell>
          <cell r="K22">
            <v>204983.62000000002</v>
          </cell>
          <cell r="L22">
            <v>205547.44</v>
          </cell>
          <cell r="M22">
            <v>230474.90000000002</v>
          </cell>
          <cell r="N22">
            <v>209972.06</v>
          </cell>
          <cell r="O22">
            <v>355233.80999999994</v>
          </cell>
          <cell r="P22">
            <v>272848.25</v>
          </cell>
          <cell r="Q22">
            <v>406718.62000000005</v>
          </cell>
          <cell r="R22">
            <v>320423.26999999996</v>
          </cell>
        </row>
        <row r="23">
          <cell r="C23" t="str">
            <v>Other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499.78</v>
          </cell>
          <cell r="Q23">
            <v>439.96</v>
          </cell>
          <cell r="R23">
            <v>0</v>
          </cell>
        </row>
        <row r="24">
          <cell r="C24"/>
          <cell r="D24">
            <v>1616.22</v>
          </cell>
          <cell r="E24">
            <v>8780.6200000000008</v>
          </cell>
          <cell r="F24">
            <v>1727.49</v>
          </cell>
          <cell r="G24">
            <v>17634.09</v>
          </cell>
          <cell r="H24">
            <v>190.65</v>
          </cell>
          <cell r="I24">
            <v>2676.92</v>
          </cell>
          <cell r="J24">
            <v>1140.02</v>
          </cell>
          <cell r="K24">
            <v>2084.44</v>
          </cell>
          <cell r="L24">
            <v>1388.79</v>
          </cell>
          <cell r="M24">
            <v>4859.2</v>
          </cell>
          <cell r="N24">
            <v>4578.7</v>
          </cell>
          <cell r="O24">
            <v>2591.5100000000002</v>
          </cell>
          <cell r="P24">
            <v>0</v>
          </cell>
          <cell r="Q24">
            <v>0</v>
          </cell>
          <cell r="R24">
            <v>0</v>
          </cell>
        </row>
        <row r="25">
          <cell r="C25"/>
          <cell r="D25">
            <v>0</v>
          </cell>
          <cell r="E25">
            <v>0</v>
          </cell>
          <cell r="F25">
            <v>0</v>
          </cell>
          <cell r="G25">
            <v>56.1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34</v>
          </cell>
          <cell r="N25">
            <v>0</v>
          </cell>
          <cell r="O25">
            <v>0</v>
          </cell>
          <cell r="P25">
            <v>8318.15</v>
          </cell>
          <cell r="Q25">
            <v>21053.39</v>
          </cell>
          <cell r="R25">
            <v>492.96</v>
          </cell>
        </row>
        <row r="26">
          <cell r="C26"/>
          <cell r="D26">
            <v>0</v>
          </cell>
          <cell r="E26">
            <v>150.46</v>
          </cell>
          <cell r="F26">
            <v>73.819999999999993</v>
          </cell>
          <cell r="G26">
            <v>539.64</v>
          </cell>
          <cell r="H26">
            <v>0</v>
          </cell>
          <cell r="I26">
            <v>1173.01</v>
          </cell>
          <cell r="J26">
            <v>0</v>
          </cell>
          <cell r="K26">
            <v>102.53</v>
          </cell>
          <cell r="L26">
            <v>23.81</v>
          </cell>
          <cell r="M26">
            <v>0</v>
          </cell>
          <cell r="N26">
            <v>58.96</v>
          </cell>
          <cell r="O26">
            <v>10.85</v>
          </cell>
          <cell r="P26">
            <v>75.959999999999994</v>
          </cell>
          <cell r="Q26">
            <v>303.81</v>
          </cell>
          <cell r="R26">
            <v>0</v>
          </cell>
        </row>
        <row r="27">
          <cell r="C27"/>
          <cell r="D27">
            <v>766.39</v>
          </cell>
          <cell r="E27">
            <v>667.5</v>
          </cell>
          <cell r="F27">
            <v>4629.6899999999996</v>
          </cell>
          <cell r="G27">
            <v>8031.88</v>
          </cell>
          <cell r="H27">
            <v>2044.11</v>
          </cell>
          <cell r="I27">
            <v>2986.07</v>
          </cell>
          <cell r="J27">
            <v>2081.1999999999998</v>
          </cell>
          <cell r="K27">
            <v>1731.55</v>
          </cell>
          <cell r="L27">
            <v>1095.69</v>
          </cell>
          <cell r="M27">
            <v>2159.83</v>
          </cell>
          <cell r="N27">
            <v>2976.88</v>
          </cell>
          <cell r="O27">
            <v>3037.99</v>
          </cell>
          <cell r="P27">
            <v>0</v>
          </cell>
          <cell r="Q27">
            <v>308.58999999999997</v>
          </cell>
          <cell r="R27">
            <v>0</v>
          </cell>
        </row>
        <row r="28">
          <cell r="C28"/>
          <cell r="D28">
            <v>0</v>
          </cell>
          <cell r="E28">
            <v>46</v>
          </cell>
          <cell r="F28">
            <v>0</v>
          </cell>
          <cell r="G28">
            <v>12.4</v>
          </cell>
          <cell r="H28">
            <v>0</v>
          </cell>
          <cell r="I28">
            <v>88</v>
          </cell>
          <cell r="J28">
            <v>0</v>
          </cell>
          <cell r="K28">
            <v>58</v>
          </cell>
          <cell r="L28">
            <v>54</v>
          </cell>
          <cell r="M28">
            <v>151.74</v>
          </cell>
          <cell r="N28">
            <v>124</v>
          </cell>
          <cell r="O28">
            <v>478.28</v>
          </cell>
          <cell r="P28">
            <v>2975.97</v>
          </cell>
          <cell r="Q28">
            <v>10161.299999999999</v>
          </cell>
          <cell r="R28">
            <v>340.77</v>
          </cell>
        </row>
        <row r="29">
          <cell r="C29"/>
          <cell r="D29">
            <v>123.76</v>
          </cell>
          <cell r="E29">
            <v>150.32</v>
          </cell>
          <cell r="F29">
            <v>509.5</v>
          </cell>
          <cell r="G29">
            <v>678.56</v>
          </cell>
          <cell r="H29">
            <v>3713.36</v>
          </cell>
          <cell r="I29">
            <v>296.85000000000002</v>
          </cell>
          <cell r="J29">
            <v>39.299999999999997</v>
          </cell>
          <cell r="K29">
            <v>135.94</v>
          </cell>
          <cell r="L29">
            <v>302.02</v>
          </cell>
          <cell r="M29">
            <v>501.83</v>
          </cell>
          <cell r="N29">
            <v>288.45999999999998</v>
          </cell>
          <cell r="O29">
            <v>454.72</v>
          </cell>
          <cell r="P29">
            <v>16</v>
          </cell>
          <cell r="Q29">
            <v>90.3</v>
          </cell>
          <cell r="R29">
            <v>67.58</v>
          </cell>
        </row>
        <row r="30">
          <cell r="C30"/>
          <cell r="D30">
            <v>3373.01</v>
          </cell>
          <cell r="E30">
            <v>834.4</v>
          </cell>
          <cell r="F30">
            <v>847.1</v>
          </cell>
          <cell r="G30">
            <v>1722.44</v>
          </cell>
          <cell r="H30">
            <v>358.3</v>
          </cell>
          <cell r="I30">
            <v>1342.49</v>
          </cell>
          <cell r="J30">
            <v>52.25</v>
          </cell>
          <cell r="K30">
            <v>250</v>
          </cell>
          <cell r="L30">
            <v>400.84</v>
          </cell>
          <cell r="M30">
            <v>202.57</v>
          </cell>
          <cell r="N30">
            <v>71.66</v>
          </cell>
          <cell r="O30">
            <v>2549.88</v>
          </cell>
          <cell r="P30">
            <v>423.95</v>
          </cell>
          <cell r="Q30">
            <v>654.54999999999995</v>
          </cell>
          <cell r="R30">
            <v>119.09</v>
          </cell>
        </row>
        <row r="31">
          <cell r="C31"/>
          <cell r="D31">
            <v>0</v>
          </cell>
          <cell r="E31">
            <v>0</v>
          </cell>
          <cell r="F31">
            <v>89.11</v>
          </cell>
          <cell r="G31">
            <v>362.97</v>
          </cell>
          <cell r="H31">
            <v>0</v>
          </cell>
          <cell r="I31">
            <v>492.64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386.51</v>
          </cell>
          <cell r="Q31">
            <v>3084.91</v>
          </cell>
          <cell r="R31">
            <v>383.27</v>
          </cell>
        </row>
        <row r="32">
          <cell r="C32"/>
          <cell r="D32">
            <v>0</v>
          </cell>
          <cell r="E32">
            <v>118.21</v>
          </cell>
          <cell r="F32">
            <v>297.12</v>
          </cell>
          <cell r="G32">
            <v>745.96</v>
          </cell>
          <cell r="H32">
            <v>0</v>
          </cell>
          <cell r="I32">
            <v>0</v>
          </cell>
          <cell r="J32">
            <v>0</v>
          </cell>
          <cell r="K32">
            <v>486.76</v>
          </cell>
          <cell r="L32">
            <v>647.22</v>
          </cell>
          <cell r="M32">
            <v>1264.57</v>
          </cell>
          <cell r="N32">
            <v>601.23</v>
          </cell>
          <cell r="O32">
            <v>622.22</v>
          </cell>
          <cell r="P32">
            <v>476.01</v>
          </cell>
          <cell r="Q32">
            <v>902.26</v>
          </cell>
          <cell r="R32">
            <v>0</v>
          </cell>
        </row>
        <row r="33">
          <cell r="C33"/>
          <cell r="D33">
            <v>0</v>
          </cell>
          <cell r="E33">
            <v>0</v>
          </cell>
          <cell r="F33">
            <v>204.91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506.44</v>
          </cell>
          <cell r="R33">
            <v>128.36000000000001</v>
          </cell>
        </row>
        <row r="34">
          <cell r="C34"/>
          <cell r="D34">
            <v>0</v>
          </cell>
          <cell r="E34">
            <v>496.42</v>
          </cell>
          <cell r="F34">
            <v>1219.1500000000001</v>
          </cell>
          <cell r="G34">
            <v>6589.89</v>
          </cell>
          <cell r="H34">
            <v>425.6</v>
          </cell>
          <cell r="I34">
            <v>1175.6199999999999</v>
          </cell>
          <cell r="J34">
            <v>624.17999999999995</v>
          </cell>
          <cell r="K34">
            <v>349.24</v>
          </cell>
          <cell r="L34">
            <v>411.22</v>
          </cell>
          <cell r="M34">
            <v>1000.07</v>
          </cell>
          <cell r="N34">
            <v>542.6</v>
          </cell>
          <cell r="O34">
            <v>1327.22</v>
          </cell>
          <cell r="P34">
            <v>2849.71</v>
          </cell>
          <cell r="Q34">
            <v>4471.7700000000004</v>
          </cell>
          <cell r="R34">
            <v>0</v>
          </cell>
        </row>
        <row r="35">
          <cell r="C35"/>
          <cell r="D35">
            <v>0</v>
          </cell>
          <cell r="E35">
            <v>0</v>
          </cell>
          <cell r="F35">
            <v>0</v>
          </cell>
          <cell r="G35">
            <v>1220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837.12</v>
          </cell>
          <cell r="R35">
            <v>0</v>
          </cell>
        </row>
        <row r="36">
          <cell r="C36" t="str">
            <v>T&amp;E</v>
          </cell>
          <cell r="D36">
            <v>5879.380000000001</v>
          </cell>
          <cell r="E36">
            <v>11243.929999999998</v>
          </cell>
          <cell r="F36">
            <v>9597.89</v>
          </cell>
          <cell r="G36">
            <v>37593.93</v>
          </cell>
          <cell r="H36">
            <v>6732.02</v>
          </cell>
          <cell r="I36">
            <v>10231.599999999999</v>
          </cell>
          <cell r="J36">
            <v>3936.95</v>
          </cell>
          <cell r="K36">
            <v>5198.46</v>
          </cell>
          <cell r="L36">
            <v>4323.59</v>
          </cell>
          <cell r="M36">
            <v>10173.81</v>
          </cell>
          <cell r="N36">
            <v>9242.49</v>
          </cell>
          <cell r="O36">
            <v>11072.669999999998</v>
          </cell>
          <cell r="P36">
            <v>15522.259999999998</v>
          </cell>
          <cell r="Q36">
            <v>42374.44000000001</v>
          </cell>
          <cell r="R36">
            <v>1532.0300000000002</v>
          </cell>
        </row>
        <row r="37">
          <cell r="C37"/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/>
          <cell r="D38">
            <v>2300.98</v>
          </cell>
          <cell r="E38">
            <v>4921.1000000000004</v>
          </cell>
          <cell r="F38">
            <v>2716.03</v>
          </cell>
          <cell r="G38">
            <v>6493.51</v>
          </cell>
          <cell r="H38">
            <v>3298.54</v>
          </cell>
          <cell r="I38">
            <v>0</v>
          </cell>
          <cell r="J38">
            <v>5035.5</v>
          </cell>
          <cell r="K38">
            <v>768.06</v>
          </cell>
          <cell r="L38">
            <v>1768.32</v>
          </cell>
          <cell r="M38">
            <v>992.98</v>
          </cell>
          <cell r="N38">
            <v>2356.38</v>
          </cell>
          <cell r="O38">
            <v>0</v>
          </cell>
          <cell r="P38">
            <v>9791.57</v>
          </cell>
          <cell r="Q38">
            <v>3027.05</v>
          </cell>
          <cell r="R38">
            <v>1006.99</v>
          </cell>
        </row>
        <row r="39">
          <cell r="C39"/>
          <cell r="D39">
            <v>25.28</v>
          </cell>
          <cell r="E39">
            <v>0</v>
          </cell>
          <cell r="F39">
            <v>0</v>
          </cell>
          <cell r="G39">
            <v>0</v>
          </cell>
          <cell r="H39">
            <v>107.87</v>
          </cell>
          <cell r="I39">
            <v>0</v>
          </cell>
          <cell r="J39">
            <v>55.89</v>
          </cell>
          <cell r="K39">
            <v>107.87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107.87</v>
          </cell>
          <cell r="Q39">
            <v>0</v>
          </cell>
          <cell r="R39">
            <v>0</v>
          </cell>
        </row>
        <row r="40">
          <cell r="C40"/>
          <cell r="D40">
            <v>5784.16</v>
          </cell>
          <cell r="E40">
            <v>230.34</v>
          </cell>
          <cell r="F40">
            <v>8877.7900000000009</v>
          </cell>
          <cell r="G40">
            <v>1375.93</v>
          </cell>
          <cell r="H40">
            <v>2830</v>
          </cell>
          <cell r="I40">
            <v>259.72000000000003</v>
          </cell>
          <cell r="J40">
            <v>3751.14</v>
          </cell>
          <cell r="K40">
            <v>1187.02</v>
          </cell>
          <cell r="L40">
            <v>4079.03</v>
          </cell>
          <cell r="M40">
            <v>326.97000000000003</v>
          </cell>
          <cell r="N40">
            <v>428.96</v>
          </cell>
          <cell r="O40">
            <v>200</v>
          </cell>
          <cell r="P40">
            <v>0</v>
          </cell>
          <cell r="Q40">
            <v>0</v>
          </cell>
          <cell r="R40">
            <v>0</v>
          </cell>
        </row>
        <row r="41">
          <cell r="C41"/>
          <cell r="D41">
            <v>236</v>
          </cell>
          <cell r="E41">
            <v>66</v>
          </cell>
          <cell r="F41">
            <v>72</v>
          </cell>
          <cell r="G41">
            <v>0</v>
          </cell>
          <cell r="H41">
            <v>158</v>
          </cell>
          <cell r="I41">
            <v>0</v>
          </cell>
          <cell r="J41">
            <v>29.69</v>
          </cell>
          <cell r="K41">
            <v>0</v>
          </cell>
          <cell r="L41">
            <v>76</v>
          </cell>
          <cell r="M41">
            <v>0</v>
          </cell>
          <cell r="N41">
            <v>20</v>
          </cell>
          <cell r="O41">
            <v>0</v>
          </cell>
          <cell r="P41">
            <v>4298.47</v>
          </cell>
          <cell r="Q41">
            <v>648.5</v>
          </cell>
          <cell r="R41">
            <v>0</v>
          </cell>
        </row>
        <row r="42">
          <cell r="C42"/>
          <cell r="D42">
            <v>-1285.68</v>
          </cell>
          <cell r="E42">
            <v>0</v>
          </cell>
          <cell r="F42">
            <v>0</v>
          </cell>
          <cell r="G42">
            <v>0</v>
          </cell>
          <cell r="H42">
            <v>207.55</v>
          </cell>
          <cell r="I42">
            <v>0</v>
          </cell>
          <cell r="J42">
            <v>388.64</v>
          </cell>
          <cell r="K42">
            <v>0</v>
          </cell>
          <cell r="L42">
            <v>0</v>
          </cell>
          <cell r="M42">
            <v>0</v>
          </cell>
          <cell r="N42">
            <v>139.08000000000001</v>
          </cell>
          <cell r="O42">
            <v>0</v>
          </cell>
          <cell r="P42">
            <v>106.05</v>
          </cell>
          <cell r="Q42">
            <v>604.45000000000005</v>
          </cell>
          <cell r="R42">
            <v>102.49</v>
          </cell>
        </row>
        <row r="43">
          <cell r="C43"/>
          <cell r="D43">
            <v>51.55</v>
          </cell>
          <cell r="E43">
            <v>565.11</v>
          </cell>
          <cell r="F43">
            <v>4987.55</v>
          </cell>
          <cell r="G43">
            <v>0</v>
          </cell>
          <cell r="H43">
            <v>2194.29</v>
          </cell>
          <cell r="I43">
            <v>0</v>
          </cell>
          <cell r="J43">
            <v>454.27</v>
          </cell>
          <cell r="K43">
            <v>900</v>
          </cell>
          <cell r="L43">
            <v>1688.25</v>
          </cell>
          <cell r="M43">
            <v>0</v>
          </cell>
          <cell r="N43">
            <v>2207.19</v>
          </cell>
          <cell r="O43">
            <v>0</v>
          </cell>
          <cell r="P43">
            <v>545.05999999999995</v>
          </cell>
          <cell r="Q43">
            <v>302.45</v>
          </cell>
          <cell r="R43">
            <v>0</v>
          </cell>
        </row>
        <row r="44">
          <cell r="C44"/>
          <cell r="D44">
            <v>232.51</v>
          </cell>
          <cell r="E44">
            <v>0</v>
          </cell>
          <cell r="F44">
            <v>0</v>
          </cell>
          <cell r="G44">
            <v>0</v>
          </cell>
          <cell r="H44">
            <v>523.92999999999995</v>
          </cell>
          <cell r="I44">
            <v>0</v>
          </cell>
          <cell r="J44">
            <v>0</v>
          </cell>
          <cell r="K44">
            <v>308.36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131.09</v>
          </cell>
          <cell r="Q44">
            <v>0</v>
          </cell>
          <cell r="R44">
            <v>0</v>
          </cell>
        </row>
        <row r="45">
          <cell r="C45"/>
          <cell r="D45">
            <v>1206.52</v>
          </cell>
          <cell r="E45">
            <v>177.31</v>
          </cell>
          <cell r="F45">
            <v>550.05999999999995</v>
          </cell>
          <cell r="G45">
            <v>769.95</v>
          </cell>
          <cell r="H45">
            <v>520.02</v>
          </cell>
          <cell r="I45">
            <v>45.98</v>
          </cell>
          <cell r="J45">
            <v>1055.57</v>
          </cell>
          <cell r="K45">
            <v>74.849999999999994</v>
          </cell>
          <cell r="L45">
            <v>612.82000000000005</v>
          </cell>
          <cell r="M45">
            <v>395.65</v>
          </cell>
          <cell r="N45">
            <v>384.83</v>
          </cell>
          <cell r="O45">
            <v>32.979999999999997</v>
          </cell>
          <cell r="P45">
            <v>1025.24</v>
          </cell>
          <cell r="Q45">
            <v>1160.44</v>
          </cell>
          <cell r="R45">
            <v>0</v>
          </cell>
        </row>
        <row r="46">
          <cell r="C46"/>
          <cell r="D46">
            <v>1675.63</v>
          </cell>
          <cell r="E46">
            <v>1627.77</v>
          </cell>
          <cell r="F46">
            <v>0</v>
          </cell>
          <cell r="G46">
            <v>3997.46</v>
          </cell>
          <cell r="H46">
            <v>2230.79</v>
          </cell>
          <cell r="I46">
            <v>4185</v>
          </cell>
          <cell r="J46">
            <v>4336.71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2500</v>
          </cell>
        </row>
        <row r="47">
          <cell r="C47"/>
          <cell r="D47">
            <v>0</v>
          </cell>
          <cell r="E47">
            <v>0</v>
          </cell>
          <cell r="F47">
            <v>20.77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222.55</v>
          </cell>
        </row>
        <row r="48">
          <cell r="C48" t="str">
            <v>T&amp;E</v>
          </cell>
          <cell r="D48">
            <v>10226.950000000001</v>
          </cell>
          <cell r="E48">
            <v>7587.630000000001</v>
          </cell>
          <cell r="F48">
            <v>17224.200000000004</v>
          </cell>
          <cell r="G48">
            <v>12636.850000000002</v>
          </cell>
          <cell r="H48">
            <v>12070.990000000002</v>
          </cell>
          <cell r="I48">
            <v>4490.7</v>
          </cell>
          <cell r="J48">
            <v>15107.41</v>
          </cell>
          <cell r="K48">
            <v>3346.16</v>
          </cell>
          <cell r="L48">
            <v>8224.42</v>
          </cell>
          <cell r="M48">
            <v>1715.6</v>
          </cell>
          <cell r="N48">
            <v>5536.4400000000005</v>
          </cell>
          <cell r="O48">
            <v>232.98</v>
          </cell>
          <cell r="P48">
            <v>16005.35</v>
          </cell>
          <cell r="Q48">
            <v>5742.89</v>
          </cell>
          <cell r="R48">
            <v>3832.03</v>
          </cell>
        </row>
        <row r="49">
          <cell r="C49"/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Legal Fees - Corporate</v>
          </cell>
          <cell r="D50">
            <v>378.5</v>
          </cell>
          <cell r="E50">
            <v>14918</v>
          </cell>
          <cell r="F50">
            <v>2610</v>
          </cell>
          <cell r="G50">
            <v>13077</v>
          </cell>
          <cell r="H50">
            <v>21476.5</v>
          </cell>
          <cell r="I50">
            <v>6267</v>
          </cell>
          <cell r="J50">
            <v>3270.45</v>
          </cell>
          <cell r="K50">
            <v>8297</v>
          </cell>
          <cell r="L50">
            <v>16083.4</v>
          </cell>
          <cell r="M50">
            <v>22934.43</v>
          </cell>
          <cell r="N50">
            <v>5969.6</v>
          </cell>
          <cell r="O50">
            <v>3464.05</v>
          </cell>
          <cell r="P50">
            <v>14830.15</v>
          </cell>
          <cell r="Q50">
            <v>11656.75</v>
          </cell>
          <cell r="R50">
            <v>43723.61</v>
          </cell>
        </row>
        <row r="51">
          <cell r="C51" t="str">
            <v>Legal Fees - Intellectual Property</v>
          </cell>
          <cell r="D51">
            <v>0.13</v>
          </cell>
          <cell r="E51">
            <v>2275</v>
          </cell>
          <cell r="F51">
            <v>2179.9499999999998</v>
          </cell>
          <cell r="G51">
            <v>-26073.98</v>
          </cell>
          <cell r="H51">
            <v>40676.18</v>
          </cell>
          <cell r="I51">
            <v>0</v>
          </cell>
          <cell r="J51">
            <v>2900</v>
          </cell>
          <cell r="K51">
            <v>2832.27</v>
          </cell>
          <cell r="L51">
            <v>1558.5</v>
          </cell>
          <cell r="M51">
            <v>0</v>
          </cell>
          <cell r="N51">
            <v>3240.5</v>
          </cell>
          <cell r="O51">
            <v>4900.5</v>
          </cell>
          <cell r="P51">
            <v>235</v>
          </cell>
          <cell r="Q51">
            <v>0</v>
          </cell>
          <cell r="R51">
            <v>115</v>
          </cell>
        </row>
        <row r="52">
          <cell r="C52"/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C53"/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31774</v>
          </cell>
          <cell r="R53">
            <v>58766.85</v>
          </cell>
        </row>
        <row r="54">
          <cell r="C54" t="str">
            <v>Legal Fees - Financing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31774</v>
          </cell>
          <cell r="R54">
            <v>58766.85</v>
          </cell>
        </row>
        <row r="55">
          <cell r="C55"/>
          <cell r="D55">
            <v>378.63</v>
          </cell>
          <cell r="E55">
            <v>17193</v>
          </cell>
          <cell r="F55">
            <v>4789.95</v>
          </cell>
          <cell r="G55">
            <v>-12996.98</v>
          </cell>
          <cell r="H55">
            <v>62152.68</v>
          </cell>
          <cell r="I55">
            <v>6267</v>
          </cell>
          <cell r="J55">
            <v>6170.45</v>
          </cell>
          <cell r="K55">
            <v>11129.27</v>
          </cell>
          <cell r="L55">
            <v>17641.900000000001</v>
          </cell>
          <cell r="M55">
            <v>22934.43</v>
          </cell>
          <cell r="N55">
            <v>9210.1</v>
          </cell>
          <cell r="O55">
            <v>8364.5499999999993</v>
          </cell>
          <cell r="P55">
            <v>15065.15</v>
          </cell>
          <cell r="Q55">
            <v>43430.75</v>
          </cell>
          <cell r="R55">
            <v>102605.45999999999</v>
          </cell>
        </row>
        <row r="56">
          <cell r="C56" t="str">
            <v>Overhead</v>
          </cell>
          <cell r="D56">
            <v>6742.5</v>
          </cell>
          <cell r="E56">
            <v>6669.58</v>
          </cell>
          <cell r="F56">
            <v>6234.71</v>
          </cell>
          <cell r="G56">
            <v>5436.89</v>
          </cell>
          <cell r="H56">
            <v>8850.51</v>
          </cell>
          <cell r="I56">
            <v>8221.81</v>
          </cell>
          <cell r="J56">
            <v>8594.5300000000007</v>
          </cell>
          <cell r="K56">
            <v>13595.66</v>
          </cell>
          <cell r="L56">
            <v>13432.25</v>
          </cell>
          <cell r="M56">
            <v>5595.33</v>
          </cell>
          <cell r="N56">
            <v>5366.26</v>
          </cell>
          <cell r="O56">
            <v>7454.08</v>
          </cell>
          <cell r="P56">
            <v>9758.01</v>
          </cell>
          <cell r="Q56">
            <v>9948.32</v>
          </cell>
          <cell r="R56">
            <v>7891.82</v>
          </cell>
        </row>
        <row r="57">
          <cell r="C57" t="str">
            <v>Overhead</v>
          </cell>
          <cell r="D57">
            <v>2748.5</v>
          </cell>
          <cell r="E57">
            <v>0</v>
          </cell>
          <cell r="F57">
            <v>2500</v>
          </cell>
          <cell r="G57">
            <v>0</v>
          </cell>
          <cell r="H57">
            <v>0</v>
          </cell>
          <cell r="I57">
            <v>0</v>
          </cell>
          <cell r="J57">
            <v>198.04</v>
          </cell>
          <cell r="K57">
            <v>468.05</v>
          </cell>
          <cell r="L57">
            <v>2075.2600000000002</v>
          </cell>
          <cell r="M57">
            <v>1768.24</v>
          </cell>
          <cell r="N57">
            <v>0</v>
          </cell>
          <cell r="O57">
            <v>511.16</v>
          </cell>
          <cell r="P57">
            <v>0</v>
          </cell>
          <cell r="Q57">
            <v>0</v>
          </cell>
          <cell r="R57">
            <v>1500</v>
          </cell>
        </row>
        <row r="58">
          <cell r="C58" t="str">
            <v>Overhead</v>
          </cell>
          <cell r="D58">
            <v>5000</v>
          </cell>
          <cell r="E58">
            <v>5610.49</v>
          </cell>
          <cell r="F58">
            <v>479.98</v>
          </cell>
          <cell r="G58">
            <v>239.99</v>
          </cell>
          <cell r="H58">
            <v>280</v>
          </cell>
          <cell r="I58">
            <v>329</v>
          </cell>
          <cell r="J58">
            <v>2520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130</v>
          </cell>
          <cell r="P58">
            <v>0</v>
          </cell>
          <cell r="Q58">
            <v>130</v>
          </cell>
          <cell r="R58">
            <v>0</v>
          </cell>
        </row>
        <row r="59">
          <cell r="C59" t="str">
            <v>Overhead</v>
          </cell>
          <cell r="D59">
            <v>0</v>
          </cell>
          <cell r="E59">
            <v>0</v>
          </cell>
          <cell r="F59">
            <v>2524.6</v>
          </cell>
          <cell r="G59">
            <v>888.24</v>
          </cell>
          <cell r="H59">
            <v>0</v>
          </cell>
          <cell r="I59">
            <v>1164.8599999999999</v>
          </cell>
          <cell r="J59">
            <v>0</v>
          </cell>
          <cell r="K59">
            <v>0</v>
          </cell>
          <cell r="L59">
            <v>0</v>
          </cell>
          <cell r="M59">
            <v>211.01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Overhead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819.96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860.74</v>
          </cell>
          <cell r="Q60">
            <v>0</v>
          </cell>
          <cell r="R60">
            <v>-465.26</v>
          </cell>
        </row>
        <row r="61">
          <cell r="C61" t="str">
            <v>N/A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C62" t="str">
            <v>N/A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C63" t="str">
            <v>Subject Matter experts</v>
          </cell>
          <cell r="D63">
            <v>20000</v>
          </cell>
          <cell r="E63">
            <v>20000</v>
          </cell>
          <cell r="F63">
            <v>20000</v>
          </cell>
          <cell r="G63">
            <v>20000</v>
          </cell>
          <cell r="H63">
            <v>20000</v>
          </cell>
          <cell r="I63">
            <v>9000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6600</v>
          </cell>
        </row>
        <row r="64">
          <cell r="C64" t="str">
            <v>Software services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1340</v>
          </cell>
          <cell r="I64">
            <v>0</v>
          </cell>
          <cell r="J64">
            <v>0</v>
          </cell>
          <cell r="K64">
            <v>0</v>
          </cell>
          <cell r="L64">
            <v>5116.72</v>
          </cell>
          <cell r="M64">
            <v>5116.72</v>
          </cell>
          <cell r="N64">
            <v>5116.72</v>
          </cell>
          <cell r="O64">
            <v>5116.72</v>
          </cell>
          <cell r="P64">
            <v>5116.72</v>
          </cell>
          <cell r="Q64">
            <v>5116.72</v>
          </cell>
          <cell r="R64">
            <v>5116.72</v>
          </cell>
        </row>
        <row r="65">
          <cell r="C65" t="str">
            <v>Eng services</v>
          </cell>
          <cell r="D65">
            <v>6825</v>
          </cell>
          <cell r="E65">
            <v>6937.5</v>
          </cell>
          <cell r="F65">
            <v>10500</v>
          </cell>
          <cell r="G65">
            <v>31475</v>
          </cell>
          <cell r="H65">
            <v>43637.5</v>
          </cell>
          <cell r="I65">
            <v>0</v>
          </cell>
          <cell r="J65">
            <v>7000</v>
          </cell>
          <cell r="K65">
            <v>31575</v>
          </cell>
          <cell r="L65">
            <v>12100</v>
          </cell>
          <cell r="M65">
            <v>12750</v>
          </cell>
          <cell r="N65">
            <v>13500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C66" t="str">
            <v>General Research</v>
          </cell>
          <cell r="D66">
            <v>0</v>
          </cell>
          <cell r="E66">
            <v>0</v>
          </cell>
          <cell r="F66">
            <v>0</v>
          </cell>
          <cell r="G66">
            <v>325.58999999999997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12825</v>
          </cell>
          <cell r="Q66">
            <v>0</v>
          </cell>
          <cell r="R66">
            <v>21600</v>
          </cell>
        </row>
        <row r="67">
          <cell r="C67"/>
          <cell r="D67">
            <v>26825</v>
          </cell>
          <cell r="E67">
            <v>26937.5</v>
          </cell>
          <cell r="F67">
            <v>30500</v>
          </cell>
          <cell r="G67">
            <v>51800.59</v>
          </cell>
          <cell r="H67">
            <v>64977.5</v>
          </cell>
          <cell r="I67">
            <v>9000</v>
          </cell>
          <cell r="J67">
            <v>7000</v>
          </cell>
          <cell r="K67">
            <v>31575</v>
          </cell>
          <cell r="L67">
            <v>17216.72</v>
          </cell>
          <cell r="M67">
            <v>17866.72</v>
          </cell>
          <cell r="N67">
            <v>18616.72</v>
          </cell>
          <cell r="O67">
            <v>5116.72</v>
          </cell>
          <cell r="P67">
            <v>17941.72</v>
          </cell>
          <cell r="Q67">
            <v>5116.72</v>
          </cell>
          <cell r="R67">
            <v>33316.720000000001</v>
          </cell>
        </row>
        <row r="68">
          <cell r="C68" t="str">
            <v>PR</v>
          </cell>
          <cell r="D68">
            <v>7917.96</v>
          </cell>
          <cell r="E68">
            <v>27087.48</v>
          </cell>
          <cell r="F68">
            <v>26716.400000000001</v>
          </cell>
          <cell r="G68">
            <v>80725.72</v>
          </cell>
          <cell r="H68">
            <v>32705.279999999999</v>
          </cell>
          <cell r="I68">
            <v>38587.67</v>
          </cell>
          <cell r="J68">
            <v>44965.5</v>
          </cell>
          <cell r="K68">
            <v>18997.77</v>
          </cell>
          <cell r="L68">
            <v>38589.300000000003</v>
          </cell>
          <cell r="M68">
            <v>47989.91</v>
          </cell>
          <cell r="N68">
            <v>29086.26</v>
          </cell>
          <cell r="O68">
            <v>30435.94</v>
          </cell>
          <cell r="P68">
            <v>32962.870000000003</v>
          </cell>
          <cell r="Q68">
            <v>0</v>
          </cell>
          <cell r="R68">
            <v>63</v>
          </cell>
        </row>
        <row r="69">
          <cell r="C69" t="str">
            <v>Audit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11930.4</v>
          </cell>
          <cell r="R69">
            <v>15846.5</v>
          </cell>
        </row>
        <row r="70">
          <cell r="C70" t="str">
            <v>General Accounting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12480</v>
          </cell>
        </row>
        <row r="71">
          <cell r="C71" t="str">
            <v>IT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5847.73</v>
          </cell>
          <cell r="R71">
            <v>2774.8</v>
          </cell>
        </row>
        <row r="72">
          <cell r="C72" t="str">
            <v>Other Consultants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20000</v>
          </cell>
        </row>
        <row r="73">
          <cell r="C73"/>
          <cell r="D73">
            <v>7917.96</v>
          </cell>
          <cell r="E73">
            <v>27087.48</v>
          </cell>
          <cell r="F73">
            <v>26716.400000000001</v>
          </cell>
          <cell r="G73">
            <v>80725.72</v>
          </cell>
          <cell r="H73">
            <v>32705.279999999999</v>
          </cell>
          <cell r="I73">
            <v>38587.67</v>
          </cell>
          <cell r="J73">
            <v>44965.5</v>
          </cell>
          <cell r="K73">
            <v>18997.77</v>
          </cell>
          <cell r="L73">
            <v>38589.300000000003</v>
          </cell>
          <cell r="M73">
            <v>47989.91</v>
          </cell>
          <cell r="N73">
            <v>29086.26</v>
          </cell>
          <cell r="O73">
            <v>30435.94</v>
          </cell>
          <cell r="P73">
            <v>32962.870000000003</v>
          </cell>
          <cell r="Q73">
            <v>17778.129999999997</v>
          </cell>
          <cell r="R73">
            <v>51164.3</v>
          </cell>
        </row>
        <row r="74">
          <cell r="C74"/>
          <cell r="D74">
            <v>34742.959999999999</v>
          </cell>
          <cell r="E74">
            <v>54024.979999999996</v>
          </cell>
          <cell r="F74">
            <v>57216.4</v>
          </cell>
          <cell r="G74">
            <v>132526.31</v>
          </cell>
          <cell r="H74">
            <v>97682.78</v>
          </cell>
          <cell r="I74">
            <v>47587.67</v>
          </cell>
          <cell r="J74">
            <v>51965.5</v>
          </cell>
          <cell r="K74">
            <v>50572.770000000004</v>
          </cell>
          <cell r="L74">
            <v>55806.020000000004</v>
          </cell>
          <cell r="M74">
            <v>65856.63</v>
          </cell>
          <cell r="N74">
            <v>47702.979999999996</v>
          </cell>
          <cell r="O74">
            <v>35552.659999999996</v>
          </cell>
          <cell r="P74">
            <v>50904.590000000004</v>
          </cell>
          <cell r="Q74">
            <v>22894.85</v>
          </cell>
          <cell r="R74">
            <v>84481.02</v>
          </cell>
        </row>
        <row r="75">
          <cell r="C75"/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C76"/>
          <cell r="D76">
            <v>7750</v>
          </cell>
          <cell r="E76">
            <v>7750</v>
          </cell>
          <cell r="F76">
            <v>13282.06</v>
          </cell>
          <cell r="G76">
            <v>19999.57</v>
          </cell>
          <cell r="H76">
            <v>14249.57</v>
          </cell>
          <cell r="I76">
            <v>14249.57</v>
          </cell>
          <cell r="J76">
            <v>14249.57</v>
          </cell>
          <cell r="K76">
            <v>14249.57</v>
          </cell>
          <cell r="L76">
            <v>14249.57</v>
          </cell>
          <cell r="M76">
            <v>14249.57</v>
          </cell>
          <cell r="N76">
            <v>14249.57</v>
          </cell>
          <cell r="O76">
            <v>14249.57</v>
          </cell>
          <cell r="P76">
            <v>14249.57</v>
          </cell>
          <cell r="Q76">
            <v>14249.57</v>
          </cell>
          <cell r="R76">
            <v>14249.57</v>
          </cell>
        </row>
        <row r="77">
          <cell r="C77"/>
          <cell r="D77">
            <v>0</v>
          </cell>
          <cell r="E77">
            <v>8.58</v>
          </cell>
          <cell r="F77">
            <v>0</v>
          </cell>
          <cell r="G77">
            <v>293.14999999999998</v>
          </cell>
          <cell r="H77">
            <v>347.99</v>
          </cell>
          <cell r="I77">
            <v>365.99</v>
          </cell>
          <cell r="J77">
            <v>0</v>
          </cell>
          <cell r="K77">
            <v>63.94</v>
          </cell>
          <cell r="L77">
            <v>135.06</v>
          </cell>
          <cell r="M77">
            <v>837.46</v>
          </cell>
          <cell r="N77">
            <v>9.75</v>
          </cell>
          <cell r="O77">
            <v>143.82</v>
          </cell>
          <cell r="P77">
            <v>75.95</v>
          </cell>
          <cell r="Q77">
            <v>58.84</v>
          </cell>
          <cell r="R77">
            <v>886.66</v>
          </cell>
        </row>
        <row r="78">
          <cell r="C78"/>
          <cell r="D78">
            <v>326.95</v>
          </cell>
          <cell r="E78">
            <v>34.950000000000003</v>
          </cell>
          <cell r="F78">
            <v>29.95</v>
          </cell>
          <cell r="G78">
            <v>29.95</v>
          </cell>
          <cell r="H78">
            <v>2442.0500000000002</v>
          </cell>
          <cell r="I78">
            <v>1808.23</v>
          </cell>
          <cell r="J78">
            <v>3123.33</v>
          </cell>
          <cell r="K78">
            <v>2924.64</v>
          </cell>
          <cell r="L78">
            <v>2738.17</v>
          </cell>
          <cell r="M78">
            <v>2458.89</v>
          </cell>
          <cell r="N78">
            <v>1718.92</v>
          </cell>
          <cell r="O78">
            <v>1531.97</v>
          </cell>
          <cell r="P78">
            <v>0</v>
          </cell>
          <cell r="Q78">
            <v>0</v>
          </cell>
          <cell r="R78">
            <v>0</v>
          </cell>
        </row>
        <row r="79">
          <cell r="C79"/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73.44</v>
          </cell>
          <cell r="K79">
            <v>0</v>
          </cell>
          <cell r="L79">
            <v>0</v>
          </cell>
          <cell r="M79">
            <v>0</v>
          </cell>
          <cell r="N79">
            <v>34.590000000000003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C80"/>
          <cell r="D80">
            <v>5031.72</v>
          </cell>
          <cell r="E80">
            <v>5031.72</v>
          </cell>
          <cell r="F80">
            <v>7200</v>
          </cell>
          <cell r="G80">
            <v>5035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1239.93</v>
          </cell>
          <cell r="Q80">
            <v>1099.81</v>
          </cell>
          <cell r="R80">
            <v>15.64</v>
          </cell>
        </row>
        <row r="81">
          <cell r="C81"/>
          <cell r="D81">
            <v>38.06</v>
          </cell>
          <cell r="E81">
            <v>530.30999999999995</v>
          </cell>
          <cell r="F81">
            <v>911.97</v>
          </cell>
          <cell r="G81">
            <v>3345.22</v>
          </cell>
          <cell r="H81">
            <v>3710.8</v>
          </cell>
          <cell r="I81">
            <v>410.23</v>
          </cell>
          <cell r="J81">
            <v>1767.51</v>
          </cell>
          <cell r="K81">
            <v>4496</v>
          </cell>
          <cell r="L81">
            <v>3723.73</v>
          </cell>
          <cell r="M81">
            <v>744.52</v>
          </cell>
          <cell r="N81">
            <v>149.86000000000001</v>
          </cell>
          <cell r="O81">
            <v>262.43</v>
          </cell>
          <cell r="P81">
            <v>1517.49</v>
          </cell>
          <cell r="Q81">
            <v>527.66</v>
          </cell>
          <cell r="R81">
            <v>1649.5</v>
          </cell>
        </row>
        <row r="82">
          <cell r="C82"/>
          <cell r="D82">
            <v>386.96</v>
          </cell>
          <cell r="E82">
            <v>759.18</v>
          </cell>
          <cell r="F82">
            <v>867.85</v>
          </cell>
          <cell r="G82">
            <v>550.53</v>
          </cell>
          <cell r="H82">
            <v>959.61</v>
          </cell>
          <cell r="I82">
            <v>968.62</v>
          </cell>
          <cell r="J82">
            <v>885.73</v>
          </cell>
          <cell r="K82">
            <v>1050.3699999999999</v>
          </cell>
          <cell r="L82">
            <v>676.86</v>
          </cell>
          <cell r="M82">
            <v>443.17</v>
          </cell>
          <cell r="N82">
            <v>1594.95</v>
          </cell>
          <cell r="O82">
            <v>1037.6500000000001</v>
          </cell>
          <cell r="P82">
            <v>353.56</v>
          </cell>
          <cell r="Q82">
            <v>1307.53</v>
          </cell>
          <cell r="R82">
            <v>685.67</v>
          </cell>
        </row>
        <row r="83">
          <cell r="C83" t="str">
            <v>Office</v>
          </cell>
          <cell r="D83">
            <v>13533.689999999999</v>
          </cell>
          <cell r="E83">
            <v>14114.74</v>
          </cell>
          <cell r="F83">
            <v>22291.83</v>
          </cell>
          <cell r="G83">
            <v>29253.420000000002</v>
          </cell>
          <cell r="H83">
            <v>21710.02</v>
          </cell>
          <cell r="I83">
            <v>17802.64</v>
          </cell>
          <cell r="J83">
            <v>20099.579999999998</v>
          </cell>
          <cell r="K83">
            <v>22784.52</v>
          </cell>
          <cell r="L83">
            <v>21523.39</v>
          </cell>
          <cell r="M83">
            <v>18733.609999999997</v>
          </cell>
          <cell r="N83">
            <v>17757.64</v>
          </cell>
          <cell r="O83">
            <v>17225.439999999999</v>
          </cell>
          <cell r="P83">
            <v>17436.5</v>
          </cell>
          <cell r="Q83">
            <v>17243.41</v>
          </cell>
          <cell r="R83">
            <v>17487.04</v>
          </cell>
        </row>
        <row r="84">
          <cell r="C84" t="str">
            <v>R&amp;D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C85" t="str">
            <v>R&amp;D</v>
          </cell>
          <cell r="D85">
            <v>11062.5</v>
          </cell>
          <cell r="E85">
            <v>8186.58</v>
          </cell>
          <cell r="F85">
            <v>0</v>
          </cell>
          <cell r="G85">
            <v>16350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C86" t="str">
            <v>R&amp;D</v>
          </cell>
          <cell r="D86">
            <v>59970</v>
          </cell>
          <cell r="E86">
            <v>0</v>
          </cell>
          <cell r="F86">
            <v>0</v>
          </cell>
          <cell r="G86">
            <v>11323.84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C87" t="str">
            <v>R&amp;D</v>
          </cell>
          <cell r="D87">
            <v>54857</v>
          </cell>
          <cell r="E87">
            <v>-2698.17</v>
          </cell>
          <cell r="F87">
            <v>0</v>
          </cell>
          <cell r="G87">
            <v>-8221.33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C88" t="str">
            <v>R&amp;D</v>
          </cell>
          <cell r="D88">
            <v>1353.13</v>
          </cell>
          <cell r="E88">
            <v>18885.330000000002</v>
          </cell>
          <cell r="F88">
            <v>0</v>
          </cell>
          <cell r="G88">
            <v>2150.94</v>
          </cell>
          <cell r="H88">
            <v>1281.6500000000001</v>
          </cell>
          <cell r="I88">
            <v>242734.98</v>
          </cell>
          <cell r="J88">
            <v>2751.04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C89" t="str">
            <v>Prototype - Brownfield Demo</v>
          </cell>
          <cell r="D89">
            <v>8457.8700000000008</v>
          </cell>
          <cell r="E89">
            <v>16000</v>
          </cell>
          <cell r="F89">
            <v>480666.29</v>
          </cell>
          <cell r="G89">
            <v>276223.84999999998</v>
          </cell>
          <cell r="H89">
            <v>62380.33</v>
          </cell>
          <cell r="I89">
            <v>468607.3</v>
          </cell>
          <cell r="J89">
            <v>1198394.32</v>
          </cell>
          <cell r="K89">
            <v>679388.08</v>
          </cell>
          <cell r="L89">
            <v>2153862.85</v>
          </cell>
          <cell r="M89">
            <v>616524.14</v>
          </cell>
          <cell r="N89">
            <v>2031686.56</v>
          </cell>
          <cell r="O89">
            <v>436952.2</v>
          </cell>
          <cell r="P89">
            <v>5220361.5599999996</v>
          </cell>
          <cell r="Q89">
            <v>342447.86</v>
          </cell>
          <cell r="R89">
            <v>2909601.38</v>
          </cell>
        </row>
        <row r="90">
          <cell r="C90" t="str">
            <v>R&amp;D</v>
          </cell>
          <cell r="D90">
            <v>95.39</v>
          </cell>
          <cell r="E90">
            <v>20121.72</v>
          </cell>
          <cell r="F90">
            <v>41897.279999999999</v>
          </cell>
          <cell r="G90">
            <v>47501.96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C91" t="str">
            <v>R&amp;D</v>
          </cell>
          <cell r="D91">
            <v>0</v>
          </cell>
          <cell r="E91">
            <v>53325.67</v>
          </cell>
          <cell r="F91">
            <v>0</v>
          </cell>
          <cell r="G91">
            <v>59011.33</v>
          </cell>
          <cell r="H91">
            <v>2312.5</v>
          </cell>
          <cell r="I91">
            <v>0</v>
          </cell>
          <cell r="J91">
            <v>7500</v>
          </cell>
          <cell r="K91">
            <v>24750</v>
          </cell>
          <cell r="L91">
            <v>0</v>
          </cell>
          <cell r="M91">
            <v>104017.33</v>
          </cell>
          <cell r="N91">
            <v>90718.21</v>
          </cell>
          <cell r="O91">
            <v>0</v>
          </cell>
          <cell r="P91">
            <v>0</v>
          </cell>
          <cell r="Q91">
            <v>10586.96</v>
          </cell>
          <cell r="R91">
            <v>0</v>
          </cell>
        </row>
        <row r="92">
          <cell r="C92" t="str">
            <v>R&amp;D</v>
          </cell>
          <cell r="D92">
            <v>0</v>
          </cell>
          <cell r="E92">
            <v>0</v>
          </cell>
          <cell r="F92">
            <v>0</v>
          </cell>
          <cell r="G92">
            <v>5037.5</v>
          </cell>
          <cell r="H92">
            <v>600</v>
          </cell>
          <cell r="I92">
            <v>1600</v>
          </cell>
          <cell r="J92">
            <v>23350</v>
          </cell>
          <cell r="K92">
            <v>2200</v>
          </cell>
          <cell r="L92">
            <v>12062.5</v>
          </cell>
          <cell r="M92">
            <v>0</v>
          </cell>
          <cell r="N92">
            <v>17200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C93" t="str">
            <v>R&amp;D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19976.650000000001</v>
          </cell>
          <cell r="I93">
            <v>8400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C94" t="str">
            <v>R&amp;D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103365</v>
          </cell>
          <cell r="J94">
            <v>34730.639999999999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C95" t="str">
            <v>R&amp;D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19963.86</v>
          </cell>
          <cell r="K95">
            <v>17082.02</v>
          </cell>
          <cell r="L95">
            <v>600</v>
          </cell>
          <cell r="M95">
            <v>0</v>
          </cell>
          <cell r="N95">
            <v>2325</v>
          </cell>
          <cell r="O95">
            <v>0</v>
          </cell>
          <cell r="P95">
            <v>0</v>
          </cell>
          <cell r="Q95">
            <v>750</v>
          </cell>
          <cell r="R95">
            <v>0</v>
          </cell>
        </row>
        <row r="96">
          <cell r="C96" t="str">
            <v>Resource Evaluation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16626</v>
          </cell>
          <cell r="J96">
            <v>25042</v>
          </cell>
          <cell r="K96">
            <v>5412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C97" t="str">
            <v>R&amp;D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78600</v>
          </cell>
          <cell r="K97">
            <v>458.28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193.96</v>
          </cell>
        </row>
        <row r="98">
          <cell r="C98" t="str">
            <v>R&amp;D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4350</v>
          </cell>
          <cell r="M98">
            <v>6998.24</v>
          </cell>
          <cell r="N98">
            <v>7227.9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C99" t="str">
            <v>R&amp;D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74422.8</v>
          </cell>
          <cell r="N99">
            <v>44194.28</v>
          </cell>
          <cell r="O99">
            <v>0</v>
          </cell>
          <cell r="P99">
            <v>34012.980000000003</v>
          </cell>
          <cell r="Q99">
            <v>3212.5</v>
          </cell>
          <cell r="R99">
            <v>0</v>
          </cell>
        </row>
        <row r="100">
          <cell r="C100" t="str">
            <v>R&amp;D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6400</v>
          </cell>
          <cell r="O100">
            <v>0</v>
          </cell>
          <cell r="P100">
            <v>0</v>
          </cell>
          <cell r="Q100">
            <v>4000</v>
          </cell>
          <cell r="R100">
            <v>500</v>
          </cell>
        </row>
        <row r="101">
          <cell r="C101" t="str">
            <v>R&amp;D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6725</v>
          </cell>
          <cell r="Q101">
            <v>99165.54</v>
          </cell>
          <cell r="R101">
            <v>0</v>
          </cell>
        </row>
        <row r="102">
          <cell r="C102" t="str">
            <v>R&amp;D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27001.08</v>
          </cell>
        </row>
        <row r="103">
          <cell r="C103"/>
          <cell r="D103">
            <v>135795.89000000001</v>
          </cell>
          <cell r="E103">
            <v>113821.13</v>
          </cell>
          <cell r="F103">
            <v>522563.56999999995</v>
          </cell>
          <cell r="G103">
            <v>409378.09</v>
          </cell>
          <cell r="H103">
            <v>86551.13</v>
          </cell>
          <cell r="I103">
            <v>841333.28</v>
          </cell>
          <cell r="J103">
            <v>1390331.86</v>
          </cell>
          <cell r="K103">
            <v>729290.38</v>
          </cell>
          <cell r="L103">
            <v>2170875.35</v>
          </cell>
          <cell r="M103">
            <v>801962.51</v>
          </cell>
          <cell r="N103">
            <v>2199751.9499999997</v>
          </cell>
          <cell r="O103">
            <v>436952.2</v>
          </cell>
          <cell r="P103">
            <v>5261099.54</v>
          </cell>
          <cell r="Q103">
            <v>460162.86</v>
          </cell>
          <cell r="R103">
            <v>2937296.42</v>
          </cell>
        </row>
        <row r="104">
          <cell r="C104" t="str">
            <v>Project Development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4025</v>
          </cell>
          <cell r="M104">
            <v>0</v>
          </cell>
          <cell r="N104">
            <v>3617.3</v>
          </cell>
          <cell r="O104">
            <v>1138</v>
          </cell>
          <cell r="P104">
            <v>0</v>
          </cell>
          <cell r="Q104">
            <v>0</v>
          </cell>
          <cell r="R104">
            <v>0</v>
          </cell>
        </row>
        <row r="105">
          <cell r="C105" t="str">
            <v>Taxes</v>
          </cell>
          <cell r="D105">
            <v>0</v>
          </cell>
          <cell r="E105">
            <v>2866.44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5075</v>
          </cell>
        </row>
        <row r="106">
          <cell r="C106" t="str">
            <v>Taxes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25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14921.14</v>
          </cell>
        </row>
        <row r="107">
          <cell r="C107" t="str">
            <v>Insurance</v>
          </cell>
          <cell r="D107">
            <v>2892.7</v>
          </cell>
          <cell r="E107">
            <v>2892.7</v>
          </cell>
          <cell r="F107">
            <v>2963.06</v>
          </cell>
          <cell r="G107">
            <v>2892.7</v>
          </cell>
          <cell r="H107">
            <v>2892.7</v>
          </cell>
          <cell r="I107">
            <v>2892.7</v>
          </cell>
          <cell r="J107">
            <v>2892.7</v>
          </cell>
          <cell r="K107">
            <v>27099.95</v>
          </cell>
          <cell r="L107">
            <v>27636.68</v>
          </cell>
          <cell r="M107">
            <v>27636.68</v>
          </cell>
          <cell r="N107">
            <v>27636.58</v>
          </cell>
          <cell r="O107">
            <v>27830.15</v>
          </cell>
          <cell r="P107">
            <v>0</v>
          </cell>
          <cell r="Q107">
            <v>0</v>
          </cell>
          <cell r="R107">
            <v>0</v>
          </cell>
        </row>
        <row r="108">
          <cell r="C108" t="str">
            <v>Other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500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27830.15</v>
          </cell>
          <cell r="Q108">
            <v>27830.15</v>
          </cell>
          <cell r="R108">
            <v>27830.15</v>
          </cell>
        </row>
        <row r="109">
          <cell r="C109"/>
          <cell r="D109">
            <v>485311.70000000007</v>
          </cell>
          <cell r="E109">
            <v>534277.75999999989</v>
          </cell>
          <cell r="F109">
            <v>808779.60000000009</v>
          </cell>
          <cell r="G109">
            <v>767935.92999999993</v>
          </cell>
          <cell r="H109">
            <v>562345.40999999992</v>
          </cell>
          <cell r="I109">
            <v>1093359.0999999999</v>
          </cell>
          <cell r="J109">
            <v>1727646.4200000002</v>
          </cell>
          <cell r="K109">
            <v>1074586.46</v>
          </cell>
          <cell r="L109">
            <v>2574519.7100000004</v>
          </cell>
          <cell r="M109">
            <v>1207103.1199999999</v>
          </cell>
          <cell r="N109">
            <v>2569493.7199999997</v>
          </cell>
          <cell r="O109">
            <v>931333.95999999985</v>
          </cell>
          <cell r="P109">
            <v>5708145.3200000003</v>
          </cell>
          <cell r="Q109">
            <v>1050913.52</v>
          </cell>
          <cell r="R109">
            <v>3534601.03</v>
          </cell>
        </row>
        <row r="110">
          <cell r="C110"/>
          <cell r="D110">
            <v>-485311.70000000007</v>
          </cell>
          <cell r="E110">
            <v>-534277.75999999989</v>
          </cell>
          <cell r="F110">
            <v>-808779.60000000009</v>
          </cell>
          <cell r="G110">
            <v>-767935.92999999993</v>
          </cell>
          <cell r="H110">
            <v>-562345.40999999992</v>
          </cell>
          <cell r="I110">
            <v>-1093359.0999999999</v>
          </cell>
          <cell r="J110">
            <v>-1727646.4200000002</v>
          </cell>
          <cell r="K110">
            <v>-1074586.46</v>
          </cell>
          <cell r="L110">
            <v>-2574519.7100000004</v>
          </cell>
          <cell r="M110">
            <v>-1207103.1199999999</v>
          </cell>
          <cell r="N110">
            <v>-2569493.7199999997</v>
          </cell>
          <cell r="O110">
            <v>-931333.95999999985</v>
          </cell>
          <cell r="P110">
            <v>-5708145.3200000003</v>
          </cell>
          <cell r="Q110">
            <v>-1050913.52</v>
          </cell>
          <cell r="R110">
            <v>-3534601.03</v>
          </cell>
        </row>
        <row r="111">
          <cell r="C111"/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</row>
        <row r="112">
          <cell r="C112" t="str">
            <v>Interest Income</v>
          </cell>
          <cell r="D112">
            <v>34969.86</v>
          </cell>
          <cell r="E112">
            <v>40894.93</v>
          </cell>
          <cell r="F112">
            <v>54251.43</v>
          </cell>
          <cell r="G112">
            <v>58667.17</v>
          </cell>
          <cell r="H112">
            <v>69167.05</v>
          </cell>
          <cell r="I112">
            <v>70233.09</v>
          </cell>
          <cell r="J112">
            <v>69258.710000000006</v>
          </cell>
          <cell r="K112">
            <v>63566.53</v>
          </cell>
          <cell r="L112">
            <v>56891.89</v>
          </cell>
          <cell r="M112">
            <v>50840.56</v>
          </cell>
          <cell r="N112">
            <v>37700.97</v>
          </cell>
          <cell r="O112">
            <v>31923.279999999999</v>
          </cell>
          <cell r="P112">
            <v>27628.65</v>
          </cell>
          <cell r="Q112">
            <v>21741.57</v>
          </cell>
          <cell r="R112">
            <v>13689.25</v>
          </cell>
        </row>
        <row r="113">
          <cell r="C113"/>
          <cell r="D113">
            <v>34969.86</v>
          </cell>
          <cell r="E113">
            <v>40894.93</v>
          </cell>
          <cell r="F113">
            <v>54251.43</v>
          </cell>
          <cell r="G113">
            <v>58667.17</v>
          </cell>
          <cell r="H113">
            <v>69167.05</v>
          </cell>
          <cell r="I113">
            <v>70233.09</v>
          </cell>
          <cell r="J113">
            <v>69258.710000000006</v>
          </cell>
          <cell r="K113">
            <v>63566.53</v>
          </cell>
          <cell r="L113">
            <v>56891.89</v>
          </cell>
          <cell r="M113">
            <v>50840.56</v>
          </cell>
          <cell r="N113">
            <v>37700.97</v>
          </cell>
          <cell r="O113">
            <v>31923.279999999999</v>
          </cell>
          <cell r="P113">
            <v>27628.65</v>
          </cell>
          <cell r="Q113">
            <v>21741.57</v>
          </cell>
          <cell r="R113">
            <v>13689.25</v>
          </cell>
        </row>
        <row r="114">
          <cell r="C114" t="str">
            <v>D&amp;A</v>
          </cell>
          <cell r="D114">
            <v>765.17</v>
          </cell>
          <cell r="E114">
            <v>590.94000000000005</v>
          </cell>
          <cell r="F114">
            <v>590.94000000000005</v>
          </cell>
          <cell r="G114">
            <v>590.94000000000005</v>
          </cell>
          <cell r="H114">
            <v>590.94000000000005</v>
          </cell>
          <cell r="I114">
            <v>590.94000000000005</v>
          </cell>
          <cell r="J114">
            <v>590.94000000000005</v>
          </cell>
          <cell r="K114">
            <v>2314.2600000000002</v>
          </cell>
          <cell r="L114">
            <v>1029.6199999999999</v>
          </cell>
          <cell r="M114">
            <v>1063.68</v>
          </cell>
          <cell r="N114">
            <v>1063.68</v>
          </cell>
          <cell r="O114">
            <v>1063.68</v>
          </cell>
          <cell r="P114">
            <v>1097.01</v>
          </cell>
          <cell r="Q114">
            <v>1097.01</v>
          </cell>
          <cell r="R114">
            <v>3306.26</v>
          </cell>
        </row>
        <row r="115">
          <cell r="C115" t="str">
            <v>D&amp;A</v>
          </cell>
          <cell r="D115">
            <v>38.299999999999997</v>
          </cell>
          <cell r="E115">
            <v>38.299999999999997</v>
          </cell>
          <cell r="F115">
            <v>99.1</v>
          </cell>
          <cell r="G115">
            <v>104.78</v>
          </cell>
          <cell r="H115">
            <v>122.36</v>
          </cell>
          <cell r="I115">
            <v>113.57</v>
          </cell>
          <cell r="J115">
            <v>113.57</v>
          </cell>
          <cell r="K115">
            <v>113.57</v>
          </cell>
          <cell r="L115">
            <v>113.57</v>
          </cell>
          <cell r="M115">
            <v>113.57</v>
          </cell>
          <cell r="N115">
            <v>113.57</v>
          </cell>
          <cell r="O115">
            <v>113.57</v>
          </cell>
          <cell r="P115">
            <v>113.57</v>
          </cell>
          <cell r="Q115">
            <v>113.57</v>
          </cell>
          <cell r="R115">
            <v>113.57</v>
          </cell>
        </row>
        <row r="116">
          <cell r="C116" t="str">
            <v>Other Expenses</v>
          </cell>
          <cell r="D116">
            <v>803.46999999999991</v>
          </cell>
          <cell r="E116">
            <v>629.24</v>
          </cell>
          <cell r="F116">
            <v>690.04000000000008</v>
          </cell>
          <cell r="G116">
            <v>695.72</v>
          </cell>
          <cell r="H116">
            <v>713.30000000000007</v>
          </cell>
          <cell r="I116">
            <v>704.51</v>
          </cell>
          <cell r="J116">
            <v>704.51</v>
          </cell>
          <cell r="K116">
            <v>2427.8300000000004</v>
          </cell>
          <cell r="L116">
            <v>1143.1899999999998</v>
          </cell>
          <cell r="M116">
            <v>1177.25</v>
          </cell>
          <cell r="N116">
            <v>1177.25</v>
          </cell>
          <cell r="O116">
            <v>1177.25</v>
          </cell>
          <cell r="P116">
            <v>1210.58</v>
          </cell>
          <cell r="Q116">
            <v>1210.58</v>
          </cell>
          <cell r="R116">
            <v>3419.8300000000004</v>
          </cell>
        </row>
        <row r="117">
          <cell r="C117" t="str">
            <v>Net Other Income</v>
          </cell>
          <cell r="D117">
            <v>34166.39</v>
          </cell>
          <cell r="E117">
            <v>40265.69</v>
          </cell>
          <cell r="F117">
            <v>53561.39</v>
          </cell>
          <cell r="G117">
            <v>57971.45</v>
          </cell>
          <cell r="H117">
            <v>68453.75</v>
          </cell>
          <cell r="I117">
            <v>69528.58</v>
          </cell>
          <cell r="J117">
            <v>68554.200000000012</v>
          </cell>
          <cell r="K117">
            <v>61138.7</v>
          </cell>
          <cell r="L117">
            <v>55748.7</v>
          </cell>
          <cell r="M117">
            <v>49663.31</v>
          </cell>
          <cell r="N117">
            <v>36523.72</v>
          </cell>
          <cell r="O117">
            <v>30746.03</v>
          </cell>
          <cell r="P117">
            <v>26418.07</v>
          </cell>
          <cell r="Q117">
            <v>20530.989999999998</v>
          </cell>
          <cell r="R117">
            <v>10269.42</v>
          </cell>
        </row>
        <row r="118">
          <cell r="C118" t="str">
            <v>Net Income</v>
          </cell>
          <cell r="D118">
            <v>-451145.31000000006</v>
          </cell>
          <cell r="E118">
            <v>-494012.06999999989</v>
          </cell>
          <cell r="F118">
            <v>-755218.21000000008</v>
          </cell>
          <cell r="G118">
            <v>-709964.48</v>
          </cell>
          <cell r="H118">
            <v>-493891.65999999992</v>
          </cell>
          <cell r="I118">
            <v>-1023830.5199999999</v>
          </cell>
          <cell r="J118">
            <v>-1659092.2200000002</v>
          </cell>
          <cell r="K118">
            <v>-1013447.76</v>
          </cell>
          <cell r="L118">
            <v>-2518771.0100000002</v>
          </cell>
          <cell r="M118">
            <v>-1157439.8099999998</v>
          </cell>
          <cell r="N118">
            <v>-2532969.9999999995</v>
          </cell>
          <cell r="O118">
            <v>-900587.92999999982</v>
          </cell>
          <cell r="P118">
            <v>-5681727.25</v>
          </cell>
          <cell r="Q118">
            <v>-1030382.53</v>
          </cell>
          <cell r="R118">
            <v>-3524331.61</v>
          </cell>
        </row>
        <row r="119">
          <cell r="C119"/>
        </row>
        <row r="120">
          <cell r="C120" t="str">
            <v>Total Operating Expenses</v>
          </cell>
          <cell r="D120">
            <v>349515.81000000006</v>
          </cell>
          <cell r="E120">
            <v>417590.18999999989</v>
          </cell>
          <cell r="F120">
            <v>286216.03000000014</v>
          </cell>
          <cell r="G120">
            <v>358557.83999999991</v>
          </cell>
          <cell r="H120">
            <v>475794.27999999991</v>
          </cell>
          <cell r="I120">
            <v>252025.81999999983</v>
          </cell>
          <cell r="J120">
            <v>337314.56000000006</v>
          </cell>
          <cell r="K120">
            <v>345296.07999999996</v>
          </cell>
          <cell r="L120">
            <v>399594.36000000034</v>
          </cell>
          <cell r="M120">
            <v>405140.60999999987</v>
          </cell>
          <cell r="N120">
            <v>366124.47000000003</v>
          </cell>
          <cell r="O120">
            <v>493243.75999999983</v>
          </cell>
          <cell r="P120">
            <v>447045.78000000026</v>
          </cell>
          <cell r="Q120">
            <v>558976.66</v>
          </cell>
          <cell r="R120">
            <v>518541.61999999988</v>
          </cell>
        </row>
        <row r="121">
          <cell r="C121" t="str">
            <v>Total R&amp;D Expenses</v>
          </cell>
          <cell r="D121">
            <v>135795.89000000001</v>
          </cell>
          <cell r="E121">
            <v>113821.13</v>
          </cell>
          <cell r="F121">
            <v>522563.56999999995</v>
          </cell>
          <cell r="G121">
            <v>409378.09</v>
          </cell>
          <cell r="H121">
            <v>86551.13</v>
          </cell>
          <cell r="I121">
            <v>824707.28</v>
          </cell>
          <cell r="J121">
            <v>1365289.86</v>
          </cell>
          <cell r="K121">
            <v>723878.38</v>
          </cell>
          <cell r="L121">
            <v>2170875.35</v>
          </cell>
          <cell r="M121">
            <v>801962.51</v>
          </cell>
          <cell r="N121">
            <v>2199751.9499999997</v>
          </cell>
          <cell r="O121">
            <v>436952.2</v>
          </cell>
          <cell r="P121">
            <v>5261099.54</v>
          </cell>
          <cell r="Q121">
            <v>460162.86</v>
          </cell>
          <cell r="R121">
            <v>2937296.42</v>
          </cell>
        </row>
        <row r="122">
          <cell r="C122" t="str">
            <v>Project Expenses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4025</v>
          </cell>
          <cell r="M122">
            <v>0</v>
          </cell>
          <cell r="N122">
            <v>3617.3</v>
          </cell>
          <cell r="O122">
            <v>1138</v>
          </cell>
          <cell r="P122">
            <v>0</v>
          </cell>
          <cell r="Q122">
            <v>0</v>
          </cell>
          <cell r="R122">
            <v>0</v>
          </cell>
        </row>
        <row r="123">
          <cell r="C123" t="str">
            <v>Financing Expenses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31774</v>
          </cell>
          <cell r="R123">
            <v>58766.85</v>
          </cell>
        </row>
      </sheetData>
      <sheetData sheetId="14" refreshError="1"/>
      <sheetData sheetId="15">
        <row r="5">
          <cell r="D5">
            <v>45322</v>
          </cell>
          <cell r="E5">
            <v>45351</v>
          </cell>
          <cell r="F5">
            <v>45382</v>
          </cell>
          <cell r="G5">
            <v>45412</v>
          </cell>
          <cell r="H5">
            <v>45443</v>
          </cell>
          <cell r="I5">
            <v>45473</v>
          </cell>
          <cell r="J5">
            <v>45504</v>
          </cell>
          <cell r="K5">
            <v>45535</v>
          </cell>
          <cell r="L5">
            <v>45565</v>
          </cell>
          <cell r="M5">
            <v>45596</v>
          </cell>
          <cell r="N5">
            <v>45626</v>
          </cell>
          <cell r="O5">
            <v>45657</v>
          </cell>
          <cell r="P5">
            <v>45688</v>
          </cell>
          <cell r="Q5">
            <v>45716</v>
          </cell>
          <cell r="R5">
            <v>45747</v>
          </cell>
        </row>
        <row r="9">
          <cell r="C9" t="str">
            <v>Net Income</v>
          </cell>
          <cell r="D9">
            <v>-451145.31</v>
          </cell>
          <cell r="E9">
            <v>-494012.07</v>
          </cell>
          <cell r="F9">
            <v>-755218.21</v>
          </cell>
          <cell r="G9">
            <v>-709964.48</v>
          </cell>
          <cell r="H9">
            <v>-493891.66</v>
          </cell>
          <cell r="I9">
            <v>-1023830.52</v>
          </cell>
          <cell r="J9">
            <v>-1659092.22</v>
          </cell>
          <cell r="K9">
            <v>-1013447.76</v>
          </cell>
          <cell r="L9">
            <v>-2518771.0099999998</v>
          </cell>
          <cell r="M9">
            <v>-1157439.81</v>
          </cell>
          <cell r="N9">
            <v>-2532970</v>
          </cell>
          <cell r="O9">
            <v>-900587.93</v>
          </cell>
          <cell r="P9">
            <v>-5681727.25</v>
          </cell>
          <cell r="Q9">
            <v>-1030382.53</v>
          </cell>
          <cell r="R9">
            <v>-3524331.61</v>
          </cell>
        </row>
        <row r="10"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</row>
        <row r="11">
          <cell r="C11" t="str">
            <v>Accrual to Cash Adjustment</v>
          </cell>
          <cell r="D11">
            <v>2892.7</v>
          </cell>
          <cell r="E11">
            <v>2892.7</v>
          </cell>
          <cell r="F11">
            <v>2892.7</v>
          </cell>
          <cell r="G11">
            <v>2892.7</v>
          </cell>
          <cell r="H11">
            <v>2892.7</v>
          </cell>
          <cell r="I11">
            <v>2892.7</v>
          </cell>
          <cell r="J11">
            <v>2892.7</v>
          </cell>
          <cell r="K11">
            <v>-263386.96000000002</v>
          </cell>
          <cell r="L11">
            <v>71195.88</v>
          </cell>
          <cell r="M11">
            <v>27636.68</v>
          </cell>
          <cell r="N11">
            <v>-9397.42</v>
          </cell>
          <cell r="O11">
            <v>27830.15</v>
          </cell>
          <cell r="P11">
            <v>27830.15</v>
          </cell>
          <cell r="Q11">
            <v>27830.15</v>
          </cell>
          <cell r="R11">
            <v>27830.15</v>
          </cell>
        </row>
        <row r="12">
          <cell r="C12" t="str">
            <v>Accrual to Cash Adjustment</v>
          </cell>
          <cell r="D12">
            <v>0</v>
          </cell>
          <cell r="E12">
            <v>0</v>
          </cell>
          <cell r="F12">
            <v>-25034.57</v>
          </cell>
          <cell r="G12">
            <v>25034.57</v>
          </cell>
          <cell r="H12">
            <v>-14249.57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-2653.43</v>
          </cell>
        </row>
        <row r="13">
          <cell r="C13" t="str">
            <v>Accrual to Cash Adjustment</v>
          </cell>
          <cell r="D13">
            <v>5816.57</v>
          </cell>
          <cell r="E13">
            <v>5816.57</v>
          </cell>
          <cell r="F13">
            <v>-2606.58</v>
          </cell>
          <cell r="G13">
            <v>1805.35</v>
          </cell>
          <cell r="H13">
            <v>-36104.92</v>
          </cell>
          <cell r="I13">
            <v>1230.53</v>
          </cell>
          <cell r="J13">
            <v>7305.53</v>
          </cell>
          <cell r="K13">
            <v>-47879.69</v>
          </cell>
          <cell r="L13">
            <v>11501.22</v>
          </cell>
          <cell r="M13">
            <v>9527.02</v>
          </cell>
          <cell r="N13">
            <v>5635.74</v>
          </cell>
          <cell r="O13">
            <v>-22777.26</v>
          </cell>
          <cell r="P13">
            <v>13539.41</v>
          </cell>
          <cell r="Q13">
            <v>13928.99</v>
          </cell>
          <cell r="R13">
            <v>-816.01</v>
          </cell>
        </row>
        <row r="14">
          <cell r="C14" t="str">
            <v>D&amp;A</v>
          </cell>
          <cell r="D14">
            <v>0</v>
          </cell>
          <cell r="E14">
            <v>0</v>
          </cell>
          <cell r="F14">
            <v>60.8</v>
          </cell>
          <cell r="G14">
            <v>104.78</v>
          </cell>
          <cell r="H14">
            <v>122.36</v>
          </cell>
          <cell r="I14">
            <v>113.57</v>
          </cell>
          <cell r="J14">
            <v>113.57</v>
          </cell>
          <cell r="K14">
            <v>113.57</v>
          </cell>
          <cell r="L14">
            <v>113.57</v>
          </cell>
          <cell r="M14">
            <v>113.57</v>
          </cell>
          <cell r="N14">
            <v>113.57</v>
          </cell>
          <cell r="O14">
            <v>113.57</v>
          </cell>
          <cell r="P14">
            <v>113.57</v>
          </cell>
          <cell r="Q14">
            <v>113.57</v>
          </cell>
          <cell r="R14">
            <v>113.57</v>
          </cell>
        </row>
        <row r="15">
          <cell r="C15" t="str">
            <v>D&amp;A</v>
          </cell>
          <cell r="D15">
            <v>38.299999999999997</v>
          </cell>
          <cell r="E15">
            <v>38.299999999999997</v>
          </cell>
          <cell r="F15">
            <v>38.299999999999997</v>
          </cell>
          <cell r="G15">
            <v>-1627.24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C16" t="str">
            <v>D&amp;A</v>
          </cell>
          <cell r="D16">
            <v>765.17</v>
          </cell>
          <cell r="E16">
            <v>590.94000000000005</v>
          </cell>
          <cell r="F16">
            <v>590.94000000000005</v>
          </cell>
          <cell r="G16">
            <v>590.94000000000005</v>
          </cell>
          <cell r="H16">
            <v>590.94000000000005</v>
          </cell>
          <cell r="I16">
            <v>590.94000000000005</v>
          </cell>
          <cell r="J16">
            <v>590.94000000000005</v>
          </cell>
          <cell r="K16">
            <v>2314.2600000000002</v>
          </cell>
          <cell r="L16">
            <v>1029.6199999999999</v>
          </cell>
          <cell r="M16">
            <v>1063.68</v>
          </cell>
          <cell r="N16">
            <v>1063.68</v>
          </cell>
          <cell r="O16">
            <v>1063.68</v>
          </cell>
          <cell r="P16">
            <v>1097.01</v>
          </cell>
          <cell r="Q16">
            <v>1097.01</v>
          </cell>
          <cell r="R16">
            <v>3306.26</v>
          </cell>
        </row>
        <row r="17">
          <cell r="C17" t="str">
            <v>Accrual to Cash Adjustment</v>
          </cell>
          <cell r="D17">
            <v>97703.18</v>
          </cell>
          <cell r="E17">
            <v>-238452.71</v>
          </cell>
          <cell r="F17">
            <v>-124343.38</v>
          </cell>
          <cell r="G17">
            <v>433094.67</v>
          </cell>
          <cell r="H17">
            <v>-206320.43</v>
          </cell>
          <cell r="I17">
            <v>-75862.23</v>
          </cell>
          <cell r="J17">
            <v>295506.45</v>
          </cell>
          <cell r="K17">
            <v>213519.58</v>
          </cell>
          <cell r="L17">
            <v>1315671.43</v>
          </cell>
          <cell r="M17">
            <v>-1308077.33</v>
          </cell>
          <cell r="N17">
            <v>580505.87</v>
          </cell>
          <cell r="O17">
            <v>-461098.6</v>
          </cell>
          <cell r="P17">
            <v>4649954.16</v>
          </cell>
          <cell r="Q17">
            <v>-758224.17</v>
          </cell>
          <cell r="R17">
            <v>-2303987.0699999998</v>
          </cell>
        </row>
        <row r="18">
          <cell r="C18" t="str">
            <v>Accrual to Cash Adjustment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333</v>
          </cell>
          <cell r="L18">
            <v>0</v>
          </cell>
          <cell r="M18">
            <v>-333</v>
          </cell>
          <cell r="N18">
            <v>0</v>
          </cell>
          <cell r="O18">
            <v>0</v>
          </cell>
          <cell r="P18">
            <v>128473</v>
          </cell>
          <cell r="Q18">
            <v>-128473</v>
          </cell>
          <cell r="R18">
            <v>0</v>
          </cell>
        </row>
        <row r="19">
          <cell r="C19" t="str">
            <v>Accrual to Cash Adjustment</v>
          </cell>
          <cell r="D19">
            <v>-1048261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287119.44</v>
          </cell>
          <cell r="J19">
            <v>-173788.79999999999</v>
          </cell>
          <cell r="K19">
            <v>-113330.64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8767.31</v>
          </cell>
          <cell r="Q19">
            <v>8430.4</v>
          </cell>
          <cell r="R19">
            <v>-8367.4</v>
          </cell>
        </row>
        <row r="20">
          <cell r="C20"/>
          <cell r="D20">
            <v>-941045.08</v>
          </cell>
          <cell r="E20">
            <v>-229114.19999999998</v>
          </cell>
          <cell r="F20">
            <v>-148401.79</v>
          </cell>
          <cell r="G20">
            <v>461895.76999999996</v>
          </cell>
          <cell r="H20">
            <v>-253068.91999999998</v>
          </cell>
          <cell r="I20">
            <v>216084.95</v>
          </cell>
          <cell r="J20">
            <v>132620.39000000001</v>
          </cell>
          <cell r="K20">
            <v>-208316.88</v>
          </cell>
          <cell r="L20">
            <v>1399511.72</v>
          </cell>
          <cell r="M20">
            <v>-1270069.3800000001</v>
          </cell>
          <cell r="N20">
            <v>577921.43999999994</v>
          </cell>
          <cell r="O20">
            <v>-454868.45999999996</v>
          </cell>
          <cell r="P20">
            <v>4829774.6099999994</v>
          </cell>
          <cell r="Q20">
            <v>-835297.05</v>
          </cell>
          <cell r="R20">
            <v>-2284573.9299999997</v>
          </cell>
        </row>
        <row r="21">
          <cell r="C21"/>
          <cell r="D21">
            <v>-1392190.39</v>
          </cell>
          <cell r="E21">
            <v>-723126.27</v>
          </cell>
          <cell r="F21">
            <v>-903620</v>
          </cell>
          <cell r="G21">
            <v>-248068.71000000002</v>
          </cell>
          <cell r="H21">
            <v>-746960.58</v>
          </cell>
          <cell r="I21">
            <v>-807745.57000000007</v>
          </cell>
          <cell r="J21">
            <v>-1526471.83</v>
          </cell>
          <cell r="K21">
            <v>-1221764.6400000001</v>
          </cell>
          <cell r="L21">
            <v>-1119259.2899999998</v>
          </cell>
          <cell r="M21">
            <v>-2427509.1900000004</v>
          </cell>
          <cell r="N21">
            <v>-1955048.56</v>
          </cell>
          <cell r="O21">
            <v>-1355456.3900000001</v>
          </cell>
          <cell r="P21">
            <v>-851952.6400000006</v>
          </cell>
          <cell r="Q21">
            <v>-1865679.58</v>
          </cell>
          <cell r="R21">
            <v>-5808905.5399999991</v>
          </cell>
        </row>
        <row r="22">
          <cell r="C22"/>
        </row>
        <row r="23">
          <cell r="C23" t="str">
            <v>Purchase/(Sale) of Fixed Assets</v>
          </cell>
          <cell r="D23">
            <v>0</v>
          </cell>
          <cell r="E23">
            <v>0</v>
          </cell>
          <cell r="F23">
            <v>-6814.29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Purchase/(Sale) of Fixed Assets</v>
          </cell>
          <cell r="D24">
            <v>0</v>
          </cell>
          <cell r="E24">
            <v>0</v>
          </cell>
          <cell r="F24">
            <v>0</v>
          </cell>
          <cell r="G24">
            <v>4040.02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Capitalized Office Expense</v>
          </cell>
          <cell r="D25">
            <v>0</v>
          </cell>
          <cell r="E25">
            <v>1000</v>
          </cell>
          <cell r="F25">
            <v>-12249.57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-20000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-9806</v>
          </cell>
          <cell r="R25">
            <v>0</v>
          </cell>
        </row>
        <row r="26">
          <cell r="C26" t="str">
            <v>Purchase/(Sale) of Fixed Assets</v>
          </cell>
          <cell r="D26">
            <v>199523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 t="str">
            <v>Capitalized R&amp;D</v>
          </cell>
          <cell r="D27">
            <v>0</v>
          </cell>
          <cell r="E27">
            <v>0</v>
          </cell>
          <cell r="F27">
            <v>0</v>
          </cell>
          <cell r="G27">
            <v>-2938.68</v>
          </cell>
          <cell r="H27">
            <v>2938.68</v>
          </cell>
          <cell r="I27">
            <v>0</v>
          </cell>
          <cell r="J27">
            <v>-264</v>
          </cell>
          <cell r="K27">
            <v>-88315.25</v>
          </cell>
          <cell r="L27">
            <v>0</v>
          </cell>
          <cell r="M27">
            <v>-7357.2</v>
          </cell>
          <cell r="N27">
            <v>0</v>
          </cell>
          <cell r="O27">
            <v>0</v>
          </cell>
          <cell r="P27">
            <v>-7333.5</v>
          </cell>
          <cell r="Q27">
            <v>0</v>
          </cell>
          <cell r="R27">
            <v>-143571.88</v>
          </cell>
        </row>
        <row r="28">
          <cell r="C28" t="str">
            <v>Capitalized R&amp;D</v>
          </cell>
          <cell r="D28">
            <v>0</v>
          </cell>
          <cell r="E28">
            <v>-64400.21</v>
          </cell>
          <cell r="F28">
            <v>-25306.14</v>
          </cell>
          <cell r="G28">
            <v>-46369.91</v>
          </cell>
          <cell r="H28">
            <v>-33107.870000000003</v>
          </cell>
          <cell r="I28">
            <v>0</v>
          </cell>
          <cell r="J28">
            <v>-20833.310000000001</v>
          </cell>
          <cell r="K28">
            <v>-15001.8</v>
          </cell>
          <cell r="L28">
            <v>-45894.49</v>
          </cell>
          <cell r="M28">
            <v>-21569.53</v>
          </cell>
          <cell r="N28">
            <v>-73876.460000000006</v>
          </cell>
          <cell r="O28">
            <v>-67937.45</v>
          </cell>
          <cell r="P28">
            <v>-23888.5</v>
          </cell>
          <cell r="Q28">
            <v>0</v>
          </cell>
          <cell r="R28">
            <v>79474.820000000007</v>
          </cell>
        </row>
        <row r="29">
          <cell r="C29" t="str">
            <v>Capitalized Office Expense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53859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 t="str">
            <v>Interest Expense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-40312.879999999997</v>
          </cell>
          <cell r="R30">
            <v>-6122.25</v>
          </cell>
        </row>
        <row r="31">
          <cell r="C31" t="str">
            <v>Investment in Subsidiaries</v>
          </cell>
          <cell r="D31">
            <v>0</v>
          </cell>
          <cell r="E31">
            <v>0</v>
          </cell>
          <cell r="F31">
            <v>0</v>
          </cell>
          <cell r="G31">
            <v>-400000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/>
          <cell r="D32">
            <v>199523</v>
          </cell>
          <cell r="E32">
            <v>-63400.21</v>
          </cell>
          <cell r="F32">
            <v>-44370</v>
          </cell>
          <cell r="G32">
            <v>-445268.57</v>
          </cell>
          <cell r="H32">
            <v>23689.809999999998</v>
          </cell>
          <cell r="I32">
            <v>0</v>
          </cell>
          <cell r="J32">
            <v>-21097.31</v>
          </cell>
          <cell r="K32">
            <v>-103317.05</v>
          </cell>
          <cell r="L32">
            <v>-65894.489999999991</v>
          </cell>
          <cell r="M32">
            <v>-28926.73</v>
          </cell>
          <cell r="N32">
            <v>-73876.460000000006</v>
          </cell>
          <cell r="O32">
            <v>-67937.45</v>
          </cell>
          <cell r="P32">
            <v>-31222</v>
          </cell>
          <cell r="Q32">
            <v>-50118.879999999997</v>
          </cell>
          <cell r="R32">
            <v>-70219.31</v>
          </cell>
        </row>
        <row r="33"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</row>
        <row r="34">
          <cell r="C34" t="str">
            <v>Equity - SAFE</v>
          </cell>
          <cell r="D34">
            <v>-300000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8417500</v>
          </cell>
          <cell r="R34">
            <v>4500025</v>
          </cell>
        </row>
        <row r="35">
          <cell r="C35" t="str">
            <v>Capitalized Office Expense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-53859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Equity - Series A</v>
          </cell>
          <cell r="D36">
            <v>103</v>
          </cell>
          <cell r="E36">
            <v>0</v>
          </cell>
          <cell r="F36">
            <v>61.1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Financing Fees</v>
          </cell>
          <cell r="D37">
            <v>-129186.15</v>
          </cell>
          <cell r="E37">
            <v>-93764.5</v>
          </cell>
          <cell r="F37">
            <v>-5736.15</v>
          </cell>
          <cell r="G37">
            <v>-11452.5</v>
          </cell>
          <cell r="H37">
            <v>-12047.85</v>
          </cell>
          <cell r="I37">
            <v>-16318.8</v>
          </cell>
          <cell r="J37">
            <v>-7788.8</v>
          </cell>
          <cell r="K37">
            <v>-1635.3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Equity - Series A</v>
          </cell>
          <cell r="D38">
            <v>9999882.1899999995</v>
          </cell>
          <cell r="E38">
            <v>0</v>
          </cell>
          <cell r="F38">
            <v>6109936.8399999999</v>
          </cell>
          <cell r="G38">
            <v>2599994.2000000002</v>
          </cell>
          <cell r="H38">
            <v>1589996.33</v>
          </cell>
          <cell r="I38">
            <v>0</v>
          </cell>
          <cell r="J38">
            <v>500000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/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-0.01</v>
          </cell>
          <cell r="Q39">
            <v>0</v>
          </cell>
          <cell r="R39">
            <v>0</v>
          </cell>
        </row>
        <row r="40">
          <cell r="C40" t="str">
            <v>Cash Flow from Financing</v>
          </cell>
          <cell r="D40">
            <v>9570799.0399999991</v>
          </cell>
          <cell r="E40">
            <v>-93764.5</v>
          </cell>
          <cell r="F40">
            <v>6104261.79</v>
          </cell>
          <cell r="G40">
            <v>2588541.7000000002</v>
          </cell>
          <cell r="H40">
            <v>1524089.48</v>
          </cell>
          <cell r="I40">
            <v>-16318.8</v>
          </cell>
          <cell r="J40">
            <v>492211.20000000001</v>
          </cell>
          <cell r="K40">
            <v>-1635.3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-0.01</v>
          </cell>
          <cell r="Q40">
            <v>8417500</v>
          </cell>
          <cell r="R40">
            <v>4500025</v>
          </cell>
        </row>
        <row r="41">
          <cell r="C41" t="str">
            <v>Net Change in Cash</v>
          </cell>
          <cell r="D41">
            <v>8378131.6499999994</v>
          </cell>
          <cell r="E41">
            <v>-880290.98</v>
          </cell>
          <cell r="F41">
            <v>5156271.79</v>
          </cell>
          <cell r="G41">
            <v>1895204.4200000002</v>
          </cell>
          <cell r="H41">
            <v>800818.71</v>
          </cell>
          <cell r="I41">
            <v>-824064.37000000011</v>
          </cell>
          <cell r="J41">
            <v>-1055357.9400000002</v>
          </cell>
          <cell r="K41">
            <v>-1326716.9900000002</v>
          </cell>
          <cell r="L41">
            <v>-1185153.7799999998</v>
          </cell>
          <cell r="M41">
            <v>-2456435.9200000004</v>
          </cell>
          <cell r="N41">
            <v>-2028925.02</v>
          </cell>
          <cell r="O41">
            <v>-1423393.84</v>
          </cell>
          <cell r="P41">
            <v>-883174.65000000061</v>
          </cell>
          <cell r="Q41">
            <v>6501701.54</v>
          </cell>
          <cell r="R41">
            <v>-1379099.8499999987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ierra Fan" id="{E5F35587-D2F3-4958-997F-3403F4018987}" userId="S::sfan@xgsenergy.com::826ea147-707b-45a2-9dcc-05da163908f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7A584-21DE-422D-97FB-AACC4462F053}" name="Table3" displayName="Table3" ref="C9:N26" totalsRowShown="0" headerRowDxfId="16" dataDxfId="15" dataCellStyle="Comma">
  <autoFilter ref="C9:N26" xr:uid="{32079EE4-E51A-45A2-B38E-4312CB77D1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446EDDF7-6A62-4469-895F-353053DC3BEF}" name="Year" dataDxfId="14"/>
    <tableColumn id="2" xr3:uid="{F17D954B-63E0-4DD6-883E-36954ACE9603}" name="2025" dataDxfId="13" dataCellStyle="Comma"/>
    <tableColumn id="3" xr3:uid="{5284AEBB-A55D-42F8-AE6F-0D950A7C442B}" name="2026" dataDxfId="12" dataCellStyle="Comma"/>
    <tableColumn id="4" xr3:uid="{818C687A-BDD7-4326-AC40-E3EF1E112788}" name="2027" dataDxfId="11" dataCellStyle="Comma"/>
    <tableColumn id="5" xr3:uid="{1F622805-628E-4410-89DC-69A7A0140140}" name="2028" dataDxfId="10" dataCellStyle="Comma"/>
    <tableColumn id="6" xr3:uid="{AFBEFE29-9D3A-40DC-8E01-6F4FBBF54629}" name="2029" dataDxfId="9" dataCellStyle="Comma"/>
    <tableColumn id="7" xr3:uid="{28753D14-6075-4324-89CE-6BF5F3377D1A}" name="2030" dataDxfId="8" dataCellStyle="Comma"/>
    <tableColumn id="8" xr3:uid="{D2BB5C82-D946-4E7F-A3D1-2091C6F31E0A}" name="2031" dataDxfId="7" dataCellStyle="Comma"/>
    <tableColumn id="9" xr3:uid="{147B5E72-73BB-4545-B9B7-C26430370C52}" name="2032" dataDxfId="6" dataCellStyle="Comma"/>
    <tableColumn id="10" xr3:uid="{838E3613-FADD-49ED-959A-C6E16B91D182}" name="2033" dataDxfId="5" dataCellStyle="Comma"/>
    <tableColumn id="12" xr3:uid="{2E288677-CF41-44B2-8979-9F588B33164D}" name="2034"/>
    <tableColumn id="11" xr3:uid="{46C97AF7-C94C-4D5C-B3C8-0AF069F5A136}" name="2035" dataDxfId="4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6" dT="2025-06-09T21:16:08.84" personId="{E5F35587-D2F3-4958-997F-3403F4018987}" id="{1BEF27EF-3460-41C6-AA17-087B0ABB5011}">
    <text>EPC Management Fee: XGS collects fee upon Commercial Operations Date for new projects brought online</text>
  </threadedComment>
  <threadedComment ref="D37" dT="2025-06-09T21:14:31.31" personId="{E5F35587-D2F3-4958-997F-3403F4018987}" id="{AFA07125-B70C-46ED-8435-E239F5094862}">
    <text>Long Term Service Agreement Fee: XGS collects based on installed MWs for all operating projects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16" dT="2026-01-29T18:40:34.58" personId="{E5F35587-D2F3-4958-997F-3403F4018987}" id="{2139CD11-695D-45A4-959E-179B3F1761D1}">
    <text>Capuano transaction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48" dT="2026-01-29T18:41:07.36" personId="{E5F35587-D2F3-4958-997F-3403F4018987}" id="{46E9FAB1-7D12-4236-A9B7-B60CC3B8C813}">
    <text>Capuano transaction - some flowing through liabilities in the B/S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1079-1439-4D18-8F49-9938EB937C80}">
  <sheetPr>
    <tabColor theme="1"/>
  </sheetPr>
  <dimension ref="A1:N24"/>
  <sheetViews>
    <sheetView showGridLines="0" tabSelected="1" workbookViewId="0">
      <selection activeCell="C11" sqref="C11"/>
    </sheetView>
  </sheetViews>
  <sheetFormatPr baseColWidth="10" defaultColWidth="0" defaultRowHeight="15" zeroHeight="1" x14ac:dyDescent="0.2"/>
  <cols>
    <col min="1" max="1" width="1.5" customWidth="1"/>
    <col min="2" max="3" width="8.6640625" customWidth="1"/>
    <col min="4" max="4" width="10.5" bestFit="1" customWidth="1"/>
    <col min="5" max="14" width="8.6640625" customWidth="1"/>
    <col min="15" max="15" width="8.6640625" hidden="1" customWidth="1"/>
    <col min="16" max="16384" width="8.6640625" hidden="1"/>
  </cols>
  <sheetData>
    <row r="1" spans="2:14" x14ac:dyDescent="0.2"/>
    <row r="2" spans="2:14" ht="7.25" customHeight="1" x14ac:dyDescent="0.2"/>
    <row r="3" spans="2:14" x14ac:dyDescent="0.2"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</row>
    <row r="4" spans="2:14" x14ac:dyDescent="0.2"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</row>
    <row r="5" spans="2:14" ht="30" customHeight="1" x14ac:dyDescent="0.35">
      <c r="B5" s="200"/>
      <c r="C5" s="201" t="s">
        <v>0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</row>
    <row r="6" spans="2:14" x14ac:dyDescent="0.2"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</row>
    <row r="7" spans="2:14" x14ac:dyDescent="0.2"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</row>
    <row r="8" spans="2:14" x14ac:dyDescent="0.2"/>
    <row r="9" spans="2:14" x14ac:dyDescent="0.2">
      <c r="C9" t="s">
        <v>1</v>
      </c>
      <c r="D9" t="str">
        <f ca="1">MID(CELL("filename"),SEARCH("[",CELL("filename"))+1,SEARCH("]",CELL("filename"))-SEARCH("[",CELL("filename"))-6)</f>
        <v>5.10 XGS Enterprise Model_Confidential_2026.02.17</v>
      </c>
    </row>
    <row r="10" spans="2:14" x14ac:dyDescent="0.2">
      <c r="C10" t="s">
        <v>2</v>
      </c>
      <c r="D10" s="194">
        <f ca="1">TODAY()</f>
        <v>46071</v>
      </c>
    </row>
    <row r="11" spans="2:14" x14ac:dyDescent="0.2"/>
    <row r="12" spans="2:14" x14ac:dyDescent="0.2"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</row>
    <row r="13" spans="2:14" x14ac:dyDescent="0.2"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</row>
    <row r="14" spans="2:14" x14ac:dyDescent="0.2"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</row>
    <row r="15" spans="2:14" x14ac:dyDescent="0.2"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</row>
    <row r="16" spans="2:14" x14ac:dyDescent="0.2"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</row>
    <row r="17" spans="2:14" x14ac:dyDescent="0.2">
      <c r="B17" s="202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</row>
    <row r="18" spans="2:14" x14ac:dyDescent="0.2"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</row>
    <row r="19" spans="2:14" x14ac:dyDescent="0.2"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</row>
    <row r="20" spans="2:14" x14ac:dyDescent="0.2">
      <c r="B20" s="202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</row>
    <row r="21" spans="2:14" x14ac:dyDescent="0.2">
      <c r="B21" s="202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</row>
    <row r="22" spans="2:14" ht="16" x14ac:dyDescent="0.2">
      <c r="B22" s="202"/>
      <c r="C22" s="223" t="s">
        <v>3</v>
      </c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</row>
    <row r="23" spans="2:14" x14ac:dyDescent="0.2"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</row>
    <row r="24" spans="2:14" x14ac:dyDescent="0.2"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20DB-2E2C-451D-9333-5F0D3ECCC1FA}">
  <sheetPr>
    <tabColor theme="1"/>
  </sheetPr>
  <dimension ref="A1:O23"/>
  <sheetViews>
    <sheetView showGridLines="0" workbookViewId="0"/>
  </sheetViews>
  <sheetFormatPr baseColWidth="10" defaultColWidth="0" defaultRowHeight="14" zeroHeight="1" x14ac:dyDescent="0.2"/>
  <cols>
    <col min="1" max="1" width="2.5" style="196" customWidth="1"/>
    <col min="2" max="2" width="24" style="196" customWidth="1"/>
    <col min="3" max="3" width="21.5" style="196" customWidth="1"/>
    <col min="4" max="4" width="61.6640625" style="196" customWidth="1"/>
    <col min="5" max="5" width="15.5" style="196" customWidth="1"/>
    <col min="6" max="6" width="10.5" style="196" customWidth="1"/>
    <col min="7" max="15" width="10.5" style="196" hidden="1" customWidth="1"/>
    <col min="16" max="16384" width="8.6640625" style="196" hidden="1"/>
  </cols>
  <sheetData>
    <row r="1" spans="2:5" x14ac:dyDescent="0.2"/>
    <row r="2" spans="2:5" ht="20" x14ac:dyDescent="0.25">
      <c r="B2" s="203" t="s">
        <v>0</v>
      </c>
      <c r="C2" s="195"/>
      <c r="E2" s="195"/>
    </row>
    <row r="3" spans="2:5" ht="16" x14ac:dyDescent="0.2">
      <c r="B3" s="197" t="s">
        <v>4</v>
      </c>
    </row>
    <row r="4" spans="2:5" x14ac:dyDescent="0.2"/>
    <row r="5" spans="2:5" x14ac:dyDescent="0.2">
      <c r="B5" s="198" t="s">
        <v>5</v>
      </c>
      <c r="C5" s="198"/>
      <c r="D5" s="198"/>
      <c r="E5" s="198"/>
    </row>
    <row r="6" spans="2:5" ht="43" customHeight="1" x14ac:dyDescent="0.2">
      <c r="B6" s="248" t="s">
        <v>6</v>
      </c>
      <c r="C6" s="248"/>
      <c r="D6" s="248"/>
      <c r="E6" s="248"/>
    </row>
    <row r="7" spans="2:5" x14ac:dyDescent="0.2"/>
    <row r="8" spans="2:5" x14ac:dyDescent="0.2"/>
    <row r="9" spans="2:5" x14ac:dyDescent="0.2">
      <c r="B9" s="198" t="s">
        <v>7</v>
      </c>
      <c r="C9" s="198" t="s">
        <v>8</v>
      </c>
      <c r="D9" s="198" t="s">
        <v>5</v>
      </c>
      <c r="E9" s="198" t="s">
        <v>9</v>
      </c>
    </row>
    <row r="10" spans="2:5" ht="15" x14ac:dyDescent="0.2">
      <c r="B10" s="199" t="str">
        <f>HYPERLINK($A$1, "Intro")</f>
        <v>Intro</v>
      </c>
      <c r="C10" s="196" t="s">
        <v>10</v>
      </c>
      <c r="D10" s="196" t="s">
        <v>11</v>
      </c>
    </row>
    <row r="11" spans="2:5" ht="15" x14ac:dyDescent="0.2">
      <c r="B11" s="199" t="str">
        <f>HYPERLINK("#Inputs!$A$1", "Inputs")</f>
        <v>Inputs</v>
      </c>
      <c r="C11" s="196" t="s">
        <v>12</v>
      </c>
      <c r="D11" s="196" t="s">
        <v>13</v>
      </c>
    </row>
    <row r="12" spans="2:5" ht="30" x14ac:dyDescent="0.2">
      <c r="B12" s="199" t="str">
        <f>HYPERLINK("#'Consolidated Forecast (A)'!A1", "Consolidated Forecast (A)")</f>
        <v>Consolidated Forecast (A)</v>
      </c>
      <c r="C12" s="196" t="s">
        <v>14</v>
      </c>
      <c r="D12" s="205" t="s">
        <v>15</v>
      </c>
      <c r="E12" s="196" t="s">
        <v>16</v>
      </c>
    </row>
    <row r="13" spans="2:5" ht="15" x14ac:dyDescent="0.2">
      <c r="B13" s="199" t="str">
        <f>HYPERLINK("#'ST Forecast (M)'!A1", "ST Forecast (M)")</f>
        <v>ST Forecast (M)</v>
      </c>
      <c r="C13" s="196" t="s">
        <v>17</v>
      </c>
      <c r="D13" s="196" t="s">
        <v>18</v>
      </c>
      <c r="E13" s="196" t="s">
        <v>19</v>
      </c>
    </row>
    <row r="14" spans="2:5" ht="15" x14ac:dyDescent="0.2">
      <c r="B14" s="199" t="str">
        <f>HYPERLINK("#'Historical PnL (M)'!A1", "Historical PnL (M)")</f>
        <v>Historical PnL (M)</v>
      </c>
      <c r="C14" s="196" t="s">
        <v>17</v>
      </c>
      <c r="D14" s="196" t="s">
        <v>20</v>
      </c>
      <c r="E14" s="196" t="s">
        <v>21</v>
      </c>
    </row>
    <row r="15" spans="2:5" ht="15" x14ac:dyDescent="0.2">
      <c r="B15" s="199" t="str">
        <f>HYPERLINK("#'Historical IS'!A1", "Historical IS")</f>
        <v>Historical IS</v>
      </c>
      <c r="C15" s="196" t="s">
        <v>22</v>
      </c>
      <c r="D15" s="196" t="s">
        <v>23</v>
      </c>
      <c r="E15" s="196" t="s">
        <v>21</v>
      </c>
    </row>
    <row r="16" spans="2:5" ht="15" x14ac:dyDescent="0.2">
      <c r="B16" s="199" t="str">
        <f>HYPERLINK("#'Historical BS'!A1", "Historical BS")</f>
        <v>Historical BS</v>
      </c>
      <c r="C16" s="196" t="s">
        <v>22</v>
      </c>
      <c r="D16" s="196" t="s">
        <v>24</v>
      </c>
      <c r="E16" s="196" t="s">
        <v>21</v>
      </c>
    </row>
    <row r="17" spans="2:5" ht="15" x14ac:dyDescent="0.2">
      <c r="B17" s="199" t="str">
        <f>HYPERLINK("#'Historical CFS'!A1", "Historical CFS")</f>
        <v>Historical CFS</v>
      </c>
      <c r="C17" s="196" t="s">
        <v>22</v>
      </c>
      <c r="D17" s="196" t="s">
        <v>25</v>
      </c>
      <c r="E17" s="196" t="s">
        <v>21</v>
      </c>
    </row>
    <row r="18" spans="2:5" x14ac:dyDescent="0.2"/>
    <row r="19" spans="2:5" x14ac:dyDescent="0.2"/>
    <row r="20" spans="2:5" x14ac:dyDescent="0.2"/>
    <row r="21" spans="2:5" x14ac:dyDescent="0.2"/>
    <row r="22" spans="2:5" x14ac:dyDescent="0.2"/>
    <row r="23" spans="2:5" x14ac:dyDescent="0.2"/>
  </sheetData>
  <mergeCells count="1">
    <mergeCell ref="B6:E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F88C-9266-4ACD-B8D3-A483BAE382FE}">
  <sheetPr>
    <tabColor theme="4"/>
  </sheetPr>
  <dimension ref="F26"/>
  <sheetViews>
    <sheetView showGridLines="0" workbookViewId="0"/>
  </sheetViews>
  <sheetFormatPr baseColWidth="10" defaultColWidth="8.83203125" defaultRowHeight="15" x14ac:dyDescent="0.2"/>
  <sheetData>
    <row r="26" spans="6:6" x14ac:dyDescent="0.2">
      <c r="F26" s="17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6ABA-94AF-4EC4-B182-548795D040E0}">
  <dimension ref="B2:Z64"/>
  <sheetViews>
    <sheetView showGridLines="0" topLeftCell="A3" zoomScaleNormal="100" workbookViewId="0">
      <selection activeCell="F15" sqref="F15"/>
    </sheetView>
  </sheetViews>
  <sheetFormatPr baseColWidth="10" defaultColWidth="8.83203125" defaultRowHeight="15" x14ac:dyDescent="0.2"/>
  <cols>
    <col min="1" max="1" width="2.6640625" customWidth="1"/>
    <col min="2" max="3" width="2.5" customWidth="1"/>
    <col min="4" max="4" width="25.5" customWidth="1"/>
    <col min="5" max="5" width="14.83203125" customWidth="1"/>
    <col min="6" max="12" width="10.5" customWidth="1"/>
    <col min="13" max="13" width="12" bestFit="1" customWidth="1"/>
    <col min="14" max="17" width="11.1640625" customWidth="1"/>
    <col min="19" max="19" width="15.33203125" customWidth="1"/>
    <col min="20" max="20" width="10.6640625" customWidth="1"/>
    <col min="21" max="21" width="10.6640625" customWidth="1" collapsed="1"/>
    <col min="22" max="26" width="10.6640625" customWidth="1"/>
  </cols>
  <sheetData>
    <row r="2" spans="2:26" ht="20" x14ac:dyDescent="0.25">
      <c r="B2" s="203" t="s">
        <v>0</v>
      </c>
    </row>
    <row r="3" spans="2:26" ht="16" x14ac:dyDescent="0.2">
      <c r="B3" s="197" t="s">
        <v>26</v>
      </c>
    </row>
    <row r="5" spans="2:26" x14ac:dyDescent="0.2">
      <c r="B5" s="15" t="s">
        <v>27</v>
      </c>
      <c r="C5" s="1"/>
      <c r="D5" s="1"/>
      <c r="E5" s="1"/>
      <c r="F5" s="1"/>
      <c r="G5" s="1"/>
      <c r="H5" s="1"/>
      <c r="I5" s="1"/>
      <c r="J5" s="1"/>
      <c r="K5" s="1"/>
      <c r="L5" s="1"/>
    </row>
    <row r="7" spans="2:26" x14ac:dyDescent="0.2">
      <c r="C7" t="s">
        <v>28</v>
      </c>
      <c r="F7" s="29">
        <v>45322</v>
      </c>
    </row>
    <row r="8" spans="2:26" x14ac:dyDescent="0.2">
      <c r="C8" t="s">
        <v>29</v>
      </c>
      <c r="F8" s="29">
        <v>49674</v>
      </c>
    </row>
    <row r="9" spans="2:26" x14ac:dyDescent="0.2">
      <c r="F9" s="29"/>
    </row>
    <row r="10" spans="2:26" x14ac:dyDescent="0.2">
      <c r="B10" s="15" t="s">
        <v>30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20"/>
      <c r="V10" s="159"/>
      <c r="W10" s="159"/>
      <c r="X10" s="159"/>
      <c r="Y10" s="159"/>
      <c r="Z10" s="159"/>
    </row>
    <row r="11" spans="2:26" x14ac:dyDescent="0.2">
      <c r="B11" s="179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20"/>
      <c r="V11" s="182"/>
      <c r="W11" s="182"/>
      <c r="X11" s="182"/>
      <c r="Y11" s="182"/>
      <c r="Z11" s="182"/>
    </row>
    <row r="12" spans="2:26" x14ac:dyDescent="0.2">
      <c r="C12" s="20" t="s">
        <v>31</v>
      </c>
      <c r="F12" s="26">
        <v>2027</v>
      </c>
      <c r="G12" s="27">
        <f t="shared" ref="G12" si="0">F12+1</f>
        <v>2028</v>
      </c>
      <c r="H12" s="27">
        <f>G12+1</f>
        <v>2029</v>
      </c>
      <c r="I12" s="27">
        <f t="shared" ref="I12:N12" si="1">H12+1</f>
        <v>2030</v>
      </c>
      <c r="J12" s="27">
        <f t="shared" si="1"/>
        <v>2031</v>
      </c>
      <c r="K12" s="27">
        <f t="shared" si="1"/>
        <v>2032</v>
      </c>
      <c r="L12" s="27">
        <f t="shared" si="1"/>
        <v>2033</v>
      </c>
      <c r="M12" s="27">
        <f t="shared" si="1"/>
        <v>2034</v>
      </c>
      <c r="N12" s="27">
        <f t="shared" si="1"/>
        <v>2035</v>
      </c>
      <c r="O12" s="27"/>
      <c r="P12" s="184" t="s">
        <v>32</v>
      </c>
      <c r="Q12" s="184" t="s">
        <v>33</v>
      </c>
    </row>
    <row r="13" spans="2:26" x14ac:dyDescent="0.2">
      <c r="D13" t="s">
        <v>34</v>
      </c>
      <c r="E13" s="23" t="s">
        <v>35</v>
      </c>
      <c r="F13" s="21">
        <v>0</v>
      </c>
      <c r="G13" s="21">
        <v>50</v>
      </c>
      <c r="H13" s="21">
        <v>400</v>
      </c>
      <c r="I13" s="185">
        <v>200</v>
      </c>
      <c r="J13" s="185">
        <v>300</v>
      </c>
      <c r="K13" s="185">
        <v>300</v>
      </c>
      <c r="L13" s="185">
        <v>0</v>
      </c>
      <c r="M13" s="185">
        <v>0</v>
      </c>
      <c r="N13" s="185">
        <v>0</v>
      </c>
      <c r="O13" s="185"/>
      <c r="P13" s="186">
        <f>SUM(F13:I13)</f>
        <v>650</v>
      </c>
      <c r="Q13" s="186">
        <f t="shared" ref="Q13:Q22" si="2">SUM(F13:N13)</f>
        <v>1250</v>
      </c>
      <c r="S13" s="20"/>
      <c r="V13" s="20"/>
      <c r="W13" s="20"/>
      <c r="X13" s="20"/>
    </row>
    <row r="14" spans="2:26" x14ac:dyDescent="0.2">
      <c r="D14" t="s">
        <v>36</v>
      </c>
      <c r="E14" s="23" t="s">
        <v>35</v>
      </c>
      <c r="F14" s="21">
        <v>0</v>
      </c>
      <c r="G14" s="21">
        <v>150</v>
      </c>
      <c r="H14" s="21">
        <v>500</v>
      </c>
      <c r="I14" s="21">
        <v>1000</v>
      </c>
      <c r="J14" s="21">
        <v>1500</v>
      </c>
      <c r="K14" s="21">
        <v>1000</v>
      </c>
      <c r="L14" s="21">
        <v>0</v>
      </c>
      <c r="M14" s="21">
        <v>0</v>
      </c>
      <c r="N14" s="21">
        <v>0</v>
      </c>
      <c r="O14" s="21"/>
      <c r="P14" s="186">
        <f t="shared" ref="P14:P21" si="3">SUM(F14:I14)</f>
        <v>1650</v>
      </c>
      <c r="Q14" s="186">
        <f t="shared" si="2"/>
        <v>4150</v>
      </c>
      <c r="S14" s="159"/>
      <c r="V14" s="159"/>
      <c r="W14" s="159"/>
      <c r="X14" s="159"/>
    </row>
    <row r="15" spans="2:26" x14ac:dyDescent="0.2">
      <c r="D15" t="s">
        <v>37</v>
      </c>
      <c r="E15" s="23" t="s">
        <v>35</v>
      </c>
      <c r="F15" s="21">
        <v>30</v>
      </c>
      <c r="G15" s="21">
        <v>150</v>
      </c>
      <c r="H15" s="21">
        <v>250</v>
      </c>
      <c r="I15" s="21">
        <v>400</v>
      </c>
      <c r="J15" s="21">
        <v>720</v>
      </c>
      <c r="K15" s="21">
        <v>1000</v>
      </c>
      <c r="L15" s="21">
        <v>0</v>
      </c>
      <c r="M15" s="21">
        <v>0</v>
      </c>
      <c r="N15" s="21">
        <v>0</v>
      </c>
      <c r="O15" s="21"/>
      <c r="P15" s="186">
        <f t="shared" si="3"/>
        <v>830</v>
      </c>
      <c r="Q15" s="186">
        <f t="shared" si="2"/>
        <v>2550</v>
      </c>
      <c r="S15" s="159"/>
      <c r="V15" s="159"/>
      <c r="W15" s="159"/>
      <c r="X15" s="159"/>
    </row>
    <row r="16" spans="2:26" x14ac:dyDescent="0.2">
      <c r="D16" t="s">
        <v>38</v>
      </c>
      <c r="E16" s="23" t="s">
        <v>35</v>
      </c>
      <c r="F16" s="21">
        <v>0</v>
      </c>
      <c r="G16" s="21">
        <v>0</v>
      </c>
      <c r="H16" s="21">
        <v>0</v>
      </c>
      <c r="I16" s="21">
        <v>50</v>
      </c>
      <c r="J16" s="21">
        <v>200</v>
      </c>
      <c r="K16" s="21">
        <v>1750</v>
      </c>
      <c r="L16" s="21">
        <v>1500</v>
      </c>
      <c r="M16" s="21">
        <v>0</v>
      </c>
      <c r="N16" s="21">
        <v>0</v>
      </c>
      <c r="O16" s="21"/>
      <c r="P16" s="186">
        <f t="shared" si="3"/>
        <v>50</v>
      </c>
      <c r="Q16" s="186">
        <f t="shared" si="2"/>
        <v>3500</v>
      </c>
      <c r="S16" s="159"/>
      <c r="V16" s="159"/>
      <c r="W16" s="159"/>
      <c r="X16" s="159"/>
    </row>
    <row r="17" spans="3:24" x14ac:dyDescent="0.2">
      <c r="D17" t="s">
        <v>39</v>
      </c>
      <c r="E17" s="23" t="s">
        <v>35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500</v>
      </c>
      <c r="M17" s="21">
        <v>2000</v>
      </c>
      <c r="N17" s="21">
        <v>2500</v>
      </c>
      <c r="O17" s="21"/>
      <c r="P17" s="186">
        <f t="shared" si="3"/>
        <v>0</v>
      </c>
      <c r="Q17" s="186">
        <f t="shared" si="2"/>
        <v>5000</v>
      </c>
      <c r="S17" s="159"/>
      <c r="T17" s="159"/>
      <c r="U17" s="159"/>
      <c r="V17" s="159"/>
      <c r="W17" s="159"/>
      <c r="X17" s="159"/>
    </row>
    <row r="18" spans="3:24" x14ac:dyDescent="0.2">
      <c r="D18" t="s">
        <v>40</v>
      </c>
      <c r="E18" s="23" t="s">
        <v>35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500</v>
      </c>
      <c r="L18" s="21">
        <v>0</v>
      </c>
      <c r="M18" s="21">
        <v>0</v>
      </c>
      <c r="N18" s="21">
        <v>0</v>
      </c>
      <c r="O18" s="21"/>
      <c r="P18" s="186">
        <f t="shared" si="3"/>
        <v>0</v>
      </c>
      <c r="Q18" s="186">
        <f t="shared" si="2"/>
        <v>500</v>
      </c>
      <c r="S18" s="159"/>
      <c r="T18" s="159"/>
      <c r="U18" s="159"/>
      <c r="V18" s="159"/>
      <c r="W18" s="159"/>
      <c r="X18" s="159"/>
    </row>
    <row r="19" spans="3:24" x14ac:dyDescent="0.2">
      <c r="D19" t="s">
        <v>41</v>
      </c>
      <c r="E19" s="23" t="s">
        <v>35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500</v>
      </c>
      <c r="M19" s="21">
        <v>500</v>
      </c>
      <c r="N19" s="21">
        <v>500</v>
      </c>
      <c r="O19" s="21"/>
      <c r="P19" s="186">
        <f t="shared" si="3"/>
        <v>0</v>
      </c>
      <c r="Q19" s="186">
        <f t="shared" si="2"/>
        <v>1500</v>
      </c>
      <c r="S19" s="159"/>
      <c r="T19" s="159"/>
      <c r="U19" s="159"/>
      <c r="V19" s="159"/>
      <c r="W19" s="159"/>
      <c r="X19" s="159"/>
    </row>
    <row r="20" spans="3:24" ht="14" customHeight="1" x14ac:dyDescent="0.2">
      <c r="D20" t="s">
        <v>42</v>
      </c>
      <c r="E20" s="23" t="s">
        <v>35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1000</v>
      </c>
      <c r="M20" s="21">
        <v>2000</v>
      </c>
      <c r="N20" s="21">
        <v>2500</v>
      </c>
      <c r="O20" s="21"/>
      <c r="P20" s="186">
        <f t="shared" si="3"/>
        <v>0</v>
      </c>
      <c r="Q20" s="186">
        <f t="shared" si="2"/>
        <v>5500</v>
      </c>
      <c r="S20" s="159"/>
      <c r="T20" s="159"/>
      <c r="U20" s="159"/>
      <c r="V20" s="159"/>
      <c r="W20" s="159"/>
      <c r="X20" s="159"/>
    </row>
    <row r="21" spans="3:24" x14ac:dyDescent="0.2">
      <c r="D21" t="s">
        <v>43</v>
      </c>
      <c r="E21" s="23" t="s">
        <v>35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1500</v>
      </c>
      <c r="M21" s="21">
        <v>2500</v>
      </c>
      <c r="N21" s="21">
        <v>3000</v>
      </c>
      <c r="O21" s="21"/>
      <c r="P21" s="186">
        <f t="shared" si="3"/>
        <v>0</v>
      </c>
      <c r="Q21" s="186">
        <f t="shared" si="2"/>
        <v>7000</v>
      </c>
      <c r="S21" s="159"/>
      <c r="T21" s="159"/>
      <c r="U21" s="159"/>
      <c r="V21" s="159"/>
      <c r="W21" s="159"/>
      <c r="X21" s="159"/>
    </row>
    <row r="22" spans="3:24" x14ac:dyDescent="0.2">
      <c r="D22" s="151" t="s">
        <v>44</v>
      </c>
      <c r="E22" s="43" t="s">
        <v>35</v>
      </c>
      <c r="F22" s="168">
        <f t="shared" ref="F22:N22" si="4">SUM(F13:F21)</f>
        <v>30</v>
      </c>
      <c r="G22" s="168">
        <f t="shared" si="4"/>
        <v>350</v>
      </c>
      <c r="H22" s="168">
        <f t="shared" si="4"/>
        <v>1150</v>
      </c>
      <c r="I22" s="168">
        <f t="shared" si="4"/>
        <v>1650</v>
      </c>
      <c r="J22" s="168">
        <f t="shared" si="4"/>
        <v>2720</v>
      </c>
      <c r="K22" s="168">
        <f t="shared" si="4"/>
        <v>4550</v>
      </c>
      <c r="L22" s="168">
        <f t="shared" si="4"/>
        <v>5000</v>
      </c>
      <c r="M22" s="168">
        <f t="shared" si="4"/>
        <v>7000</v>
      </c>
      <c r="N22" s="168">
        <f t="shared" si="4"/>
        <v>8500</v>
      </c>
      <c r="O22" s="143"/>
      <c r="P22" s="187">
        <f t="shared" ref="P22" si="5">SUM(F22:I22)</f>
        <v>3180</v>
      </c>
      <c r="Q22" s="187">
        <f t="shared" si="2"/>
        <v>30950</v>
      </c>
      <c r="S22" s="159"/>
      <c r="T22" s="159"/>
      <c r="U22" s="159"/>
      <c r="V22" s="159"/>
      <c r="W22" s="159"/>
      <c r="X22" s="159"/>
    </row>
    <row r="23" spans="3:24" x14ac:dyDescent="0.2">
      <c r="S23" s="159"/>
      <c r="T23" s="159"/>
      <c r="U23" s="159"/>
      <c r="V23" s="159"/>
      <c r="W23" s="159"/>
      <c r="X23" s="159"/>
    </row>
    <row r="24" spans="3:24" x14ac:dyDescent="0.2">
      <c r="S24" s="159"/>
      <c r="T24" s="159"/>
      <c r="U24" s="159"/>
      <c r="V24" s="159"/>
      <c r="W24" s="159"/>
      <c r="X24" s="159"/>
    </row>
    <row r="25" spans="3:24" x14ac:dyDescent="0.2">
      <c r="C25" s="20" t="s">
        <v>45</v>
      </c>
      <c r="E25" s="23" t="s">
        <v>46</v>
      </c>
      <c r="F25" s="26">
        <v>2027</v>
      </c>
      <c r="G25" s="27">
        <f t="shared" ref="G25" si="6">F25+1</f>
        <v>2028</v>
      </c>
      <c r="H25" s="27">
        <f>G25+1</f>
        <v>2029</v>
      </c>
      <c r="I25" s="27">
        <f t="shared" ref="I25" si="7">H25+1</f>
        <v>2030</v>
      </c>
      <c r="J25" s="27">
        <f t="shared" ref="J25" si="8">I25+1</f>
        <v>2031</v>
      </c>
      <c r="K25" s="27">
        <f t="shared" ref="K25" si="9">J25+1</f>
        <v>2032</v>
      </c>
      <c r="L25" s="27">
        <f t="shared" ref="L25" si="10">K25+1</f>
        <v>2033</v>
      </c>
      <c r="M25" s="27">
        <f t="shared" ref="M25" si="11">L25+1</f>
        <v>2034</v>
      </c>
      <c r="N25" s="27">
        <f t="shared" ref="N25" si="12">M25+1</f>
        <v>2035</v>
      </c>
    </row>
    <row r="26" spans="3:24" x14ac:dyDescent="0.2">
      <c r="D26" s="16" t="s">
        <v>47</v>
      </c>
      <c r="E26" s="23" t="s">
        <v>48</v>
      </c>
      <c r="F26" s="21">
        <v>11000</v>
      </c>
      <c r="G26" s="21">
        <v>10000</v>
      </c>
      <c r="H26" s="21">
        <v>10000</v>
      </c>
      <c r="I26" s="21">
        <v>9000</v>
      </c>
      <c r="J26" s="21">
        <v>9000</v>
      </c>
      <c r="K26" s="21">
        <v>8500</v>
      </c>
      <c r="L26" s="21">
        <v>8500</v>
      </c>
      <c r="M26" s="21">
        <v>7000</v>
      </c>
      <c r="N26" s="21">
        <v>6300</v>
      </c>
      <c r="P26" s="28"/>
    </row>
    <row r="27" spans="3:24" x14ac:dyDescent="0.2">
      <c r="D27" s="16" t="s">
        <v>49</v>
      </c>
      <c r="E27" s="23" t="s">
        <v>50</v>
      </c>
      <c r="F27" s="21">
        <v>1</v>
      </c>
      <c r="G27" s="21">
        <v>1</v>
      </c>
      <c r="H27" s="21">
        <v>2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P27" s="19"/>
    </row>
    <row r="28" spans="3:24" x14ac:dyDescent="0.2">
      <c r="D28" s="16" t="s">
        <v>51</v>
      </c>
      <c r="E28" s="23" t="s">
        <v>35</v>
      </c>
      <c r="F28" s="247">
        <f>F22</f>
        <v>30</v>
      </c>
      <c r="G28" s="247">
        <f t="shared" ref="G28:N28" si="13">G22</f>
        <v>350</v>
      </c>
      <c r="H28" s="247">
        <f t="shared" si="13"/>
        <v>1150</v>
      </c>
      <c r="I28" s="247">
        <f t="shared" si="13"/>
        <v>1650</v>
      </c>
      <c r="J28" s="247">
        <f t="shared" si="13"/>
        <v>2720</v>
      </c>
      <c r="K28" s="247">
        <f t="shared" si="13"/>
        <v>4550</v>
      </c>
      <c r="L28" s="247">
        <f t="shared" si="13"/>
        <v>5000</v>
      </c>
      <c r="M28" s="247">
        <f t="shared" si="13"/>
        <v>7000</v>
      </c>
      <c r="N28" s="247">
        <f t="shared" si="13"/>
        <v>8500</v>
      </c>
      <c r="P28" s="19"/>
    </row>
    <row r="29" spans="3:24" x14ac:dyDescent="0.2">
      <c r="D29" s="16" t="s">
        <v>52</v>
      </c>
      <c r="E29" s="23" t="s">
        <v>35</v>
      </c>
      <c r="F29" s="19">
        <f>SUM($F28:F$28)</f>
        <v>30</v>
      </c>
      <c r="G29" s="19">
        <f>SUM($F28:G$28)</f>
        <v>380</v>
      </c>
      <c r="H29" s="19">
        <f>SUM($F28:H$28)</f>
        <v>1530</v>
      </c>
      <c r="I29" s="19">
        <f>SUM($F28:I$28)</f>
        <v>3180</v>
      </c>
      <c r="J29" s="19">
        <f>SUM($F28:J$28)</f>
        <v>5900</v>
      </c>
      <c r="K29" s="19">
        <f>SUM($F28:K$28)</f>
        <v>10450</v>
      </c>
      <c r="L29" s="19">
        <f>SUM($F28:L$28)</f>
        <v>15450</v>
      </c>
      <c r="M29" s="19">
        <f>SUM($F28:M$28)</f>
        <v>22450</v>
      </c>
      <c r="N29" s="19">
        <f>SUM($F28:N$28)</f>
        <v>30950</v>
      </c>
      <c r="P29" s="19"/>
    </row>
    <row r="30" spans="3:24" x14ac:dyDescent="0.2">
      <c r="D30" s="16"/>
      <c r="E30" s="23"/>
      <c r="F30" s="19"/>
      <c r="G30" s="19"/>
      <c r="H30" s="19"/>
      <c r="I30" s="19"/>
      <c r="J30" s="19"/>
      <c r="K30" s="19"/>
      <c r="L30" s="19"/>
      <c r="M30" s="19"/>
      <c r="N30" s="19"/>
      <c r="P30" s="19"/>
    </row>
    <row r="31" spans="3:24" x14ac:dyDescent="0.2">
      <c r="D31" s="16" t="s">
        <v>53</v>
      </c>
      <c r="E31" s="181" t="s">
        <v>54</v>
      </c>
      <c r="F31" s="19">
        <f t="shared" ref="F31:N31" si="14">F26*F28/1000</f>
        <v>330</v>
      </c>
      <c r="G31" s="19">
        <f t="shared" si="14"/>
        <v>3500</v>
      </c>
      <c r="H31" s="19">
        <f t="shared" si="14"/>
        <v>11500</v>
      </c>
      <c r="I31" s="19">
        <f t="shared" si="14"/>
        <v>14850</v>
      </c>
      <c r="J31" s="19">
        <f t="shared" si="14"/>
        <v>24480</v>
      </c>
      <c r="K31" s="19">
        <f t="shared" si="14"/>
        <v>38675</v>
      </c>
      <c r="L31" s="19">
        <f t="shared" si="14"/>
        <v>42500</v>
      </c>
      <c r="M31" s="19">
        <f t="shared" si="14"/>
        <v>49000</v>
      </c>
      <c r="N31" s="19">
        <f t="shared" si="14"/>
        <v>53550</v>
      </c>
      <c r="P31" s="19"/>
    </row>
    <row r="32" spans="3:24" x14ac:dyDescent="0.2">
      <c r="D32" s="16"/>
      <c r="E32" s="23"/>
      <c r="F32" s="19"/>
      <c r="G32" s="19"/>
      <c r="H32" s="19"/>
      <c r="I32" s="19"/>
      <c r="J32" s="19"/>
      <c r="K32" s="19"/>
      <c r="L32" s="19"/>
      <c r="M32" s="19"/>
      <c r="N32" s="19"/>
    </row>
    <row r="33" spans="2:14" x14ac:dyDescent="0.2">
      <c r="B33" s="15" t="s">
        <v>55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9"/>
      <c r="N33" s="19"/>
    </row>
    <row r="34" spans="2:14" x14ac:dyDescent="0.2">
      <c r="D34" s="16"/>
      <c r="E34" s="23"/>
      <c r="F34" s="19"/>
      <c r="G34" s="19"/>
      <c r="H34" s="19"/>
      <c r="I34" s="19"/>
      <c r="J34" s="19"/>
      <c r="K34" s="19"/>
      <c r="L34" s="19"/>
      <c r="M34" s="19"/>
      <c r="N34" s="19"/>
    </row>
    <row r="35" spans="2:14" x14ac:dyDescent="0.2">
      <c r="C35" s="20" t="s">
        <v>56</v>
      </c>
      <c r="E35" s="24"/>
      <c r="G35" s="19"/>
      <c r="H35" s="19"/>
      <c r="I35" s="19"/>
      <c r="J35" s="19"/>
      <c r="K35" s="19"/>
      <c r="L35" s="19"/>
      <c r="M35" s="19"/>
      <c r="N35" s="19"/>
    </row>
    <row r="36" spans="2:14" x14ac:dyDescent="0.2">
      <c r="D36" s="16" t="s">
        <v>57</v>
      </c>
      <c r="E36" s="23" t="s">
        <v>58</v>
      </c>
      <c r="F36" s="158">
        <v>0.04</v>
      </c>
      <c r="G36" s="19"/>
      <c r="H36" s="19"/>
      <c r="I36" s="19"/>
      <c r="J36" s="19"/>
      <c r="K36" s="19"/>
      <c r="L36" s="19"/>
      <c r="M36" s="19"/>
      <c r="N36" s="19"/>
    </row>
    <row r="37" spans="2:14" x14ac:dyDescent="0.2">
      <c r="D37" s="16" t="s">
        <v>59</v>
      </c>
      <c r="E37" s="23" t="s">
        <v>60</v>
      </c>
      <c r="F37" s="206">
        <v>6</v>
      </c>
      <c r="G37" s="19"/>
      <c r="H37" s="19"/>
      <c r="I37" s="19"/>
      <c r="J37" s="19"/>
      <c r="K37" s="19"/>
      <c r="L37" s="19"/>
      <c r="M37" s="19"/>
      <c r="N37" s="19"/>
    </row>
    <row r="38" spans="2:14" x14ac:dyDescent="0.2">
      <c r="G38" s="19"/>
      <c r="H38" s="19"/>
      <c r="I38" s="19"/>
      <c r="J38" s="19"/>
      <c r="K38" s="19"/>
      <c r="L38" s="19"/>
      <c r="M38" s="19"/>
      <c r="N38" s="19"/>
    </row>
    <row r="39" spans="2:14" x14ac:dyDescent="0.2">
      <c r="C39" s="20" t="s">
        <v>61</v>
      </c>
      <c r="G39" s="19"/>
      <c r="H39" s="19"/>
      <c r="I39" s="19"/>
      <c r="J39" s="19"/>
      <c r="K39" s="19"/>
      <c r="L39" s="19"/>
      <c r="M39" s="19"/>
      <c r="N39" s="19"/>
    </row>
    <row r="40" spans="2:14" x14ac:dyDescent="0.2">
      <c r="C40" s="20"/>
      <c r="D40" t="s">
        <v>62</v>
      </c>
      <c r="E40" s="23" t="s">
        <v>63</v>
      </c>
      <c r="F40" s="158">
        <v>0.3</v>
      </c>
      <c r="G40" s="19"/>
      <c r="H40" s="19"/>
      <c r="I40" s="19"/>
      <c r="J40" s="19"/>
      <c r="K40" s="19"/>
      <c r="L40" s="19"/>
      <c r="M40" s="19"/>
      <c r="N40" s="19"/>
    </row>
    <row r="41" spans="2:14" x14ac:dyDescent="0.2">
      <c r="D41" t="s">
        <v>64</v>
      </c>
      <c r="E41" s="23" t="s">
        <v>63</v>
      </c>
      <c r="F41" s="158">
        <v>0.3</v>
      </c>
      <c r="G41" s="19"/>
      <c r="H41" s="19"/>
      <c r="I41" s="19"/>
      <c r="J41" s="19"/>
      <c r="K41" s="19"/>
      <c r="L41" s="19"/>
      <c r="M41" s="19"/>
      <c r="N41" s="19"/>
    </row>
    <row r="42" spans="2:14" x14ac:dyDescent="0.2">
      <c r="G42" s="19"/>
      <c r="H42" s="19"/>
      <c r="I42" s="19"/>
      <c r="J42" s="19"/>
      <c r="K42" s="19"/>
      <c r="L42" s="19"/>
      <c r="M42" s="19"/>
      <c r="N42" s="19"/>
    </row>
    <row r="43" spans="2:14" x14ac:dyDescent="0.2">
      <c r="C43" s="20" t="s">
        <v>65</v>
      </c>
    </row>
    <row r="44" spans="2:14" x14ac:dyDescent="0.2">
      <c r="D44" t="s">
        <v>66</v>
      </c>
      <c r="E44" s="23" t="s">
        <v>63</v>
      </c>
      <c r="F44" s="158">
        <v>0.1</v>
      </c>
    </row>
    <row r="46" spans="2:14" x14ac:dyDescent="0.2">
      <c r="B46" s="15" t="s">
        <v>67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9"/>
    </row>
    <row r="48" spans="2:14" x14ac:dyDescent="0.2">
      <c r="C48" s="20" t="s">
        <v>68</v>
      </c>
    </row>
    <row r="49" spans="2:12" x14ac:dyDescent="0.2">
      <c r="D49" t="s">
        <v>69</v>
      </c>
      <c r="E49" s="23" t="s">
        <v>70</v>
      </c>
      <c r="F49" s="21">
        <v>750</v>
      </c>
    </row>
    <row r="50" spans="2:12" x14ac:dyDescent="0.2">
      <c r="D50" t="s">
        <v>71</v>
      </c>
      <c r="E50" s="23" t="s">
        <v>70</v>
      </c>
      <c r="F50" s="21">
        <v>100</v>
      </c>
    </row>
    <row r="51" spans="2:12" x14ac:dyDescent="0.2">
      <c r="D51" t="s">
        <v>72</v>
      </c>
      <c r="E51" s="23" t="s">
        <v>70</v>
      </c>
      <c r="F51" s="21">
        <v>335</v>
      </c>
    </row>
    <row r="52" spans="2:12" x14ac:dyDescent="0.2">
      <c r="D52" t="s">
        <v>73</v>
      </c>
      <c r="E52" s="23" t="s">
        <v>70</v>
      </c>
      <c r="F52" s="21">
        <v>500</v>
      </c>
    </row>
    <row r="53" spans="2:12" x14ac:dyDescent="0.2">
      <c r="D53" s="42" t="s">
        <v>74</v>
      </c>
      <c r="E53" s="43" t="s">
        <v>70</v>
      </c>
      <c r="F53" s="143">
        <f>SUM(F49:F52)</f>
        <v>1685</v>
      </c>
    </row>
    <row r="55" spans="2:12" x14ac:dyDescent="0.2">
      <c r="B55" s="15" t="s">
        <v>75</v>
      </c>
      <c r="C55" s="1"/>
      <c r="D55" s="1"/>
      <c r="E55" s="1"/>
      <c r="F55" s="1"/>
      <c r="G55" s="1"/>
      <c r="H55" s="1"/>
      <c r="I55" s="1"/>
      <c r="J55" s="1"/>
      <c r="K55" s="1"/>
      <c r="L55" s="1"/>
    </row>
    <row r="57" spans="2:12" x14ac:dyDescent="0.2">
      <c r="C57" s="20" t="s">
        <v>76</v>
      </c>
    </row>
    <row r="58" spans="2:12" x14ac:dyDescent="0.2">
      <c r="D58" t="s">
        <v>77</v>
      </c>
      <c r="E58" s="23" t="s">
        <v>48</v>
      </c>
      <c r="F58" s="21">
        <v>4500</v>
      </c>
      <c r="H58" s="22"/>
    </row>
    <row r="59" spans="2:12" collapsed="1" x14ac:dyDescent="0.2">
      <c r="D59" t="s">
        <v>78</v>
      </c>
      <c r="E59" s="23" t="s">
        <v>46</v>
      </c>
      <c r="F59" s="22">
        <v>2025</v>
      </c>
    </row>
    <row r="60" spans="2:12" x14ac:dyDescent="0.2">
      <c r="D60" t="s">
        <v>79</v>
      </c>
      <c r="E60" s="23" t="s">
        <v>80</v>
      </c>
      <c r="F60" s="21">
        <v>3</v>
      </c>
    </row>
    <row r="61" spans="2:12" x14ac:dyDescent="0.2">
      <c r="D61" t="s">
        <v>81</v>
      </c>
      <c r="E61" s="23" t="s">
        <v>82</v>
      </c>
      <c r="F61" s="158">
        <v>0.08</v>
      </c>
    </row>
    <row r="62" spans="2:12" x14ac:dyDescent="0.2">
      <c r="D62" s="123"/>
    </row>
    <row r="63" spans="2:12" x14ac:dyDescent="0.2">
      <c r="D63" s="123"/>
    </row>
    <row r="64" spans="2:12" x14ac:dyDescent="0.2">
      <c r="D64" s="123"/>
    </row>
  </sheetData>
  <conditionalFormatting sqref="O13:O2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8936C-C7F0-444E-8321-02CAA5EA0997}">
  <dimension ref="A2:AT191"/>
  <sheetViews>
    <sheetView showGridLines="0" zoomScaleNormal="100" workbookViewId="0">
      <selection activeCell="J55" sqref="J55"/>
    </sheetView>
  </sheetViews>
  <sheetFormatPr baseColWidth="10" defaultColWidth="0" defaultRowHeight="15" outlineLevelRow="2" x14ac:dyDescent="0.2"/>
  <cols>
    <col min="1" max="2" width="2.5" customWidth="1"/>
    <col min="3" max="3" width="30.5" customWidth="1"/>
    <col min="4" max="4" width="9.1640625" customWidth="1"/>
    <col min="5" max="5" width="10.5" customWidth="1"/>
    <col min="6" max="6" width="11.1640625" customWidth="1"/>
    <col min="7" max="7" width="3" customWidth="1"/>
    <col min="8" max="8" width="12.5" customWidth="1"/>
    <col min="9" max="19" width="10.5" customWidth="1"/>
    <col min="20" max="20" width="8.6640625" customWidth="1"/>
    <col min="21" max="22" width="10.5" hidden="1" customWidth="1"/>
    <col min="23" max="23" width="8.6640625" customWidth="1"/>
    <col min="24" max="46" width="0" hidden="1" customWidth="1"/>
    <col min="47" max="16384" width="8.6640625" hidden="1"/>
  </cols>
  <sheetData>
    <row r="2" spans="1:22" ht="20" x14ac:dyDescent="0.25">
      <c r="B2" s="203" t="s">
        <v>0</v>
      </c>
    </row>
    <row r="3" spans="1:22" ht="16" x14ac:dyDescent="0.2">
      <c r="B3" s="197" t="s">
        <v>83</v>
      </c>
    </row>
    <row r="4" spans="1:22" ht="16" x14ac:dyDescent="0.2">
      <c r="B4" s="197"/>
    </row>
    <row r="5" spans="1:22" ht="15.75" customHeight="1" x14ac:dyDescent="0.2">
      <c r="B5" s="31" t="s">
        <v>84</v>
      </c>
      <c r="C5" s="31"/>
      <c r="D5" s="31"/>
      <c r="E5" s="32">
        <f>Inputs!$F$7</f>
        <v>45322</v>
      </c>
      <c r="F5" s="31"/>
      <c r="G5" s="32">
        <f>EOMONTH(E5,-1)</f>
        <v>45291</v>
      </c>
      <c r="H5" s="33">
        <f>EOMONTH(G5,12)</f>
        <v>45657</v>
      </c>
      <c r="I5" s="33">
        <f t="shared" ref="I5:N5" si="0">EOMONTH(H5,12)</f>
        <v>46022</v>
      </c>
      <c r="J5" s="33">
        <f t="shared" si="0"/>
        <v>46387</v>
      </c>
      <c r="K5" s="33">
        <f t="shared" si="0"/>
        <v>46752</v>
      </c>
      <c r="L5" s="33">
        <f t="shared" si="0"/>
        <v>47118</v>
      </c>
      <c r="M5" s="33">
        <f t="shared" si="0"/>
        <v>47483</v>
      </c>
      <c r="N5" s="33">
        <f t="shared" si="0"/>
        <v>47848</v>
      </c>
      <c r="O5" s="33">
        <f t="shared" ref="O5" si="1">EOMONTH(N5,12)</f>
        <v>48213</v>
      </c>
      <c r="P5" s="33">
        <f t="shared" ref="P5" si="2">EOMONTH(O5,12)</f>
        <v>48579</v>
      </c>
      <c r="Q5" s="33">
        <f t="shared" ref="Q5" si="3">EOMONTH(P5,12)</f>
        <v>48944</v>
      </c>
      <c r="R5" s="33">
        <f t="shared" ref="R5" si="4">EOMONTH(Q5,12)</f>
        <v>49309</v>
      </c>
      <c r="S5" s="33">
        <f t="shared" ref="S5" si="5">EOMONTH(R5,12)</f>
        <v>49674</v>
      </c>
      <c r="U5" s="33">
        <f>I5</f>
        <v>46022</v>
      </c>
      <c r="V5" s="33">
        <f>I5</f>
        <v>46022</v>
      </c>
    </row>
    <row r="6" spans="1:22" x14ac:dyDescent="0.2">
      <c r="B6" s="31" t="s">
        <v>85</v>
      </c>
      <c r="C6" s="31"/>
      <c r="D6" s="31"/>
      <c r="E6" s="31"/>
      <c r="F6" s="34">
        <f>SUM(G6:BJ6)</f>
        <v>138.00277777777779</v>
      </c>
      <c r="G6" s="35"/>
      <c r="H6" s="56">
        <f>YEARFRAC(H5,G5)</f>
        <v>1</v>
      </c>
      <c r="I6" s="56">
        <f t="shared" ref="I6:M6" si="6">YEARFRAC(I5,H5)</f>
        <v>1</v>
      </c>
      <c r="J6" s="56">
        <f t="shared" si="6"/>
        <v>1</v>
      </c>
      <c r="K6" s="56">
        <f t="shared" si="6"/>
        <v>1</v>
      </c>
      <c r="L6" s="56">
        <f t="shared" si="6"/>
        <v>1</v>
      </c>
      <c r="M6" s="56">
        <f t="shared" si="6"/>
        <v>1</v>
      </c>
      <c r="N6" s="56">
        <f>YEARFRAC(N5,M5)</f>
        <v>1</v>
      </c>
      <c r="O6" s="56">
        <f t="shared" ref="O6:Q6" si="7">YEARFRAC(O5,N5)</f>
        <v>1</v>
      </c>
      <c r="P6" s="56">
        <f t="shared" si="7"/>
        <v>1</v>
      </c>
      <c r="Q6" s="56">
        <f t="shared" si="7"/>
        <v>1</v>
      </c>
      <c r="R6" s="56">
        <f t="shared" ref="R6" si="8">YEARFRAC(R5,Q5)</f>
        <v>1</v>
      </c>
      <c r="S6" s="56">
        <f t="shared" ref="S6" si="9">YEARFRAC(S5,R5)</f>
        <v>1</v>
      </c>
      <c r="U6" s="56">
        <f>YEARFRAC(U5,T5)</f>
        <v>126.00277777777778</v>
      </c>
      <c r="V6" s="56">
        <f t="shared" ref="V6" si="10">YEARFRAC(V5,U5)</f>
        <v>0</v>
      </c>
    </row>
    <row r="7" spans="1:22" x14ac:dyDescent="0.2">
      <c r="B7" s="31" t="s">
        <v>86</v>
      </c>
      <c r="C7" s="31"/>
      <c r="D7" s="31"/>
      <c r="E7" s="31"/>
      <c r="F7" s="34"/>
      <c r="G7" s="35"/>
      <c r="H7" s="153">
        <f>YEAR(H5)</f>
        <v>2024</v>
      </c>
      <c r="I7" s="153">
        <f t="shared" ref="I7:N7" si="11">YEAR(I5)</f>
        <v>2025</v>
      </c>
      <c r="J7" s="153">
        <f t="shared" si="11"/>
        <v>2026</v>
      </c>
      <c r="K7" s="153">
        <f t="shared" si="11"/>
        <v>2027</v>
      </c>
      <c r="L7" s="153">
        <f t="shared" si="11"/>
        <v>2028</v>
      </c>
      <c r="M7" s="153">
        <f t="shared" si="11"/>
        <v>2029</v>
      </c>
      <c r="N7" s="153">
        <f t="shared" si="11"/>
        <v>2030</v>
      </c>
      <c r="O7" s="153">
        <f t="shared" ref="O7:Q7" si="12">YEAR(O5)</f>
        <v>2031</v>
      </c>
      <c r="P7" s="153">
        <f t="shared" si="12"/>
        <v>2032</v>
      </c>
      <c r="Q7" s="153">
        <f t="shared" si="12"/>
        <v>2033</v>
      </c>
      <c r="R7" s="153">
        <f t="shared" ref="R7:S7" si="13">YEAR(R5)</f>
        <v>2034</v>
      </c>
      <c r="S7" s="153">
        <f t="shared" si="13"/>
        <v>2035</v>
      </c>
      <c r="U7" s="153">
        <f>YEAR(U5)</f>
        <v>2025</v>
      </c>
      <c r="V7" s="153">
        <f t="shared" ref="V7" si="14">YEAR(V5)</f>
        <v>2025</v>
      </c>
    </row>
    <row r="9" spans="1:22" x14ac:dyDescent="0.2">
      <c r="A9" s="15" t="s">
        <v>87</v>
      </c>
      <c r="B9" s="15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U9" s="36"/>
      <c r="V9" s="36"/>
    </row>
    <row r="11" spans="1:22" x14ac:dyDescent="0.2">
      <c r="B11" s="20" t="s">
        <v>88</v>
      </c>
    </row>
    <row r="12" spans="1:22" x14ac:dyDescent="0.2">
      <c r="C12" t="s">
        <v>89</v>
      </c>
      <c r="D12" s="23" t="s">
        <v>35</v>
      </c>
      <c r="F12" s="107">
        <f>SUM(H12:S12)</f>
        <v>30950</v>
      </c>
      <c r="H12" s="99">
        <f>IFERROR(INDEX(Inputs!#REF!,MATCH('Consolidated Forecast (A)'!H$7,Inputs!$F$25:$N$25,0)),0)</f>
        <v>0</v>
      </c>
      <c r="I12" s="28">
        <f t="shared" ref="I12:Q12" si="15">I38</f>
        <v>0</v>
      </c>
      <c r="J12" s="28">
        <f t="shared" si="15"/>
        <v>0</v>
      </c>
      <c r="K12" s="28">
        <f t="shared" si="15"/>
        <v>30</v>
      </c>
      <c r="L12" s="28">
        <f t="shared" si="15"/>
        <v>350</v>
      </c>
      <c r="M12" s="28">
        <f t="shared" si="15"/>
        <v>1150</v>
      </c>
      <c r="N12" s="28">
        <f t="shared" si="15"/>
        <v>1650</v>
      </c>
      <c r="O12" s="28">
        <f t="shared" si="15"/>
        <v>2720</v>
      </c>
      <c r="P12" s="28">
        <f t="shared" si="15"/>
        <v>4550</v>
      </c>
      <c r="Q12" s="28">
        <f t="shared" si="15"/>
        <v>5000</v>
      </c>
      <c r="R12" s="28">
        <f t="shared" ref="R12:S12" si="16">R38</f>
        <v>7000</v>
      </c>
      <c r="S12" s="28">
        <f t="shared" si="16"/>
        <v>8500</v>
      </c>
      <c r="U12" s="28"/>
      <c r="V12" s="28"/>
    </row>
    <row r="13" spans="1:22" x14ac:dyDescent="0.2">
      <c r="C13" t="s">
        <v>52</v>
      </c>
      <c r="D13" s="23" t="s">
        <v>35</v>
      </c>
      <c r="F13" s="27"/>
      <c r="H13" s="99">
        <f>IFERROR(INDEX(Inputs!#REF!,MATCH('Consolidated Forecast (A)'!H$7,Inputs!$F$25:$N$25,0)),0)</f>
        <v>0</v>
      </c>
      <c r="I13" s="28">
        <f t="shared" ref="I13:Q13" si="17">I39</f>
        <v>0</v>
      </c>
      <c r="J13" s="28">
        <f t="shared" si="17"/>
        <v>0</v>
      </c>
      <c r="K13" s="28">
        <f t="shared" si="17"/>
        <v>30</v>
      </c>
      <c r="L13" s="28">
        <f t="shared" si="17"/>
        <v>380</v>
      </c>
      <c r="M13" s="28">
        <f t="shared" si="17"/>
        <v>1530</v>
      </c>
      <c r="N13" s="28">
        <f t="shared" si="17"/>
        <v>3180</v>
      </c>
      <c r="O13" s="28">
        <f t="shared" si="17"/>
        <v>5900</v>
      </c>
      <c r="P13" s="28">
        <f t="shared" si="17"/>
        <v>10450</v>
      </c>
      <c r="Q13" s="28">
        <f t="shared" si="17"/>
        <v>15450</v>
      </c>
      <c r="R13" s="28">
        <f t="shared" ref="R13:S13" si="18">R39</f>
        <v>22450</v>
      </c>
      <c r="S13" s="28">
        <f t="shared" si="18"/>
        <v>30950</v>
      </c>
      <c r="U13" s="28"/>
      <c r="V13" s="28"/>
    </row>
    <row r="14" spans="1:22" x14ac:dyDescent="0.2">
      <c r="F14" s="27"/>
    </row>
    <row r="15" spans="1:22" x14ac:dyDescent="0.2">
      <c r="B15" s="20" t="s">
        <v>90</v>
      </c>
      <c r="F15" s="27"/>
    </row>
    <row r="16" spans="1:22" x14ac:dyDescent="0.2">
      <c r="C16" s="169" t="s">
        <v>91</v>
      </c>
      <c r="D16" s="150" t="s">
        <v>92</v>
      </c>
      <c r="E16" s="20"/>
      <c r="F16" s="170">
        <f>SUM(H16:S16)</f>
        <v>10077320</v>
      </c>
      <c r="G16" s="20"/>
      <c r="H16" s="171">
        <f>H46</f>
        <v>0</v>
      </c>
      <c r="I16" s="171">
        <f t="shared" ref="I16:L16" si="19">I46</f>
        <v>0</v>
      </c>
      <c r="J16" s="171">
        <f t="shared" si="19"/>
        <v>0</v>
      </c>
      <c r="K16" s="171">
        <f t="shared" si="19"/>
        <v>13380</v>
      </c>
      <c r="L16" s="171">
        <f t="shared" si="19"/>
        <v>142280</v>
      </c>
      <c r="M16" s="171">
        <f t="shared" ref="M16:Q16" si="20">M46</f>
        <v>469180</v>
      </c>
      <c r="N16" s="171">
        <f t="shared" si="20"/>
        <v>613080</v>
      </c>
      <c r="O16" s="171">
        <f t="shared" si="20"/>
        <v>1014600</v>
      </c>
      <c r="P16" s="171">
        <f t="shared" si="20"/>
        <v>1609700</v>
      </c>
      <c r="Q16" s="171">
        <f t="shared" si="20"/>
        <v>1792700</v>
      </c>
      <c r="R16" s="171">
        <f t="shared" ref="R16:S16" si="21">R46</f>
        <v>2094700</v>
      </c>
      <c r="S16" s="171">
        <f t="shared" si="21"/>
        <v>2327700</v>
      </c>
      <c r="U16" s="171"/>
      <c r="V16" s="171"/>
    </row>
    <row r="17" spans="3:22" x14ac:dyDescent="0.2">
      <c r="C17" s="137" t="s">
        <v>93</v>
      </c>
      <c r="D17" s="23" t="s">
        <v>92</v>
      </c>
      <c r="E17" s="123"/>
      <c r="F17" s="107">
        <f>SUM(H17:S17)</f>
        <v>-1982759.8736610711</v>
      </c>
      <c r="H17" s="28">
        <f>-H55</f>
        <v>-4320.9146500000006</v>
      </c>
      <c r="I17" s="28">
        <f t="shared" ref="I17:Q17" si="22">-I55</f>
        <v>-8192.9836499999983</v>
      </c>
      <c r="J17" s="28">
        <f t="shared" si="22"/>
        <v>-15293.785714285714</v>
      </c>
      <c r="K17" s="28">
        <f t="shared" si="22"/>
        <v>-22572.078262848776</v>
      </c>
      <c r="L17" s="28">
        <f t="shared" si="22"/>
        <v>-29380.111383936637</v>
      </c>
      <c r="M17" s="28">
        <f t="shared" si="22"/>
        <v>-81799.999999999985</v>
      </c>
      <c r="N17" s="28">
        <f t="shared" si="22"/>
        <v>-111599.99999999997</v>
      </c>
      <c r="O17" s="28">
        <f t="shared" si="22"/>
        <v>-186599.99999999997</v>
      </c>
      <c r="P17" s="28">
        <f t="shared" si="22"/>
        <v>-283399.99999999994</v>
      </c>
      <c r="Q17" s="28">
        <f t="shared" si="22"/>
        <v>-357399.99999999994</v>
      </c>
      <c r="R17" s="28">
        <f t="shared" ref="R17:S17" si="23">-R55</f>
        <v>-417799.99999999988</v>
      </c>
      <c r="S17" s="28">
        <f t="shared" si="23"/>
        <v>-464399.99999999988</v>
      </c>
      <c r="U17" s="28"/>
      <c r="V17" s="28"/>
    </row>
    <row r="18" spans="3:22" x14ac:dyDescent="0.2">
      <c r="C18" s="165" t="s">
        <v>94</v>
      </c>
      <c r="D18" s="166" t="s">
        <v>92</v>
      </c>
      <c r="E18" s="151"/>
      <c r="F18" s="167">
        <f>SUM(H18:S18)</f>
        <v>8094560.1263389289</v>
      </c>
      <c r="G18" s="151"/>
      <c r="H18" s="168">
        <f t="shared" ref="H18:Q18" si="24">SUM(H16:H17)</f>
        <v>-4320.9146500000006</v>
      </c>
      <c r="I18" s="168">
        <f t="shared" si="24"/>
        <v>-8192.9836499999983</v>
      </c>
      <c r="J18" s="168">
        <f t="shared" si="24"/>
        <v>-15293.785714285714</v>
      </c>
      <c r="K18" s="168">
        <f t="shared" si="24"/>
        <v>-9192.0782628487759</v>
      </c>
      <c r="L18" s="168">
        <f t="shared" si="24"/>
        <v>112899.88861606337</v>
      </c>
      <c r="M18" s="168">
        <f t="shared" si="24"/>
        <v>387380</v>
      </c>
      <c r="N18" s="168">
        <f t="shared" si="24"/>
        <v>501480</v>
      </c>
      <c r="O18" s="168">
        <f t="shared" si="24"/>
        <v>828000</v>
      </c>
      <c r="P18" s="168">
        <f t="shared" si="24"/>
        <v>1326300</v>
      </c>
      <c r="Q18" s="168">
        <f t="shared" si="24"/>
        <v>1435300</v>
      </c>
      <c r="R18" s="168">
        <f t="shared" ref="R18" si="25">SUM(R16:R17)</f>
        <v>1676900</v>
      </c>
      <c r="S18" s="168">
        <f t="shared" ref="S18" si="26">SUM(S16:S17)</f>
        <v>1863300</v>
      </c>
      <c r="U18" s="171"/>
      <c r="V18" s="171"/>
    </row>
    <row r="19" spans="3:22" x14ac:dyDescent="0.2">
      <c r="C19" s="173" t="s">
        <v>95</v>
      </c>
      <c r="D19" s="23"/>
      <c r="E19" s="24"/>
      <c r="F19" s="107"/>
      <c r="G19" s="24"/>
      <c r="H19" s="174">
        <f>MAX(IFERROR(H18/H$16,0),0)</f>
        <v>0</v>
      </c>
      <c r="I19" s="174">
        <f t="shared" ref="I19:L19" si="27">MAX(IFERROR(I18/I$16,0),0)</f>
        <v>0</v>
      </c>
      <c r="J19" s="174">
        <f t="shared" si="27"/>
        <v>0</v>
      </c>
      <c r="K19" s="174">
        <f t="shared" si="27"/>
        <v>0</v>
      </c>
      <c r="L19" s="174">
        <f t="shared" si="27"/>
        <v>0.79350498043339446</v>
      </c>
      <c r="M19" s="174">
        <f t="shared" ref="M19:Q19" si="28">MAX(IFERROR(M18/M$16,0),0)</f>
        <v>0.82565326740270262</v>
      </c>
      <c r="N19" s="174">
        <f t="shared" si="28"/>
        <v>0.817968291250734</v>
      </c>
      <c r="O19" s="174">
        <f t="shared" si="28"/>
        <v>0.81608515671200477</v>
      </c>
      <c r="P19" s="174">
        <f t="shared" si="28"/>
        <v>0.82394234950611911</v>
      </c>
      <c r="Q19" s="174">
        <f t="shared" si="28"/>
        <v>0.80063591231103926</v>
      </c>
      <c r="R19" s="174">
        <f t="shared" ref="R19:S19" si="29">MAX(IFERROR(R18/R$16,0),0)</f>
        <v>0.80054423067742397</v>
      </c>
      <c r="S19" s="174">
        <f t="shared" si="29"/>
        <v>0.80048975383425702</v>
      </c>
      <c r="U19" s="174"/>
      <c r="V19" s="174"/>
    </row>
    <row r="20" spans="3:22" x14ac:dyDescent="0.2">
      <c r="C20" s="137" t="s">
        <v>96</v>
      </c>
      <c r="D20" s="23" t="s">
        <v>92</v>
      </c>
      <c r="F20" s="107">
        <f>SUM(H20:S20)</f>
        <v>-83939.772615949507</v>
      </c>
      <c r="H20" s="28">
        <f t="shared" ref="H20:L20" si="30">-H61</f>
        <v>-10301.760959999998</v>
      </c>
      <c r="I20" s="28">
        <f t="shared" si="30"/>
        <v>-6626.7778899999994</v>
      </c>
      <c r="J20" s="28">
        <f t="shared" si="30"/>
        <v>-3721.9999999999995</v>
      </c>
      <c r="K20" s="28">
        <f t="shared" si="30"/>
        <v>-3994.7020913119072</v>
      </c>
      <c r="L20" s="28">
        <f t="shared" si="30"/>
        <v>-5184.9520698473425</v>
      </c>
      <c r="M20" s="28">
        <f t="shared" ref="M20:Q20" si="31">-M61</f>
        <v>-5703.4472768320775</v>
      </c>
      <c r="N20" s="28">
        <f t="shared" si="31"/>
        <v>-6273.792004515286</v>
      </c>
      <c r="O20" s="28">
        <f t="shared" si="31"/>
        <v>-6901.1712049668149</v>
      </c>
      <c r="P20" s="28">
        <f t="shared" si="31"/>
        <v>-7591.2883254634971</v>
      </c>
      <c r="Q20" s="28">
        <f t="shared" si="31"/>
        <v>-8350.4171580098482</v>
      </c>
      <c r="R20" s="28">
        <f t="shared" ref="R20:S20" si="32">-R61</f>
        <v>-9185.4588738108341</v>
      </c>
      <c r="S20" s="28">
        <f t="shared" si="32"/>
        <v>-10104.004761191918</v>
      </c>
      <c r="U20" s="28"/>
      <c r="V20" s="28"/>
    </row>
    <row r="21" spans="3:22" x14ac:dyDescent="0.2">
      <c r="C21" s="165" t="s">
        <v>97</v>
      </c>
      <c r="D21" s="166"/>
      <c r="E21" s="151"/>
      <c r="F21" s="167">
        <f>SUM(H21:S21)</f>
        <v>8010620.3537229784</v>
      </c>
      <c r="G21" s="151"/>
      <c r="H21" s="168">
        <f>SUM(H20,H18)</f>
        <v>-14622.675609999998</v>
      </c>
      <c r="I21" s="168">
        <f t="shared" ref="I21:L21" si="33">SUM(I20,I18)</f>
        <v>-14819.761539999998</v>
      </c>
      <c r="J21" s="168">
        <f t="shared" si="33"/>
        <v>-19015.785714285714</v>
      </c>
      <c r="K21" s="168">
        <f t="shared" si="33"/>
        <v>-13186.780354160683</v>
      </c>
      <c r="L21" s="168">
        <f t="shared" si="33"/>
        <v>107714.93654621602</v>
      </c>
      <c r="M21" s="168">
        <f t="shared" ref="M21:Q21" si="34">SUM(M20,M18)</f>
        <v>381676.55272316793</v>
      </c>
      <c r="N21" s="168">
        <f t="shared" si="34"/>
        <v>495206.2079954847</v>
      </c>
      <c r="O21" s="168">
        <f t="shared" si="34"/>
        <v>821098.82879503316</v>
      </c>
      <c r="P21" s="168">
        <f t="shared" si="34"/>
        <v>1318708.7116745366</v>
      </c>
      <c r="Q21" s="168">
        <f t="shared" si="34"/>
        <v>1426949.58284199</v>
      </c>
      <c r="R21" s="168">
        <f t="shared" ref="R21:S21" si="35">SUM(R20,R18)</f>
        <v>1667714.5411261891</v>
      </c>
      <c r="S21" s="168">
        <f t="shared" si="35"/>
        <v>1853195.995238808</v>
      </c>
      <c r="U21" s="171"/>
      <c r="V21" s="171"/>
    </row>
    <row r="22" spans="3:22" x14ac:dyDescent="0.2">
      <c r="C22" s="139" t="s">
        <v>98</v>
      </c>
      <c r="D22" s="23"/>
      <c r="F22" s="107"/>
      <c r="H22" s="174">
        <f>MAX(IFERROR(H21/H$16,0),0)</f>
        <v>0</v>
      </c>
      <c r="I22" s="174">
        <f t="shared" ref="I22:L22" si="36">MAX(IFERROR(I21/I$16,0),0)</f>
        <v>0</v>
      </c>
      <c r="J22" s="174">
        <f t="shared" si="36"/>
        <v>0</v>
      </c>
      <c r="K22" s="174">
        <f t="shared" si="36"/>
        <v>0</v>
      </c>
      <c r="L22" s="174">
        <f t="shared" si="36"/>
        <v>0.75706309070998046</v>
      </c>
      <c r="M22" s="174">
        <f t="shared" ref="M22:Q22" si="37">MAX(IFERROR(M21/M$16,0),0)</f>
        <v>0.8134970645022549</v>
      </c>
      <c r="N22" s="174">
        <f t="shared" si="37"/>
        <v>0.80773505577654581</v>
      </c>
      <c r="O22" s="174">
        <f t="shared" si="37"/>
        <v>0.80928329272130217</v>
      </c>
      <c r="P22" s="174">
        <f t="shared" si="37"/>
        <v>0.81922638483850196</v>
      </c>
      <c r="Q22" s="174">
        <f t="shared" si="37"/>
        <v>0.79597790084341502</v>
      </c>
      <c r="R22" s="174">
        <f t="shared" ref="R22:S22" si="38">MAX(IFERROR(R21/R$16,0),0)</f>
        <v>0.79615913549729744</v>
      </c>
      <c r="S22" s="174">
        <f t="shared" si="38"/>
        <v>0.79614898622623531</v>
      </c>
      <c r="U22" s="174"/>
      <c r="V22" s="174"/>
    </row>
    <row r="23" spans="3:22" x14ac:dyDescent="0.2">
      <c r="C23" s="137" t="s">
        <v>99</v>
      </c>
      <c r="D23" s="23" t="s">
        <v>92</v>
      </c>
      <c r="F23" s="107">
        <f>SUM(H23:S23)</f>
        <v>-5183.1486333333341</v>
      </c>
      <c r="H23" s="28">
        <f>-H150</f>
        <v>-55.860300000000009</v>
      </c>
      <c r="I23" s="28">
        <f>-I150</f>
        <v>-424.95500000000004</v>
      </c>
      <c r="J23" s="28">
        <f>-J150</f>
        <v>-4702.3333333333339</v>
      </c>
      <c r="K23" s="28">
        <f>-K150</f>
        <v>0</v>
      </c>
      <c r="L23" s="28">
        <f>-L150</f>
        <v>0</v>
      </c>
      <c r="M23" s="28">
        <f>-M151</f>
        <v>0</v>
      </c>
      <c r="N23" s="28">
        <f>-N151</f>
        <v>0</v>
      </c>
      <c r="O23" s="28">
        <f>-O151</f>
        <v>0</v>
      </c>
      <c r="P23" s="28">
        <f>-P151</f>
        <v>0</v>
      </c>
      <c r="Q23" s="28">
        <f>-Q151</f>
        <v>0</v>
      </c>
      <c r="R23" s="28">
        <f t="shared" ref="R23:S23" si="39">-R151</f>
        <v>0</v>
      </c>
      <c r="S23" s="28">
        <f t="shared" si="39"/>
        <v>0</v>
      </c>
      <c r="U23" s="28"/>
      <c r="V23" s="28"/>
    </row>
    <row r="24" spans="3:22" ht="16" thickBot="1" x14ac:dyDescent="0.25">
      <c r="C24" s="142" t="s">
        <v>100</v>
      </c>
      <c r="D24" s="130"/>
      <c r="E24" s="129"/>
      <c r="F24" s="131">
        <f>SUM(H24:S24)</f>
        <v>8005437.2050896455</v>
      </c>
      <c r="G24" s="129"/>
      <c r="H24" s="177">
        <f t="shared" ref="H24:S24" si="40">H21+SUM(H23:H23)</f>
        <v>-14678.535909999999</v>
      </c>
      <c r="I24" s="177">
        <f t="shared" si="40"/>
        <v>-15244.716539999998</v>
      </c>
      <c r="J24" s="177">
        <f t="shared" si="40"/>
        <v>-23718.119047619046</v>
      </c>
      <c r="K24" s="177">
        <f t="shared" si="40"/>
        <v>-13186.780354160683</v>
      </c>
      <c r="L24" s="177">
        <f t="shared" si="40"/>
        <v>107714.93654621602</v>
      </c>
      <c r="M24" s="177">
        <f t="shared" si="40"/>
        <v>381676.55272316793</v>
      </c>
      <c r="N24" s="177">
        <f t="shared" si="40"/>
        <v>495206.2079954847</v>
      </c>
      <c r="O24" s="177">
        <f t="shared" si="40"/>
        <v>821098.82879503316</v>
      </c>
      <c r="P24" s="177">
        <f t="shared" si="40"/>
        <v>1318708.7116745366</v>
      </c>
      <c r="Q24" s="177">
        <f t="shared" si="40"/>
        <v>1426949.58284199</v>
      </c>
      <c r="R24" s="177">
        <f t="shared" si="40"/>
        <v>1667714.5411261891</v>
      </c>
      <c r="S24" s="177">
        <f t="shared" si="40"/>
        <v>1853195.995238808</v>
      </c>
      <c r="U24" s="171"/>
      <c r="V24" s="171"/>
    </row>
    <row r="25" spans="3:22" x14ac:dyDescent="0.2">
      <c r="C25" s="139" t="s">
        <v>101</v>
      </c>
      <c r="D25" s="150"/>
      <c r="E25" s="20"/>
      <c r="F25" s="170"/>
      <c r="G25" s="20"/>
      <c r="H25" s="174">
        <f t="shared" ref="H25:Q25" si="41">MAX(IFERROR(H24/H$16,0),0)</f>
        <v>0</v>
      </c>
      <c r="I25" s="174">
        <f t="shared" si="41"/>
        <v>0</v>
      </c>
      <c r="J25" s="174">
        <f t="shared" si="41"/>
        <v>0</v>
      </c>
      <c r="K25" s="174">
        <f t="shared" si="41"/>
        <v>0</v>
      </c>
      <c r="L25" s="174">
        <f t="shared" si="41"/>
        <v>0.75706309070998046</v>
      </c>
      <c r="M25" s="174">
        <f t="shared" si="41"/>
        <v>0.8134970645022549</v>
      </c>
      <c r="N25" s="174">
        <f t="shared" si="41"/>
        <v>0.80773505577654581</v>
      </c>
      <c r="O25" s="174">
        <f t="shared" si="41"/>
        <v>0.80928329272130217</v>
      </c>
      <c r="P25" s="174">
        <f t="shared" si="41"/>
        <v>0.81922638483850196</v>
      </c>
      <c r="Q25" s="174">
        <f t="shared" si="41"/>
        <v>0.79597790084341502</v>
      </c>
      <c r="R25" s="174">
        <f t="shared" ref="R25:S25" si="42">MAX(IFERROR(R24/R$16,0),0)</f>
        <v>0.79615913549729744</v>
      </c>
      <c r="S25" s="174">
        <f t="shared" si="42"/>
        <v>0.79614898622623531</v>
      </c>
      <c r="U25" s="174"/>
      <c r="V25" s="174"/>
    </row>
    <row r="26" spans="3:22" x14ac:dyDescent="0.2">
      <c r="C26" s="137" t="s">
        <v>102</v>
      </c>
      <c r="D26" s="23" t="s">
        <v>92</v>
      </c>
      <c r="F26" s="107">
        <f>SUM(H26:S26)</f>
        <v>-575.96112040000014</v>
      </c>
      <c r="H26" s="28">
        <f t="shared" ref="H26:S26" si="43">H81</f>
        <v>0</v>
      </c>
      <c r="I26" s="28">
        <f t="shared" si="43"/>
        <v>-212.35</v>
      </c>
      <c r="J26" s="28">
        <f t="shared" si="43"/>
        <v>-213.88889040000004</v>
      </c>
      <c r="K26" s="28">
        <f t="shared" si="43"/>
        <v>-120.55555920000006</v>
      </c>
      <c r="L26" s="28">
        <f t="shared" si="43"/>
        <v>-29.166670800000063</v>
      </c>
      <c r="M26" s="28">
        <f t="shared" si="43"/>
        <v>0</v>
      </c>
      <c r="N26" s="28">
        <f t="shared" si="43"/>
        <v>0</v>
      </c>
      <c r="O26" s="28">
        <f t="shared" si="43"/>
        <v>0</v>
      </c>
      <c r="P26" s="28">
        <f t="shared" si="43"/>
        <v>0</v>
      </c>
      <c r="Q26" s="28">
        <f t="shared" si="43"/>
        <v>0</v>
      </c>
      <c r="R26" s="28">
        <f t="shared" si="43"/>
        <v>0</v>
      </c>
      <c r="S26" s="28">
        <f t="shared" si="43"/>
        <v>0</v>
      </c>
      <c r="U26" s="28"/>
      <c r="V26" s="28"/>
    </row>
    <row r="27" spans="3:22" x14ac:dyDescent="0.2">
      <c r="C27" s="137" t="s">
        <v>103</v>
      </c>
      <c r="D27" s="23" t="s">
        <v>92</v>
      </c>
      <c r="F27" s="107">
        <f>SUM(H27:S27)</f>
        <v>0</v>
      </c>
      <c r="H27" s="28">
        <f>H82</f>
        <v>0</v>
      </c>
      <c r="I27" s="28">
        <f t="shared" ref="I27:S27" si="44">I82</f>
        <v>3750</v>
      </c>
      <c r="J27" s="28">
        <f t="shared" si="44"/>
        <v>-1500</v>
      </c>
      <c r="K27" s="28">
        <f t="shared" si="44"/>
        <v>-1500</v>
      </c>
      <c r="L27" s="28">
        <f t="shared" si="44"/>
        <v>-750</v>
      </c>
      <c r="M27" s="28">
        <f t="shared" si="44"/>
        <v>0</v>
      </c>
      <c r="N27" s="28">
        <f t="shared" si="44"/>
        <v>0</v>
      </c>
      <c r="O27" s="28">
        <f t="shared" si="44"/>
        <v>0</v>
      </c>
      <c r="P27" s="28">
        <f t="shared" si="44"/>
        <v>0</v>
      </c>
      <c r="Q27" s="28">
        <f t="shared" si="44"/>
        <v>0</v>
      </c>
      <c r="R27" s="28">
        <f t="shared" si="44"/>
        <v>0</v>
      </c>
      <c r="S27" s="28">
        <f t="shared" si="44"/>
        <v>0</v>
      </c>
      <c r="U27" s="28"/>
      <c r="V27" s="28"/>
    </row>
    <row r="28" spans="3:22" x14ac:dyDescent="0.2">
      <c r="C28" s="137" t="s">
        <v>104</v>
      </c>
      <c r="D28" s="23" t="s">
        <v>92</v>
      </c>
      <c r="F28" s="107">
        <f t="shared" ref="F28:F29" si="45">SUM(H28:S28)</f>
        <v>876.33735999999999</v>
      </c>
      <c r="H28" s="28">
        <f t="shared" ref="H28:S28" si="46">H83</f>
        <v>635.47402999999997</v>
      </c>
      <c r="I28" s="28">
        <f t="shared" si="46"/>
        <v>240.86333000000002</v>
      </c>
      <c r="J28" s="28">
        <f t="shared" si="46"/>
        <v>0</v>
      </c>
      <c r="K28" s="28">
        <f t="shared" si="46"/>
        <v>0</v>
      </c>
      <c r="L28" s="28">
        <f t="shared" si="46"/>
        <v>0</v>
      </c>
      <c r="M28" s="28">
        <f t="shared" si="46"/>
        <v>0</v>
      </c>
      <c r="N28" s="28">
        <f t="shared" si="46"/>
        <v>0</v>
      </c>
      <c r="O28" s="28">
        <f t="shared" si="46"/>
        <v>0</v>
      </c>
      <c r="P28" s="28">
        <f t="shared" si="46"/>
        <v>0</v>
      </c>
      <c r="Q28" s="28">
        <f t="shared" si="46"/>
        <v>0</v>
      </c>
      <c r="R28" s="28">
        <f t="shared" si="46"/>
        <v>0</v>
      </c>
      <c r="S28" s="28">
        <f t="shared" si="46"/>
        <v>0</v>
      </c>
      <c r="U28" s="28"/>
      <c r="V28" s="28"/>
    </row>
    <row r="29" spans="3:22" x14ac:dyDescent="0.2">
      <c r="C29" s="137" t="s">
        <v>105</v>
      </c>
      <c r="D29" s="23" t="s">
        <v>92</v>
      </c>
      <c r="F29" s="107">
        <f t="shared" si="45"/>
        <v>-7225.0317300000006</v>
      </c>
      <c r="H29" s="28">
        <f t="shared" ref="H29:S29" si="47">H84</f>
        <v>-1706.8240499999997</v>
      </c>
      <c r="I29" s="28">
        <f t="shared" si="47"/>
        <v>-5518.2076800000004</v>
      </c>
      <c r="J29" s="28">
        <f t="shared" si="47"/>
        <v>0</v>
      </c>
      <c r="K29" s="28">
        <f t="shared" si="47"/>
        <v>0</v>
      </c>
      <c r="L29" s="28">
        <f t="shared" si="47"/>
        <v>0</v>
      </c>
      <c r="M29" s="28">
        <f t="shared" si="47"/>
        <v>0</v>
      </c>
      <c r="N29" s="28">
        <f t="shared" si="47"/>
        <v>0</v>
      </c>
      <c r="O29" s="28">
        <f t="shared" si="47"/>
        <v>0</v>
      </c>
      <c r="P29" s="28">
        <f t="shared" si="47"/>
        <v>0</v>
      </c>
      <c r="Q29" s="28">
        <f t="shared" si="47"/>
        <v>0</v>
      </c>
      <c r="R29" s="28">
        <f t="shared" si="47"/>
        <v>0</v>
      </c>
      <c r="S29" s="28">
        <f t="shared" si="47"/>
        <v>0</v>
      </c>
      <c r="U29" s="28"/>
      <c r="V29" s="28"/>
    </row>
    <row r="30" spans="3:22" x14ac:dyDescent="0.2">
      <c r="C30" s="165" t="s">
        <v>106</v>
      </c>
      <c r="D30" s="166" t="s">
        <v>92</v>
      </c>
      <c r="E30" s="151"/>
      <c r="F30" s="167">
        <f>SUM(H30:S30)</f>
        <v>7998512.5495992452</v>
      </c>
      <c r="G30" s="151"/>
      <c r="H30" s="168">
        <f t="shared" ref="H30:S30" si="48">SUM(H26:H29,H24)</f>
        <v>-15749.885929999999</v>
      </c>
      <c r="I30" s="168">
        <f t="shared" si="48"/>
        <v>-16984.410889999999</v>
      </c>
      <c r="J30" s="168">
        <f t="shared" si="48"/>
        <v>-25432.007938019047</v>
      </c>
      <c r="K30" s="168">
        <f t="shared" si="48"/>
        <v>-14807.335913360683</v>
      </c>
      <c r="L30" s="168">
        <f t="shared" si="48"/>
        <v>106935.76987541602</v>
      </c>
      <c r="M30" s="168">
        <f t="shared" si="48"/>
        <v>381676.55272316793</v>
      </c>
      <c r="N30" s="168">
        <f t="shared" si="48"/>
        <v>495206.2079954847</v>
      </c>
      <c r="O30" s="168">
        <f t="shared" si="48"/>
        <v>821098.82879503316</v>
      </c>
      <c r="P30" s="168">
        <f t="shared" si="48"/>
        <v>1318708.7116745366</v>
      </c>
      <c r="Q30" s="168">
        <f t="shared" si="48"/>
        <v>1426949.58284199</v>
      </c>
      <c r="R30" s="168">
        <f t="shared" si="48"/>
        <v>1667714.5411261891</v>
      </c>
      <c r="S30" s="168">
        <f t="shared" si="48"/>
        <v>1853195.995238808</v>
      </c>
      <c r="U30" s="171"/>
      <c r="V30" s="171"/>
    </row>
    <row r="31" spans="3:22" x14ac:dyDescent="0.2">
      <c r="C31" s="137" t="s">
        <v>107</v>
      </c>
      <c r="D31" s="23" t="s">
        <v>92</v>
      </c>
      <c r="F31" s="107">
        <f t="shared" ref="F31" si="49">SUM(H31:S31)</f>
        <v>33717.498659999997</v>
      </c>
      <c r="H31" s="28">
        <f>H87</f>
        <v>20799.97366</v>
      </c>
      <c r="I31" s="28">
        <f t="shared" ref="I31:S31" si="50">I87</f>
        <v>12917.525</v>
      </c>
      <c r="J31" s="28">
        <f t="shared" si="50"/>
        <v>0</v>
      </c>
      <c r="K31" s="28">
        <f t="shared" si="50"/>
        <v>0</v>
      </c>
      <c r="L31" s="28">
        <f t="shared" si="50"/>
        <v>0</v>
      </c>
      <c r="M31" s="28">
        <f t="shared" si="50"/>
        <v>0</v>
      </c>
      <c r="N31" s="28">
        <f t="shared" si="50"/>
        <v>0</v>
      </c>
      <c r="O31" s="28">
        <f t="shared" si="50"/>
        <v>0</v>
      </c>
      <c r="P31" s="28">
        <f t="shared" si="50"/>
        <v>0</v>
      </c>
      <c r="Q31" s="28">
        <f t="shared" si="50"/>
        <v>0</v>
      </c>
      <c r="R31" s="28">
        <f t="shared" si="50"/>
        <v>0</v>
      </c>
      <c r="S31" s="28">
        <f t="shared" si="50"/>
        <v>0</v>
      </c>
      <c r="U31" s="171"/>
      <c r="V31" s="171"/>
    </row>
    <row r="32" spans="3:22" ht="16" thickBot="1" x14ac:dyDescent="0.25">
      <c r="C32" s="142" t="s">
        <v>108</v>
      </c>
      <c r="D32" s="130" t="s">
        <v>92</v>
      </c>
      <c r="E32" s="129"/>
      <c r="F32" s="131">
        <f>SUM(H32:S32)</f>
        <v>8032230.0482592452</v>
      </c>
      <c r="G32" s="129"/>
      <c r="H32" s="177">
        <f>SUM(H30:H31)</f>
        <v>5050.0877300000011</v>
      </c>
      <c r="I32" s="177">
        <f t="shared" ref="I32:S32" si="51">SUM(I30:I31)</f>
        <v>-4066.8858899999996</v>
      </c>
      <c r="J32" s="177">
        <f t="shared" si="51"/>
        <v>-25432.007938019047</v>
      </c>
      <c r="K32" s="177">
        <f t="shared" si="51"/>
        <v>-14807.335913360683</v>
      </c>
      <c r="L32" s="177">
        <f t="shared" si="51"/>
        <v>106935.76987541602</v>
      </c>
      <c r="M32" s="177">
        <f t="shared" si="51"/>
        <v>381676.55272316793</v>
      </c>
      <c r="N32" s="177">
        <f t="shared" si="51"/>
        <v>495206.2079954847</v>
      </c>
      <c r="O32" s="177">
        <f t="shared" si="51"/>
        <v>821098.82879503316</v>
      </c>
      <c r="P32" s="177">
        <f t="shared" si="51"/>
        <v>1318708.7116745366</v>
      </c>
      <c r="Q32" s="177">
        <f t="shared" si="51"/>
        <v>1426949.58284199</v>
      </c>
      <c r="R32" s="177">
        <f t="shared" si="51"/>
        <v>1667714.5411261891</v>
      </c>
      <c r="S32" s="177">
        <f t="shared" si="51"/>
        <v>1853195.995238808</v>
      </c>
      <c r="U32" s="171"/>
      <c r="V32" s="171"/>
    </row>
    <row r="33" spans="1:22" x14ac:dyDescent="0.2">
      <c r="C33" s="137"/>
      <c r="D33" s="23"/>
      <c r="F33" s="107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U33" s="28"/>
      <c r="V33" s="28"/>
    </row>
    <row r="34" spans="1:22" x14ac:dyDescent="0.2">
      <c r="A34" s="15" t="s">
        <v>109</v>
      </c>
      <c r="B34" s="15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U34" s="36"/>
      <c r="V34" s="36"/>
    </row>
    <row r="35" spans="1:22" x14ac:dyDescent="0.2">
      <c r="F35" s="2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U35" s="137"/>
      <c r="V35" s="137"/>
    </row>
    <row r="36" spans="1:22" x14ac:dyDescent="0.2">
      <c r="B36" s="20" t="s">
        <v>110</v>
      </c>
      <c r="F36" s="2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U36" s="137"/>
      <c r="V36" s="137"/>
    </row>
    <row r="37" spans="1:22" x14ac:dyDescent="0.2">
      <c r="C37" t="s">
        <v>47</v>
      </c>
      <c r="D37" s="23" t="s">
        <v>48</v>
      </c>
      <c r="F37" s="27"/>
      <c r="H37" s="99">
        <f>IFERROR(INDEX(Inputs!$F26:$N26,MATCH('Consolidated Forecast (A)'!H$7,Inputs!$F$25:$N$25,0)),0)</f>
        <v>0</v>
      </c>
      <c r="I37" s="99">
        <f>IFERROR(INDEX(Inputs!$F26:$P26,MATCH('Consolidated Forecast (A)'!I$7,Inputs!$F$25:$P$25,0)),0)</f>
        <v>0</v>
      </c>
      <c r="J37" s="99">
        <f>IFERROR(INDEX(Inputs!$F26:$P26,MATCH('Consolidated Forecast (A)'!J$7,Inputs!$F$25:$P$25,0)),0)</f>
        <v>0</v>
      </c>
      <c r="K37" s="99">
        <f>IFERROR(INDEX(Inputs!$F26:$P26,MATCH('Consolidated Forecast (A)'!K$7,Inputs!$F$25:$P$25,0)),0)</f>
        <v>11000</v>
      </c>
      <c r="L37" s="99">
        <f>IFERROR(INDEX(Inputs!$F26:$P26,MATCH('Consolidated Forecast (A)'!L$7,Inputs!$F$25:$P$25,0)),0)</f>
        <v>10000</v>
      </c>
      <c r="M37" s="99">
        <f>IFERROR(INDEX(Inputs!$F26:$P26,MATCH('Consolidated Forecast (A)'!M$7,Inputs!$F$25:$P$25,0)),0)</f>
        <v>10000</v>
      </c>
      <c r="N37" s="99">
        <f>IFERROR(INDEX(Inputs!$F26:$P26,MATCH('Consolidated Forecast (A)'!N$7,Inputs!$F$25:$P$25,0)),0)</f>
        <v>9000</v>
      </c>
      <c r="O37" s="99">
        <f>IFERROR(INDEX(Inputs!$F26:$P26,MATCH('Consolidated Forecast (A)'!O$7,Inputs!$F$25:$P$25,0)),0)</f>
        <v>9000</v>
      </c>
      <c r="P37" s="99">
        <f>IFERROR(INDEX(Inputs!$F26:$P26,MATCH('Consolidated Forecast (A)'!P$7,Inputs!$F$25:$P$25,0)),0)</f>
        <v>8500</v>
      </c>
      <c r="Q37" s="99">
        <f>IFERROR(INDEX(Inputs!$F26:$P26,MATCH('Consolidated Forecast (A)'!Q$7,Inputs!$F$25:$P$25,0)),0)</f>
        <v>8500</v>
      </c>
      <c r="R37" s="99">
        <f>IFERROR(INDEX(Inputs!$F26:$P26,MATCH('Consolidated Forecast (A)'!R$7,Inputs!$F$25:$P$25,0)),0)</f>
        <v>7000</v>
      </c>
      <c r="S37" s="99">
        <f>IFERROR(INDEX(Inputs!$F26:$P26,MATCH('Consolidated Forecast (A)'!S$7,Inputs!$F$25:$P$25,0)),0)</f>
        <v>6300</v>
      </c>
      <c r="U37" s="99"/>
      <c r="V37" s="99"/>
    </row>
    <row r="38" spans="1:22" x14ac:dyDescent="0.2">
      <c r="C38" t="s">
        <v>89</v>
      </c>
      <c r="D38" s="23" t="s">
        <v>35</v>
      </c>
      <c r="F38" s="107">
        <f>SUM(H38:S38)</f>
        <v>30950</v>
      </c>
      <c r="H38" s="99">
        <f>IFERROR(INDEX(Inputs!$F28:$N28,MATCH('Consolidated Forecast (A)'!H$7,Inputs!$F$25:$N$25,0)),0)</f>
        <v>0</v>
      </c>
      <c r="I38" s="99">
        <f>IFERROR(INDEX(Inputs!$F28:$P28,MATCH('Consolidated Forecast (A)'!I$7,Inputs!$F$25:$P$25,0)),0)</f>
        <v>0</v>
      </c>
      <c r="J38" s="99">
        <f>IFERROR(INDEX(Inputs!$F28:$P28,MATCH('Consolidated Forecast (A)'!J$7,Inputs!$F$25:$P$25,0)),0)</f>
        <v>0</v>
      </c>
      <c r="K38" s="99">
        <f>IFERROR(INDEX(Inputs!$F28:$P28,MATCH('Consolidated Forecast (A)'!K$7,Inputs!$F$25:$P$25,0)),0)</f>
        <v>30</v>
      </c>
      <c r="L38" s="99">
        <f>IFERROR(INDEX(Inputs!$F28:$P28,MATCH('Consolidated Forecast (A)'!L$7,Inputs!$F$25:$P$25,0)),0)</f>
        <v>350</v>
      </c>
      <c r="M38" s="99">
        <f>IFERROR(INDEX(Inputs!$F28:$P28,MATCH('Consolidated Forecast (A)'!M$7,Inputs!$F$25:$P$25,0)),0)</f>
        <v>1150</v>
      </c>
      <c r="N38" s="99">
        <f>IFERROR(INDEX(Inputs!$F28:$P28,MATCH('Consolidated Forecast (A)'!N$7,Inputs!$F$25:$P$25,0)),0)</f>
        <v>1650</v>
      </c>
      <c r="O38" s="99">
        <f>IFERROR(INDEX(Inputs!$F28:$P28,MATCH('Consolidated Forecast (A)'!O$7,Inputs!$F$25:$P$25,0)),0)</f>
        <v>2720</v>
      </c>
      <c r="P38" s="99">
        <f>IFERROR(INDEX(Inputs!$F28:$P28,MATCH('Consolidated Forecast (A)'!P$7,Inputs!$F$25:$P$25,0)),0)</f>
        <v>4550</v>
      </c>
      <c r="Q38" s="99">
        <f>IFERROR(INDEX(Inputs!$F28:$P28,MATCH('Consolidated Forecast (A)'!Q$7,Inputs!$F$25:$P$25,0)),0)</f>
        <v>5000</v>
      </c>
      <c r="R38" s="99">
        <f>IFERROR(INDEX(Inputs!$F28:$P28,MATCH('Consolidated Forecast (A)'!R$7,Inputs!$F$25:$P$25,0)),0)</f>
        <v>7000</v>
      </c>
      <c r="S38" s="99">
        <f>IFERROR(INDEX(Inputs!$F28:$P28,MATCH('Consolidated Forecast (A)'!S$7,Inputs!$F$25:$P$25,0)),0)</f>
        <v>8500</v>
      </c>
      <c r="U38" s="99"/>
      <c r="V38" s="99"/>
    </row>
    <row r="39" spans="1:22" x14ac:dyDescent="0.2">
      <c r="C39" t="s">
        <v>52</v>
      </c>
      <c r="D39" s="23" t="s">
        <v>35</v>
      </c>
      <c r="F39" s="27"/>
      <c r="H39" s="99">
        <f>IFERROR(INDEX(Inputs!$F29:$N29,MATCH('Consolidated Forecast (A)'!H$7,Inputs!$F$25:$N$25,0)),0)</f>
        <v>0</v>
      </c>
      <c r="I39" s="99">
        <f>IFERROR(INDEX(Inputs!$F29:$P29,MATCH('Consolidated Forecast (A)'!I$7,Inputs!$F$25:$P$25,0)),0)</f>
        <v>0</v>
      </c>
      <c r="J39" s="99">
        <f>IFERROR(INDEX(Inputs!$F29:$P29,MATCH('Consolidated Forecast (A)'!J$7,Inputs!$F$25:$P$25,0)),0)</f>
        <v>0</v>
      </c>
      <c r="K39" s="99">
        <f>IFERROR(INDEX(Inputs!$F29:$P29,MATCH('Consolidated Forecast (A)'!K$7,Inputs!$F$25:$P$25,0)),0)</f>
        <v>30</v>
      </c>
      <c r="L39" s="99">
        <f>IFERROR(INDEX(Inputs!$F29:$P29,MATCH('Consolidated Forecast (A)'!L$7,Inputs!$F$25:$P$25,0)),0)</f>
        <v>380</v>
      </c>
      <c r="M39" s="99">
        <f>IFERROR(INDEX(Inputs!$F29:$P29,MATCH('Consolidated Forecast (A)'!M$7,Inputs!$F$25:$P$25,0)),0)</f>
        <v>1530</v>
      </c>
      <c r="N39" s="99">
        <f>IFERROR(INDEX(Inputs!$F29:$P29,MATCH('Consolidated Forecast (A)'!N$7,Inputs!$F$25:$P$25,0)),0)</f>
        <v>3180</v>
      </c>
      <c r="O39" s="99">
        <f>IFERROR(INDEX(Inputs!$F29:$P29,MATCH('Consolidated Forecast (A)'!O$7,Inputs!$F$25:$P$25,0)),0)</f>
        <v>5900</v>
      </c>
      <c r="P39" s="99">
        <f>IFERROR(INDEX(Inputs!$F29:$P29,MATCH('Consolidated Forecast (A)'!P$7,Inputs!$F$25:$P$25,0)),0)</f>
        <v>10450</v>
      </c>
      <c r="Q39" s="99">
        <f>IFERROR(INDEX(Inputs!$F29:$P29,MATCH('Consolidated Forecast (A)'!Q$7,Inputs!$F$25:$P$25,0)),0)</f>
        <v>15450</v>
      </c>
      <c r="R39" s="99">
        <f>IFERROR(INDEX(Inputs!$F29:$P29,MATCH('Consolidated Forecast (A)'!R$7,Inputs!$F$25:$P$25,0)),0)</f>
        <v>22450</v>
      </c>
      <c r="S39" s="99">
        <f>IFERROR(INDEX(Inputs!$F29:$P29,MATCH('Consolidated Forecast (A)'!S$7,Inputs!$F$25:$P$25,0)),0)</f>
        <v>30950</v>
      </c>
      <c r="U39" s="99"/>
      <c r="V39" s="99"/>
    </row>
    <row r="40" spans="1:22" x14ac:dyDescent="0.2">
      <c r="F40" s="2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U40" s="137"/>
      <c r="V40" s="137"/>
    </row>
    <row r="41" spans="1:22" x14ac:dyDescent="0.2">
      <c r="A41" s="15" t="s">
        <v>111</v>
      </c>
      <c r="B41" s="1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U41" s="36"/>
      <c r="V41" s="36"/>
    </row>
    <row r="42" spans="1:22" x14ac:dyDescent="0.2">
      <c r="F42" s="2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U42" s="137"/>
      <c r="V42" s="137"/>
    </row>
    <row r="43" spans="1:22" x14ac:dyDescent="0.2">
      <c r="B43" s="20" t="s">
        <v>112</v>
      </c>
      <c r="F43" s="2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U43" s="137"/>
      <c r="V43" s="137"/>
    </row>
    <row r="44" spans="1:22" x14ac:dyDescent="0.2">
      <c r="B44" s="20"/>
      <c r="C44" s="137" t="s">
        <v>113</v>
      </c>
      <c r="D44" s="23" t="s">
        <v>92</v>
      </c>
      <c r="E44" s="155">
        <f>Inputs!$F$36</f>
        <v>0.04</v>
      </c>
      <c r="F44" s="107">
        <f>SUM(H44:S44)</f>
        <v>9535400</v>
      </c>
      <c r="H44" s="28">
        <f t="shared" ref="H44:S44" si="52">H37*H38*$E$44</f>
        <v>0</v>
      </c>
      <c r="I44" s="28">
        <f t="shared" si="52"/>
        <v>0</v>
      </c>
      <c r="J44" s="28">
        <f t="shared" si="52"/>
        <v>0</v>
      </c>
      <c r="K44" s="28">
        <f t="shared" si="52"/>
        <v>13200</v>
      </c>
      <c r="L44" s="28">
        <f t="shared" si="52"/>
        <v>140000</v>
      </c>
      <c r="M44" s="28">
        <f t="shared" si="52"/>
        <v>460000</v>
      </c>
      <c r="N44" s="28">
        <f t="shared" si="52"/>
        <v>594000</v>
      </c>
      <c r="O44" s="28">
        <f t="shared" si="52"/>
        <v>979200</v>
      </c>
      <c r="P44" s="28">
        <f t="shared" si="52"/>
        <v>1547000</v>
      </c>
      <c r="Q44" s="28">
        <f t="shared" si="52"/>
        <v>1700000</v>
      </c>
      <c r="R44" s="28">
        <f t="shared" si="52"/>
        <v>1960000</v>
      </c>
      <c r="S44" s="28">
        <f t="shared" si="52"/>
        <v>2142000</v>
      </c>
      <c r="U44" s="28"/>
      <c r="V44" s="28"/>
    </row>
    <row r="45" spans="1:22" x14ac:dyDescent="0.2">
      <c r="B45" s="20"/>
      <c r="C45" s="137" t="s">
        <v>114</v>
      </c>
      <c r="D45" s="23" t="s">
        <v>92</v>
      </c>
      <c r="E45" s="156">
        <f>Inputs!F37</f>
        <v>6</v>
      </c>
      <c r="F45" s="107">
        <f>SUM(H45:S45)</f>
        <v>541920</v>
      </c>
      <c r="H45" s="28">
        <f t="shared" ref="H45:S45" si="53">$E45*H$39</f>
        <v>0</v>
      </c>
      <c r="I45" s="28">
        <f t="shared" si="53"/>
        <v>0</v>
      </c>
      <c r="J45" s="28">
        <f t="shared" si="53"/>
        <v>0</v>
      </c>
      <c r="K45" s="28">
        <f t="shared" si="53"/>
        <v>180</v>
      </c>
      <c r="L45" s="28">
        <f t="shared" si="53"/>
        <v>2280</v>
      </c>
      <c r="M45" s="28">
        <f t="shared" si="53"/>
        <v>9180</v>
      </c>
      <c r="N45" s="28">
        <f t="shared" si="53"/>
        <v>19080</v>
      </c>
      <c r="O45" s="28">
        <f t="shared" si="53"/>
        <v>35400</v>
      </c>
      <c r="P45" s="28">
        <f t="shared" si="53"/>
        <v>62700</v>
      </c>
      <c r="Q45" s="28">
        <f t="shared" si="53"/>
        <v>92700</v>
      </c>
      <c r="R45" s="28">
        <f t="shared" si="53"/>
        <v>134700</v>
      </c>
      <c r="S45" s="28">
        <f t="shared" si="53"/>
        <v>185700</v>
      </c>
      <c r="U45" s="28"/>
      <c r="V45" s="28"/>
    </row>
    <row r="46" spans="1:22" ht="16" thickBot="1" x14ac:dyDescent="0.25">
      <c r="C46" s="140" t="s">
        <v>91</v>
      </c>
      <c r="D46" s="104" t="s">
        <v>92</v>
      </c>
      <c r="E46" s="103"/>
      <c r="F46" s="111">
        <f>SUM(H46:S46)</f>
        <v>10077320</v>
      </c>
      <c r="G46" s="103"/>
      <c r="H46" s="147">
        <f t="shared" ref="H46:S46" si="54">SUM(H44:H45)</f>
        <v>0</v>
      </c>
      <c r="I46" s="147">
        <f t="shared" si="54"/>
        <v>0</v>
      </c>
      <c r="J46" s="147">
        <f t="shared" si="54"/>
        <v>0</v>
      </c>
      <c r="K46" s="147">
        <f t="shared" si="54"/>
        <v>13380</v>
      </c>
      <c r="L46" s="147">
        <f t="shared" si="54"/>
        <v>142280</v>
      </c>
      <c r="M46" s="147">
        <f t="shared" si="54"/>
        <v>469180</v>
      </c>
      <c r="N46" s="147">
        <f t="shared" si="54"/>
        <v>613080</v>
      </c>
      <c r="O46" s="147">
        <f t="shared" si="54"/>
        <v>1014600</v>
      </c>
      <c r="P46" s="147">
        <f t="shared" si="54"/>
        <v>1609700</v>
      </c>
      <c r="Q46" s="147">
        <f t="shared" si="54"/>
        <v>1792700</v>
      </c>
      <c r="R46" s="147">
        <f t="shared" si="54"/>
        <v>2094700</v>
      </c>
      <c r="S46" s="147">
        <f t="shared" si="54"/>
        <v>2327700</v>
      </c>
      <c r="U46" s="28"/>
      <c r="V46" s="28"/>
    </row>
    <row r="47" spans="1:22" x14ac:dyDescent="0.2">
      <c r="C47" s="139" t="s">
        <v>115</v>
      </c>
      <c r="D47" s="23"/>
      <c r="F47" s="107"/>
      <c r="H47" s="157">
        <f>IFERROR(H46/G46,0)</f>
        <v>0</v>
      </c>
      <c r="I47" s="157">
        <f>IFERROR(I46/H46-1,0)</f>
        <v>0</v>
      </c>
      <c r="J47" s="157">
        <f t="shared" ref="J47:Q47" si="55">IFERROR(J46/I46-1,0)</f>
        <v>0</v>
      </c>
      <c r="K47" s="157">
        <f t="shared" si="55"/>
        <v>0</v>
      </c>
      <c r="L47" s="157">
        <f t="shared" si="55"/>
        <v>9.6337817638266063</v>
      </c>
      <c r="M47" s="157">
        <f t="shared" si="55"/>
        <v>2.2975822322181614</v>
      </c>
      <c r="N47" s="157">
        <f t="shared" si="55"/>
        <v>0.30670531565710379</v>
      </c>
      <c r="O47" s="157">
        <f t="shared" si="55"/>
        <v>0.65492268545703669</v>
      </c>
      <c r="P47" s="157">
        <f t="shared" si="55"/>
        <v>0.58653656613443728</v>
      </c>
      <c r="Q47" s="157">
        <f t="shared" si="55"/>
        <v>0.11368577995899853</v>
      </c>
      <c r="R47" s="157">
        <f t="shared" ref="R47" si="56">IFERROR(R46/Q46-1,0)</f>
        <v>0.16846098064372184</v>
      </c>
      <c r="S47" s="157">
        <f t="shared" ref="S47" si="57">IFERROR(S46/R46-1,0)</f>
        <v>0.11123311214016329</v>
      </c>
      <c r="U47" s="157"/>
      <c r="V47" s="157"/>
    </row>
    <row r="48" spans="1:22" x14ac:dyDescent="0.2">
      <c r="C48" s="137"/>
      <c r="F48" s="27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U48" s="28"/>
      <c r="V48" s="28"/>
    </row>
    <row r="49" spans="2:22" x14ac:dyDescent="0.2">
      <c r="B49" s="20" t="s">
        <v>93</v>
      </c>
      <c r="C49" s="137"/>
      <c r="E49" s="152"/>
      <c r="F49" s="107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U49" s="28"/>
      <c r="V49" s="28"/>
    </row>
    <row r="50" spans="2:22" outlineLevel="1" x14ac:dyDescent="0.2">
      <c r="C50" s="137" t="s">
        <v>116</v>
      </c>
      <c r="D50" s="23" t="s">
        <v>92</v>
      </c>
      <c r="E50" s="152"/>
      <c r="F50" s="107">
        <f t="shared" ref="F50:F55" si="58">SUM(H50:S50)</f>
        <v>40597.772737847088</v>
      </c>
      <c r="H50" s="99">
        <f t="shared" ref="H50:L51" si="59">H103</f>
        <v>2703.3604800000003</v>
      </c>
      <c r="I50" s="99">
        <f t="shared" si="59"/>
        <v>5029.6521400000001</v>
      </c>
      <c r="J50" s="99">
        <f t="shared" si="59"/>
        <v>7211</v>
      </c>
      <c r="K50" s="99">
        <f t="shared" si="59"/>
        <v>11143.955324937264</v>
      </c>
      <c r="L50" s="99">
        <f t="shared" si="59"/>
        <v>14509.804792909828</v>
      </c>
      <c r="M50" s="160">
        <v>0</v>
      </c>
      <c r="N50" s="160">
        <v>0</v>
      </c>
      <c r="O50" s="160">
        <v>0</v>
      </c>
      <c r="P50" s="160">
        <v>0</v>
      </c>
      <c r="Q50" s="160">
        <v>0</v>
      </c>
      <c r="R50" s="160">
        <v>0</v>
      </c>
      <c r="S50" s="160">
        <v>0</v>
      </c>
      <c r="U50" s="160"/>
      <c r="V50" s="160"/>
    </row>
    <row r="51" spans="2:22" outlineLevel="1" x14ac:dyDescent="0.2">
      <c r="C51" s="137" t="s">
        <v>117</v>
      </c>
      <c r="D51" s="23" t="s">
        <v>92</v>
      </c>
      <c r="E51" s="152"/>
      <c r="F51" s="107">
        <f t="shared" si="58"/>
        <v>7577.0927173829923</v>
      </c>
      <c r="H51" s="99">
        <f t="shared" si="59"/>
        <v>126.66148999999999</v>
      </c>
      <c r="I51" s="99">
        <f t="shared" si="59"/>
        <v>212.78763000000004</v>
      </c>
      <c r="J51" s="99">
        <f t="shared" si="59"/>
        <v>1587</v>
      </c>
      <c r="K51" s="99">
        <f t="shared" si="59"/>
        <v>2455.0318275159452</v>
      </c>
      <c r="L51" s="99">
        <f t="shared" si="59"/>
        <v>3195.6117698670469</v>
      </c>
      <c r="M51" s="160">
        <v>0</v>
      </c>
      <c r="N51" s="160">
        <v>0</v>
      </c>
      <c r="O51" s="160">
        <v>0</v>
      </c>
      <c r="P51" s="160">
        <v>0</v>
      </c>
      <c r="Q51" s="160">
        <v>0</v>
      </c>
      <c r="R51" s="160">
        <v>0</v>
      </c>
      <c r="S51" s="160">
        <v>0</v>
      </c>
      <c r="U51" s="160"/>
      <c r="V51" s="160"/>
    </row>
    <row r="52" spans="2:22" outlineLevel="1" x14ac:dyDescent="0.2">
      <c r="C52" s="137" t="s">
        <v>118</v>
      </c>
      <c r="D52" s="23" t="s">
        <v>92</v>
      </c>
      <c r="E52" s="152"/>
      <c r="F52" s="107">
        <f t="shared" si="58"/>
        <v>9538.1391494617747</v>
      </c>
      <c r="H52" s="99">
        <f>H116</f>
        <v>731.23766000000001</v>
      </c>
      <c r="I52" s="99">
        <f>I116</f>
        <v>817.71145999999999</v>
      </c>
      <c r="J52" s="99">
        <f t="shared" ref="J52:L52" si="60">J116</f>
        <v>1580.5</v>
      </c>
      <c r="K52" s="99">
        <f t="shared" si="60"/>
        <v>2781.238831234316</v>
      </c>
      <c r="L52" s="99">
        <f t="shared" si="60"/>
        <v>3627.4511982274571</v>
      </c>
      <c r="M52" s="160">
        <v>0</v>
      </c>
      <c r="N52" s="160">
        <v>0</v>
      </c>
      <c r="O52" s="160">
        <v>0</v>
      </c>
      <c r="P52" s="160">
        <v>0</v>
      </c>
      <c r="Q52" s="160">
        <v>0</v>
      </c>
      <c r="R52" s="160">
        <v>0</v>
      </c>
      <c r="S52" s="160">
        <v>0</v>
      </c>
      <c r="U52" s="160"/>
      <c r="V52" s="160"/>
    </row>
    <row r="53" spans="2:22" outlineLevel="1" x14ac:dyDescent="0.2">
      <c r="C53" s="137" t="s">
        <v>119</v>
      </c>
      <c r="D53" s="23" t="s">
        <v>92</v>
      </c>
      <c r="E53" s="152"/>
      <c r="F53" s="107">
        <f t="shared" si="58"/>
        <v>7391.7249133472214</v>
      </c>
      <c r="H53" s="99">
        <f>H121</f>
        <v>153.23497999999998</v>
      </c>
      <c r="I53" s="99">
        <f t="shared" ref="I53:L53" si="61">I121</f>
        <v>473.03436000000005</v>
      </c>
      <c r="J53" s="99">
        <f t="shared" si="61"/>
        <v>1902.2857142857142</v>
      </c>
      <c r="K53" s="99">
        <f t="shared" si="61"/>
        <v>2114.2034408129439</v>
      </c>
      <c r="L53" s="99">
        <f t="shared" si="61"/>
        <v>2748.9664182485631</v>
      </c>
      <c r="M53" s="160">
        <v>0</v>
      </c>
      <c r="N53" s="160">
        <v>0</v>
      </c>
      <c r="O53" s="160">
        <v>0</v>
      </c>
      <c r="P53" s="160">
        <v>0</v>
      </c>
      <c r="Q53" s="160">
        <v>0</v>
      </c>
      <c r="R53" s="160">
        <v>0</v>
      </c>
      <c r="S53" s="160">
        <v>0</v>
      </c>
      <c r="U53" s="160"/>
      <c r="V53" s="160"/>
    </row>
    <row r="54" spans="2:22" outlineLevel="1" x14ac:dyDescent="0.2">
      <c r="C54" s="137" t="s">
        <v>120</v>
      </c>
      <c r="D54" s="23" t="s">
        <v>92</v>
      </c>
      <c r="E54" s="152"/>
      <c r="F54" s="107">
        <f t="shared" si="58"/>
        <v>14655.144143032045</v>
      </c>
      <c r="H54" s="99">
        <f>H130</f>
        <v>606.42003999999997</v>
      </c>
      <c r="I54" s="99">
        <f t="shared" ref="I54:L54" si="62">I130</f>
        <v>1659.7980600000001</v>
      </c>
      <c r="J54" s="99">
        <f t="shared" si="62"/>
        <v>3013</v>
      </c>
      <c r="K54" s="99">
        <f t="shared" si="62"/>
        <v>4077.6488383483038</v>
      </c>
      <c r="L54" s="99">
        <f t="shared" si="62"/>
        <v>5298.2772046837417</v>
      </c>
      <c r="M54" s="160">
        <v>0</v>
      </c>
      <c r="N54" s="160">
        <v>0</v>
      </c>
      <c r="O54" s="160">
        <v>0</v>
      </c>
      <c r="P54" s="160">
        <v>0</v>
      </c>
      <c r="Q54" s="160">
        <v>0</v>
      </c>
      <c r="R54" s="160">
        <v>0</v>
      </c>
      <c r="S54" s="160">
        <v>0</v>
      </c>
      <c r="U54" s="160"/>
      <c r="V54" s="160"/>
    </row>
    <row r="55" spans="2:22" x14ac:dyDescent="0.2">
      <c r="C55" s="138" t="s">
        <v>121</v>
      </c>
      <c r="D55" s="43" t="s">
        <v>92</v>
      </c>
      <c r="E55" s="188"/>
      <c r="F55" s="108">
        <f t="shared" si="58"/>
        <v>1982759.8736610711</v>
      </c>
      <c r="G55" s="42"/>
      <c r="H55" s="143">
        <f>SUM(H50:H54)</f>
        <v>4320.9146500000006</v>
      </c>
      <c r="I55" s="143">
        <f>SUM(I50:I54)</f>
        <v>8192.9836499999983</v>
      </c>
      <c r="J55" s="143">
        <f>SUM(J50:J54)</f>
        <v>15293.785714285714</v>
      </c>
      <c r="K55" s="143">
        <f>SUM(K50:K54)</f>
        <v>22572.078262848776</v>
      </c>
      <c r="L55" s="143">
        <f>SUM(L50:L54)</f>
        <v>29380.111383936637</v>
      </c>
      <c r="M55" s="244">
        <v>81799.999999999985</v>
      </c>
      <c r="N55" s="244">
        <v>111599.99999999997</v>
      </c>
      <c r="O55" s="244">
        <v>186599.99999999997</v>
      </c>
      <c r="P55" s="244">
        <v>283399.99999999994</v>
      </c>
      <c r="Q55" s="244">
        <v>357399.99999999994</v>
      </c>
      <c r="R55" s="244">
        <v>417799.99999999988</v>
      </c>
      <c r="S55" s="244">
        <v>464399.99999999988</v>
      </c>
      <c r="U55" s="28"/>
      <c r="V55" s="28"/>
    </row>
    <row r="56" spans="2:22" x14ac:dyDescent="0.2">
      <c r="C56" s="137"/>
      <c r="F56" s="107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U56" s="28"/>
      <c r="V56" s="28"/>
    </row>
    <row r="57" spans="2:22" ht="16" thickBot="1" x14ac:dyDescent="0.25">
      <c r="C57" s="163" t="s">
        <v>94</v>
      </c>
      <c r="D57" s="104" t="s">
        <v>92</v>
      </c>
      <c r="E57" s="164"/>
      <c r="F57" s="111">
        <f>SUM(H57:S57)</f>
        <v>8094560.1263389289</v>
      </c>
      <c r="G57" s="164"/>
      <c r="H57" s="172">
        <f t="shared" ref="H57:S57" si="63">H46-H55</f>
        <v>-4320.9146500000006</v>
      </c>
      <c r="I57" s="172">
        <f t="shared" si="63"/>
        <v>-8192.9836499999983</v>
      </c>
      <c r="J57" s="172">
        <f t="shared" si="63"/>
        <v>-15293.785714285714</v>
      </c>
      <c r="K57" s="172">
        <f t="shared" si="63"/>
        <v>-9192.0782628487759</v>
      </c>
      <c r="L57" s="172">
        <f t="shared" si="63"/>
        <v>112899.88861606337</v>
      </c>
      <c r="M57" s="172">
        <f t="shared" si="63"/>
        <v>387380</v>
      </c>
      <c r="N57" s="172">
        <f t="shared" si="63"/>
        <v>501480</v>
      </c>
      <c r="O57" s="172">
        <f t="shared" si="63"/>
        <v>828000</v>
      </c>
      <c r="P57" s="172">
        <f t="shared" si="63"/>
        <v>1326300</v>
      </c>
      <c r="Q57" s="172">
        <f t="shared" si="63"/>
        <v>1435300</v>
      </c>
      <c r="R57" s="172">
        <f t="shared" si="63"/>
        <v>1676900</v>
      </c>
      <c r="S57" s="172">
        <f t="shared" si="63"/>
        <v>1863300</v>
      </c>
      <c r="U57" s="208"/>
      <c r="V57" s="208"/>
    </row>
    <row r="58" spans="2:22" x14ac:dyDescent="0.2">
      <c r="C58" s="139" t="s">
        <v>95</v>
      </c>
      <c r="D58" s="23" t="s">
        <v>82</v>
      </c>
      <c r="F58" s="107"/>
      <c r="H58" s="157">
        <f t="shared" ref="H58:S58" si="64">MAX(IFERROR(H57/H46,0),0)</f>
        <v>0</v>
      </c>
      <c r="I58" s="157">
        <f t="shared" si="64"/>
        <v>0</v>
      </c>
      <c r="J58" s="157">
        <f t="shared" si="64"/>
        <v>0</v>
      </c>
      <c r="K58" s="157">
        <f t="shared" si="64"/>
        <v>0</v>
      </c>
      <c r="L58" s="157">
        <f t="shared" si="64"/>
        <v>0.79350498043339446</v>
      </c>
      <c r="M58" s="157">
        <f t="shared" si="64"/>
        <v>0.82565326740270262</v>
      </c>
      <c r="N58" s="157">
        <f t="shared" si="64"/>
        <v>0.817968291250734</v>
      </c>
      <c r="O58" s="157">
        <f t="shared" si="64"/>
        <v>0.81608515671200477</v>
      </c>
      <c r="P58" s="157">
        <f t="shared" si="64"/>
        <v>0.82394234950611911</v>
      </c>
      <c r="Q58" s="157">
        <f t="shared" si="64"/>
        <v>0.80063591231103926</v>
      </c>
      <c r="R58" s="157">
        <f t="shared" si="64"/>
        <v>0.80054423067742397</v>
      </c>
      <c r="S58" s="157">
        <f t="shared" si="64"/>
        <v>0.80048975383425702</v>
      </c>
      <c r="U58" s="157"/>
      <c r="V58" s="157"/>
    </row>
    <row r="59" spans="2:22" x14ac:dyDescent="0.2">
      <c r="C59" s="137"/>
      <c r="F59" s="107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U59" s="28"/>
      <c r="V59" s="28"/>
    </row>
    <row r="60" spans="2:22" x14ac:dyDescent="0.2">
      <c r="B60" s="20" t="s">
        <v>93</v>
      </c>
      <c r="C60" s="137"/>
      <c r="F60" s="107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U60" s="28"/>
      <c r="V60" s="28"/>
    </row>
    <row r="61" spans="2:22" x14ac:dyDescent="0.2">
      <c r="C61" s="137" t="s">
        <v>122</v>
      </c>
      <c r="D61" s="23" t="s">
        <v>92</v>
      </c>
      <c r="E61" s="155">
        <f>Inputs!$F$44</f>
        <v>0.1</v>
      </c>
      <c r="F61" s="107">
        <f>SUM(H61:S61)</f>
        <v>83939.772615949507</v>
      </c>
      <c r="H61" s="99">
        <f>H140</f>
        <v>10301.760959999998</v>
      </c>
      <c r="I61" s="99">
        <f t="shared" ref="I61:L61" si="65">I140</f>
        <v>6626.7778899999994</v>
      </c>
      <c r="J61" s="99">
        <f t="shared" si="65"/>
        <v>3721.9999999999995</v>
      </c>
      <c r="K61" s="99">
        <f t="shared" si="65"/>
        <v>3994.7020913119072</v>
      </c>
      <c r="L61" s="99">
        <f t="shared" si="65"/>
        <v>5184.9520698473425</v>
      </c>
      <c r="M61" s="28">
        <f t="shared" ref="M61:S61" si="66">L61*(1+$E61)</f>
        <v>5703.4472768320775</v>
      </c>
      <c r="N61" s="28">
        <f t="shared" si="66"/>
        <v>6273.792004515286</v>
      </c>
      <c r="O61" s="28">
        <f t="shared" si="66"/>
        <v>6901.1712049668149</v>
      </c>
      <c r="P61" s="28">
        <f t="shared" si="66"/>
        <v>7591.2883254634971</v>
      </c>
      <c r="Q61" s="28">
        <f t="shared" si="66"/>
        <v>8350.4171580098482</v>
      </c>
      <c r="R61" s="28">
        <f t="shared" si="66"/>
        <v>9185.4588738108341</v>
      </c>
      <c r="S61" s="28">
        <f t="shared" si="66"/>
        <v>10104.004761191918</v>
      </c>
      <c r="U61" s="28"/>
      <c r="V61" s="28"/>
    </row>
    <row r="62" spans="2:22" x14ac:dyDescent="0.2">
      <c r="C62" s="137"/>
      <c r="D62" s="23"/>
      <c r="F62" s="107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U62" s="28"/>
      <c r="V62" s="28"/>
    </row>
    <row r="63" spans="2:22" ht="16" thickBot="1" x14ac:dyDescent="0.25">
      <c r="C63" s="163" t="s">
        <v>97</v>
      </c>
      <c r="D63" s="104" t="s">
        <v>92</v>
      </c>
      <c r="E63" s="164"/>
      <c r="F63" s="111">
        <f>SUM(H63:S63)</f>
        <v>8010620.3537229784</v>
      </c>
      <c r="G63" s="164"/>
      <c r="H63" s="172">
        <f t="shared" ref="H63:L63" si="67">H57-H61</f>
        <v>-14622.675609999998</v>
      </c>
      <c r="I63" s="172">
        <f t="shared" si="67"/>
        <v>-14819.761539999998</v>
      </c>
      <c r="J63" s="172">
        <f t="shared" si="67"/>
        <v>-19015.785714285714</v>
      </c>
      <c r="K63" s="172">
        <f t="shared" si="67"/>
        <v>-13186.780354160683</v>
      </c>
      <c r="L63" s="172">
        <f t="shared" si="67"/>
        <v>107714.93654621602</v>
      </c>
      <c r="M63" s="172">
        <f t="shared" ref="M63:Q63" si="68">M57-M61</f>
        <v>381676.55272316793</v>
      </c>
      <c r="N63" s="172">
        <f t="shared" si="68"/>
        <v>495206.2079954847</v>
      </c>
      <c r="O63" s="172">
        <f t="shared" si="68"/>
        <v>821098.82879503316</v>
      </c>
      <c r="P63" s="172">
        <f t="shared" si="68"/>
        <v>1318708.7116745366</v>
      </c>
      <c r="Q63" s="172">
        <f t="shared" si="68"/>
        <v>1426949.58284199</v>
      </c>
      <c r="R63" s="172">
        <f t="shared" ref="R63:S63" si="69">R57-R61</f>
        <v>1667714.5411261891</v>
      </c>
      <c r="S63" s="172">
        <f t="shared" si="69"/>
        <v>1853195.995238808</v>
      </c>
      <c r="U63" s="208"/>
      <c r="V63" s="208"/>
    </row>
    <row r="64" spans="2:22" x14ac:dyDescent="0.2">
      <c r="C64" s="139" t="s">
        <v>101</v>
      </c>
      <c r="D64" s="23" t="s">
        <v>82</v>
      </c>
      <c r="F64" s="107"/>
      <c r="H64" s="157">
        <f t="shared" ref="H64:S64" si="70">MAX(0,IFERROR(H63/H46,0))</f>
        <v>0</v>
      </c>
      <c r="I64" s="157">
        <f t="shared" si="70"/>
        <v>0</v>
      </c>
      <c r="J64" s="157">
        <f t="shared" si="70"/>
        <v>0</v>
      </c>
      <c r="K64" s="157">
        <f t="shared" si="70"/>
        <v>0</v>
      </c>
      <c r="L64" s="157">
        <f t="shared" si="70"/>
        <v>0.75706309070998046</v>
      </c>
      <c r="M64" s="157">
        <f t="shared" si="70"/>
        <v>0.8134970645022549</v>
      </c>
      <c r="N64" s="157">
        <f t="shared" si="70"/>
        <v>0.80773505577654581</v>
      </c>
      <c r="O64" s="157">
        <f t="shared" si="70"/>
        <v>0.80928329272130217</v>
      </c>
      <c r="P64" s="157">
        <f t="shared" si="70"/>
        <v>0.81922638483850196</v>
      </c>
      <c r="Q64" s="157">
        <f t="shared" si="70"/>
        <v>0.79597790084341502</v>
      </c>
      <c r="R64" s="157">
        <f t="shared" si="70"/>
        <v>0.79615913549729744</v>
      </c>
      <c r="S64" s="157">
        <f t="shared" si="70"/>
        <v>0.79614898622623531</v>
      </c>
      <c r="U64" s="157"/>
      <c r="V64" s="157"/>
    </row>
    <row r="65" spans="1:22" x14ac:dyDescent="0.2">
      <c r="C65" s="139"/>
      <c r="D65" s="23"/>
      <c r="F65" s="10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U65" s="157"/>
      <c r="V65" s="157"/>
    </row>
    <row r="66" spans="1:22" x14ac:dyDescent="0.2">
      <c r="B66" s="20" t="s">
        <v>123</v>
      </c>
      <c r="C66" s="139"/>
      <c r="D66" s="23"/>
      <c r="F66" s="10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U66" s="157"/>
      <c r="V66" s="157"/>
    </row>
    <row r="67" spans="1:22" x14ac:dyDescent="0.2">
      <c r="C67" s="137" t="s">
        <v>124</v>
      </c>
      <c r="D67" s="23" t="s">
        <v>92</v>
      </c>
      <c r="E67" s="99"/>
      <c r="F67" s="107">
        <f t="shared" ref="F67:F72" si="71">SUM(H67:S67)</f>
        <v>200</v>
      </c>
      <c r="H67" s="99">
        <f>H145</f>
        <v>0</v>
      </c>
      <c r="I67" s="99">
        <f t="shared" ref="I67:L67" si="72">I145</f>
        <v>0</v>
      </c>
      <c r="J67" s="99">
        <f t="shared" si="72"/>
        <v>200</v>
      </c>
      <c r="K67" s="99">
        <f t="shared" si="72"/>
        <v>0</v>
      </c>
      <c r="L67" s="99">
        <f t="shared" si="72"/>
        <v>0</v>
      </c>
      <c r="M67" s="160">
        <v>0</v>
      </c>
      <c r="N67" s="160">
        <v>0</v>
      </c>
      <c r="O67" s="160">
        <v>0</v>
      </c>
      <c r="P67" s="160">
        <v>0</v>
      </c>
      <c r="Q67" s="160">
        <v>0</v>
      </c>
      <c r="R67" s="160">
        <v>0</v>
      </c>
      <c r="S67" s="160">
        <v>0</v>
      </c>
      <c r="U67" s="160"/>
      <c r="V67" s="160"/>
    </row>
    <row r="68" spans="1:22" x14ac:dyDescent="0.2">
      <c r="C68" s="137" t="s">
        <v>125</v>
      </c>
      <c r="D68" s="23" t="s">
        <v>92</v>
      </c>
      <c r="E68" s="99"/>
      <c r="F68" s="107">
        <f t="shared" si="71"/>
        <v>2101.7353000000003</v>
      </c>
      <c r="H68" s="99">
        <f t="shared" ref="H68:L69" si="73">H147</f>
        <v>8.7803000000000004</v>
      </c>
      <c r="I68" s="99">
        <f t="shared" si="73"/>
        <v>424.95500000000004</v>
      </c>
      <c r="J68" s="99">
        <f t="shared" si="73"/>
        <v>1668</v>
      </c>
      <c r="K68" s="99">
        <f t="shared" si="73"/>
        <v>0</v>
      </c>
      <c r="L68" s="99">
        <f t="shared" si="73"/>
        <v>0</v>
      </c>
      <c r="M68" s="160">
        <v>0</v>
      </c>
      <c r="N68" s="160">
        <v>0</v>
      </c>
      <c r="O68" s="160">
        <v>0</v>
      </c>
      <c r="P68" s="160">
        <v>0</v>
      </c>
      <c r="Q68" s="160">
        <v>0</v>
      </c>
      <c r="R68" s="160">
        <v>0</v>
      </c>
      <c r="S68" s="160">
        <v>0</v>
      </c>
      <c r="U68" s="160"/>
      <c r="V68" s="160"/>
    </row>
    <row r="69" spans="1:22" x14ac:dyDescent="0.2">
      <c r="C69" s="137" t="s">
        <v>126</v>
      </c>
      <c r="D69" s="23" t="s">
        <v>92</v>
      </c>
      <c r="E69" s="99"/>
      <c r="F69" s="107">
        <f t="shared" si="71"/>
        <v>1781.4133333333334</v>
      </c>
      <c r="H69" s="99">
        <f t="shared" si="73"/>
        <v>47.080000000000005</v>
      </c>
      <c r="I69" s="99">
        <f t="shared" si="73"/>
        <v>0</v>
      </c>
      <c r="J69" s="99">
        <f t="shared" si="73"/>
        <v>1734.3333333333335</v>
      </c>
      <c r="K69" s="99">
        <f t="shared" si="73"/>
        <v>0</v>
      </c>
      <c r="L69" s="99">
        <f t="shared" si="73"/>
        <v>0</v>
      </c>
      <c r="M69" s="160">
        <v>0</v>
      </c>
      <c r="N69" s="160">
        <v>0</v>
      </c>
      <c r="O69" s="160">
        <v>0</v>
      </c>
      <c r="P69" s="160">
        <v>0</v>
      </c>
      <c r="Q69" s="160">
        <v>0</v>
      </c>
      <c r="R69" s="160">
        <v>0</v>
      </c>
      <c r="S69" s="160">
        <v>0</v>
      </c>
      <c r="U69" s="160"/>
      <c r="V69" s="160"/>
    </row>
    <row r="70" spans="1:22" x14ac:dyDescent="0.2">
      <c r="C70" s="137" t="s">
        <v>127</v>
      </c>
      <c r="D70" s="23" t="s">
        <v>92</v>
      </c>
      <c r="F70" s="107">
        <f t="shared" si="71"/>
        <v>300</v>
      </c>
      <c r="H70" s="99">
        <f>H146</f>
        <v>0</v>
      </c>
      <c r="I70" s="99">
        <f>I146</f>
        <v>0</v>
      </c>
      <c r="J70" s="99">
        <f>J146</f>
        <v>300</v>
      </c>
      <c r="K70" s="99">
        <f>K146</f>
        <v>0</v>
      </c>
      <c r="L70" s="99">
        <f>L146</f>
        <v>0</v>
      </c>
      <c r="M70" s="160">
        <v>0</v>
      </c>
      <c r="N70" s="160">
        <v>0</v>
      </c>
      <c r="O70" s="160">
        <v>0</v>
      </c>
      <c r="P70" s="160">
        <v>0</v>
      </c>
      <c r="Q70" s="160">
        <v>0</v>
      </c>
      <c r="R70" s="160">
        <v>0</v>
      </c>
      <c r="S70" s="160">
        <v>0</v>
      </c>
      <c r="U70" s="160"/>
      <c r="V70" s="160"/>
    </row>
    <row r="71" spans="1:22" x14ac:dyDescent="0.2">
      <c r="C71" s="137" t="s">
        <v>128</v>
      </c>
      <c r="D71" s="23" t="s">
        <v>92</v>
      </c>
      <c r="F71" s="107"/>
      <c r="H71" s="99"/>
      <c r="I71" s="99"/>
      <c r="J71" s="99"/>
      <c r="K71" s="99"/>
      <c r="L71" s="99"/>
      <c r="M71" s="160"/>
      <c r="N71" s="160"/>
      <c r="O71" s="160"/>
      <c r="P71" s="160"/>
      <c r="Q71" s="160"/>
      <c r="R71" s="160"/>
      <c r="S71" s="160"/>
      <c r="U71" s="160"/>
      <c r="V71" s="160"/>
    </row>
    <row r="72" spans="1:22" x14ac:dyDescent="0.2">
      <c r="C72" s="138" t="s">
        <v>129</v>
      </c>
      <c r="D72" s="43" t="s">
        <v>92</v>
      </c>
      <c r="E72" s="42"/>
      <c r="F72" s="108">
        <f t="shared" si="71"/>
        <v>4383.1486333333332</v>
      </c>
      <c r="G72" s="42"/>
      <c r="H72" s="143">
        <f t="shared" ref="H72:S72" si="74">SUM(H67:H70)</f>
        <v>55.860300000000009</v>
      </c>
      <c r="I72" s="143">
        <f t="shared" si="74"/>
        <v>424.95500000000004</v>
      </c>
      <c r="J72" s="143">
        <f t="shared" si="74"/>
        <v>3902.3333333333335</v>
      </c>
      <c r="K72" s="143">
        <f t="shared" si="74"/>
        <v>0</v>
      </c>
      <c r="L72" s="143">
        <f t="shared" si="74"/>
        <v>0</v>
      </c>
      <c r="M72" s="143">
        <f t="shared" si="74"/>
        <v>0</v>
      </c>
      <c r="N72" s="143">
        <f t="shared" si="74"/>
        <v>0</v>
      </c>
      <c r="O72" s="143">
        <f t="shared" si="74"/>
        <v>0</v>
      </c>
      <c r="P72" s="143">
        <f t="shared" si="74"/>
        <v>0</v>
      </c>
      <c r="Q72" s="143">
        <f t="shared" si="74"/>
        <v>0</v>
      </c>
      <c r="R72" s="143">
        <f t="shared" si="74"/>
        <v>0</v>
      </c>
      <c r="S72" s="143">
        <f t="shared" si="74"/>
        <v>0</v>
      </c>
      <c r="U72" s="28"/>
      <c r="V72" s="28"/>
    </row>
    <row r="73" spans="1:22" x14ac:dyDescent="0.2">
      <c r="C73" s="137"/>
      <c r="D73" s="23"/>
      <c r="F73" s="107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U73" s="28"/>
      <c r="V73" s="28"/>
    </row>
    <row r="74" spans="1:22" ht="16" thickBot="1" x14ac:dyDescent="0.25">
      <c r="C74" s="140" t="s">
        <v>100</v>
      </c>
      <c r="D74" s="104" t="s">
        <v>92</v>
      </c>
      <c r="E74" s="103"/>
      <c r="F74" s="111">
        <f>SUM(H74:S74)</f>
        <v>8006237.2050896455</v>
      </c>
      <c r="G74" s="103"/>
      <c r="H74" s="147">
        <f>H63-H72</f>
        <v>-14678.535909999999</v>
      </c>
      <c r="I74" s="147">
        <f t="shared" ref="I74:S74" si="75">I63-I72</f>
        <v>-15244.716539999998</v>
      </c>
      <c r="J74" s="147">
        <f t="shared" si="75"/>
        <v>-22918.119047619046</v>
      </c>
      <c r="K74" s="147">
        <f t="shared" si="75"/>
        <v>-13186.780354160683</v>
      </c>
      <c r="L74" s="147">
        <f t="shared" si="75"/>
        <v>107714.93654621602</v>
      </c>
      <c r="M74" s="147">
        <f t="shared" si="75"/>
        <v>381676.55272316793</v>
      </c>
      <c r="N74" s="147">
        <f t="shared" si="75"/>
        <v>495206.2079954847</v>
      </c>
      <c r="O74" s="147">
        <f t="shared" si="75"/>
        <v>821098.82879503316</v>
      </c>
      <c r="P74" s="147">
        <f t="shared" si="75"/>
        <v>1318708.7116745366</v>
      </c>
      <c r="Q74" s="147">
        <f t="shared" si="75"/>
        <v>1426949.58284199</v>
      </c>
      <c r="R74" s="147">
        <f t="shared" si="75"/>
        <v>1667714.5411261891</v>
      </c>
      <c r="S74" s="147">
        <f t="shared" si="75"/>
        <v>1853195.995238808</v>
      </c>
      <c r="U74" s="28"/>
      <c r="V74" s="28"/>
    </row>
    <row r="75" spans="1:22" x14ac:dyDescent="0.2">
      <c r="C75" s="137"/>
      <c r="D75" s="23"/>
      <c r="F75" s="107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U75" s="28"/>
      <c r="V75" s="28"/>
    </row>
    <row r="76" spans="1:22" x14ac:dyDescent="0.2">
      <c r="C76" s="137"/>
      <c r="D76" s="23"/>
      <c r="F76" s="107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U76" s="28"/>
      <c r="V76" s="28"/>
    </row>
    <row r="77" spans="1:22" x14ac:dyDescent="0.2">
      <c r="A77" s="15" t="s">
        <v>130</v>
      </c>
      <c r="B77" s="15"/>
      <c r="C77" s="141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U77" s="36"/>
      <c r="V77" s="36"/>
    </row>
    <row r="78" spans="1:22" x14ac:dyDescent="0.2">
      <c r="A78" s="179"/>
      <c r="B78" s="179"/>
      <c r="C78" s="137"/>
      <c r="F78" s="27"/>
    </row>
    <row r="79" spans="1:22" x14ac:dyDescent="0.2">
      <c r="A79" s="179"/>
      <c r="B79" s="20" t="s">
        <v>131</v>
      </c>
      <c r="C79" s="137"/>
      <c r="F79" s="27"/>
    </row>
    <row r="80" spans="1:22" x14ac:dyDescent="0.2">
      <c r="A80" s="179"/>
      <c r="B80" s="179"/>
      <c r="C80" s="137" t="s">
        <v>100</v>
      </c>
      <c r="D80" s="23" t="s">
        <v>92</v>
      </c>
      <c r="F80" s="27"/>
      <c r="H80" s="19">
        <f t="shared" ref="H80:Q80" si="76">H74</f>
        <v>-14678.535909999999</v>
      </c>
      <c r="I80" s="19">
        <f t="shared" si="76"/>
        <v>-15244.716539999998</v>
      </c>
      <c r="J80" s="19">
        <f t="shared" si="76"/>
        <v>-22918.119047619046</v>
      </c>
      <c r="K80" s="19">
        <f t="shared" si="76"/>
        <v>-13186.780354160683</v>
      </c>
      <c r="L80" s="19">
        <f t="shared" si="76"/>
        <v>107714.93654621602</v>
      </c>
      <c r="M80" s="19">
        <f t="shared" si="76"/>
        <v>381676.55272316793</v>
      </c>
      <c r="N80" s="19">
        <f t="shared" si="76"/>
        <v>495206.2079954847</v>
      </c>
      <c r="O80" s="19">
        <f t="shared" si="76"/>
        <v>821098.82879503316</v>
      </c>
      <c r="P80" s="19">
        <f t="shared" si="76"/>
        <v>1318708.7116745366</v>
      </c>
      <c r="Q80" s="19">
        <f t="shared" si="76"/>
        <v>1426949.58284199</v>
      </c>
      <c r="R80" s="19">
        <f t="shared" ref="R80:S80" si="77">R74</f>
        <v>1667714.5411261891</v>
      </c>
      <c r="S80" s="19">
        <f t="shared" si="77"/>
        <v>1853195.995238808</v>
      </c>
      <c r="U80" s="19"/>
      <c r="V80" s="19"/>
    </row>
    <row r="81" spans="1:22" x14ac:dyDescent="0.2">
      <c r="A81" s="179"/>
      <c r="B81" s="179"/>
      <c r="C81" s="137" t="s">
        <v>132</v>
      </c>
      <c r="D81" s="23" t="s">
        <v>92</v>
      </c>
      <c r="F81" s="27"/>
      <c r="H81" s="99">
        <f>H159</f>
        <v>0</v>
      </c>
      <c r="I81" s="99">
        <f>I159</f>
        <v>-212.35</v>
      </c>
      <c r="J81" s="21">
        <v>-213.88889040000004</v>
      </c>
      <c r="K81" s="21">
        <v>-120.55555920000006</v>
      </c>
      <c r="L81" s="21">
        <v>-29.166670800000063</v>
      </c>
      <c r="M81" s="160">
        <v>0</v>
      </c>
      <c r="N81" s="160">
        <v>0</v>
      </c>
      <c r="O81" s="160">
        <v>0</v>
      </c>
      <c r="P81" s="160">
        <v>0</v>
      </c>
      <c r="Q81" s="160">
        <v>0</v>
      </c>
      <c r="R81" s="160">
        <v>0</v>
      </c>
      <c r="S81" s="160">
        <v>0</v>
      </c>
      <c r="U81" s="19"/>
      <c r="V81" s="19"/>
    </row>
    <row r="82" spans="1:22" x14ac:dyDescent="0.2">
      <c r="A82" s="179"/>
      <c r="B82" s="179"/>
      <c r="C82" s="137" t="s">
        <v>133</v>
      </c>
      <c r="D82" s="23" t="s">
        <v>92</v>
      </c>
      <c r="F82" s="27"/>
      <c r="H82" s="99">
        <f>SUM(H92:H93)</f>
        <v>0</v>
      </c>
      <c r="I82" s="99">
        <f>SUM(I92:I93)</f>
        <v>3750</v>
      </c>
      <c r="J82" s="99">
        <f>SUM(J92:J93)</f>
        <v>-1500</v>
      </c>
      <c r="K82" s="99">
        <f>SUM(K92:K93)</f>
        <v>-1500</v>
      </c>
      <c r="L82" s="99">
        <f>SUM(L92:L93)</f>
        <v>-750</v>
      </c>
      <c r="M82" s="160">
        <v>0</v>
      </c>
      <c r="N82" s="160">
        <v>0</v>
      </c>
      <c r="O82" s="160">
        <v>0</v>
      </c>
      <c r="P82" s="160">
        <v>0</v>
      </c>
      <c r="Q82" s="160">
        <v>0</v>
      </c>
      <c r="R82" s="160">
        <v>0</v>
      </c>
      <c r="S82" s="160">
        <v>0</v>
      </c>
      <c r="U82" s="160"/>
      <c r="V82" s="160"/>
    </row>
    <row r="83" spans="1:22" x14ac:dyDescent="0.2">
      <c r="A83" s="179"/>
      <c r="B83" s="179"/>
      <c r="C83" s="137" t="s">
        <v>104</v>
      </c>
      <c r="D83" s="23" t="s">
        <v>92</v>
      </c>
      <c r="F83" s="27"/>
      <c r="H83" s="99">
        <f>SUM(H160:H161)</f>
        <v>635.47402999999997</v>
      </c>
      <c r="I83" s="99">
        <f>SUM(I160:I161)</f>
        <v>240.86333000000002</v>
      </c>
      <c r="J83" s="160">
        <v>0</v>
      </c>
      <c r="K83" s="160">
        <v>0</v>
      </c>
      <c r="L83" s="160">
        <v>0</v>
      </c>
      <c r="M83" s="160">
        <v>0</v>
      </c>
      <c r="N83" s="160">
        <v>0</v>
      </c>
      <c r="O83" s="160">
        <v>0</v>
      </c>
      <c r="P83" s="160">
        <v>0</v>
      </c>
      <c r="Q83" s="160">
        <v>0</v>
      </c>
      <c r="R83" s="160">
        <v>0</v>
      </c>
      <c r="S83" s="160">
        <v>0</v>
      </c>
      <c r="U83" s="160"/>
      <c r="V83" s="160"/>
    </row>
    <row r="84" spans="1:22" x14ac:dyDescent="0.2">
      <c r="A84" s="179"/>
      <c r="B84" s="179"/>
      <c r="C84" s="137" t="s">
        <v>105</v>
      </c>
      <c r="D84" s="23" t="s">
        <v>92</v>
      </c>
      <c r="F84" s="27"/>
      <c r="H84" s="99">
        <f>SUM(H167:H169,H172:H173)</f>
        <v>-1706.8240499999997</v>
      </c>
      <c r="I84" s="99">
        <f>SUM(I167:I169,I172:I173)</f>
        <v>-5518.2076800000004</v>
      </c>
      <c r="J84" s="160">
        <v>0</v>
      </c>
      <c r="K84" s="160">
        <v>0</v>
      </c>
      <c r="L84" s="160">
        <v>0</v>
      </c>
      <c r="M84" s="160">
        <v>0</v>
      </c>
      <c r="N84" s="160">
        <v>0</v>
      </c>
      <c r="O84" s="160">
        <v>0</v>
      </c>
      <c r="P84" s="160">
        <v>0</v>
      </c>
      <c r="Q84" s="160">
        <v>0</v>
      </c>
      <c r="R84" s="160">
        <v>0</v>
      </c>
      <c r="S84" s="160">
        <v>0</v>
      </c>
      <c r="U84" s="160"/>
      <c r="V84" s="160"/>
    </row>
    <row r="85" spans="1:22" ht="16" thickBot="1" x14ac:dyDescent="0.25">
      <c r="A85" s="179"/>
      <c r="B85" s="179"/>
      <c r="C85" s="140" t="s">
        <v>106</v>
      </c>
      <c r="D85" s="104" t="s">
        <v>92</v>
      </c>
      <c r="E85" s="103"/>
      <c r="F85" s="180"/>
      <c r="G85" s="103"/>
      <c r="H85" s="105">
        <f t="shared" ref="H85:S85" si="78">SUM(H80:H84)</f>
        <v>-15749.885929999999</v>
      </c>
      <c r="I85" s="105">
        <f t="shared" si="78"/>
        <v>-16984.410889999999</v>
      </c>
      <c r="J85" s="105">
        <f t="shared" si="78"/>
        <v>-24632.007938019047</v>
      </c>
      <c r="K85" s="105">
        <f t="shared" si="78"/>
        <v>-14807.335913360683</v>
      </c>
      <c r="L85" s="105">
        <f t="shared" si="78"/>
        <v>106935.76987541602</v>
      </c>
      <c r="M85" s="105">
        <f t="shared" si="78"/>
        <v>381676.55272316793</v>
      </c>
      <c r="N85" s="105">
        <f t="shared" si="78"/>
        <v>495206.2079954847</v>
      </c>
      <c r="O85" s="105">
        <f t="shared" si="78"/>
        <v>821098.82879503316</v>
      </c>
      <c r="P85" s="105">
        <f t="shared" si="78"/>
        <v>1318708.7116745366</v>
      </c>
      <c r="Q85" s="105">
        <f t="shared" si="78"/>
        <v>1426949.58284199</v>
      </c>
      <c r="R85" s="105">
        <f t="shared" si="78"/>
        <v>1667714.5411261891</v>
      </c>
      <c r="S85" s="105">
        <f t="shared" si="78"/>
        <v>1853195.995238808</v>
      </c>
      <c r="U85" s="19"/>
      <c r="V85" s="19"/>
    </row>
    <row r="86" spans="1:22" x14ac:dyDescent="0.2">
      <c r="A86" s="179"/>
      <c r="B86" s="179"/>
      <c r="C86" s="137"/>
      <c r="E86" s="209"/>
      <c r="F86" s="27"/>
      <c r="G86" s="19"/>
      <c r="H86" s="19"/>
      <c r="I86" s="19"/>
    </row>
    <row r="87" spans="1:22" x14ac:dyDescent="0.2">
      <c r="A87" s="179"/>
      <c r="B87" s="179"/>
      <c r="C87" s="137" t="s">
        <v>107</v>
      </c>
      <c r="D87" s="23" t="s">
        <v>92</v>
      </c>
      <c r="F87" s="27"/>
      <c r="H87" s="99">
        <f>H170</f>
        <v>20799.97366</v>
      </c>
      <c r="I87" s="99">
        <f>I170</f>
        <v>12917.525</v>
      </c>
      <c r="J87" s="160">
        <v>0</v>
      </c>
      <c r="K87" s="160">
        <v>0</v>
      </c>
      <c r="L87" s="160">
        <v>0</v>
      </c>
      <c r="M87" s="160"/>
      <c r="N87" s="160"/>
      <c r="O87" s="160"/>
      <c r="P87" s="160"/>
      <c r="Q87" s="160"/>
      <c r="R87" s="160"/>
      <c r="S87" s="160"/>
    </row>
    <row r="88" spans="1:22" ht="16" thickBot="1" x14ac:dyDescent="0.25">
      <c r="A88" s="179"/>
      <c r="B88" s="179"/>
      <c r="C88" s="140" t="s">
        <v>108</v>
      </c>
      <c r="D88" s="104" t="s">
        <v>92</v>
      </c>
      <c r="E88" s="103"/>
      <c r="F88" s="180"/>
      <c r="G88" s="103"/>
      <c r="H88" s="147">
        <f>H85+H87</f>
        <v>5050.0877300000011</v>
      </c>
      <c r="I88" s="147">
        <f t="shared" ref="I88:S88" si="79">I85+I87</f>
        <v>-4066.8858899999996</v>
      </c>
      <c r="J88" s="147">
        <f t="shared" si="79"/>
        <v>-24632.007938019047</v>
      </c>
      <c r="K88" s="147">
        <f t="shared" si="79"/>
        <v>-14807.335913360683</v>
      </c>
      <c r="L88" s="147">
        <f t="shared" si="79"/>
        <v>106935.76987541602</v>
      </c>
      <c r="M88" s="147">
        <f t="shared" si="79"/>
        <v>381676.55272316793</v>
      </c>
      <c r="N88" s="147">
        <f t="shared" si="79"/>
        <v>495206.2079954847</v>
      </c>
      <c r="O88" s="147">
        <f t="shared" si="79"/>
        <v>821098.82879503316</v>
      </c>
      <c r="P88" s="147">
        <f t="shared" si="79"/>
        <v>1318708.7116745366</v>
      </c>
      <c r="Q88" s="147">
        <f t="shared" si="79"/>
        <v>1426949.58284199</v>
      </c>
      <c r="R88" s="147">
        <f t="shared" si="79"/>
        <v>1667714.5411261891</v>
      </c>
      <c r="S88" s="147">
        <f t="shared" si="79"/>
        <v>1853195.995238808</v>
      </c>
    </row>
    <row r="89" spans="1:22" x14ac:dyDescent="0.2">
      <c r="A89" s="179"/>
      <c r="B89" s="179"/>
      <c r="C89" s="137"/>
      <c r="E89" s="209"/>
      <c r="F89" s="27"/>
      <c r="G89" s="19"/>
      <c r="H89" s="19"/>
      <c r="I89" s="19"/>
    </row>
    <row r="90" spans="1:22" x14ac:dyDescent="0.2">
      <c r="B90" s="20" t="s">
        <v>76</v>
      </c>
      <c r="E90" s="152">
        <f>Inputs!$F$59</f>
        <v>2025</v>
      </c>
      <c r="F90" s="27"/>
      <c r="H90" s="152"/>
      <c r="I90" s="152"/>
      <c r="J90" s="152"/>
      <c r="K90" s="152"/>
      <c r="L90" s="152"/>
    </row>
    <row r="91" spans="1:22" x14ac:dyDescent="0.2">
      <c r="C91" t="s">
        <v>134</v>
      </c>
      <c r="D91" s="23" t="s">
        <v>92</v>
      </c>
      <c r="E91" s="123"/>
      <c r="F91" s="27"/>
      <c r="H91" s="28">
        <f>G94</f>
        <v>0</v>
      </c>
      <c r="I91" s="28">
        <f t="shared" ref="I91:L91" si="80">H94</f>
        <v>0</v>
      </c>
      <c r="J91" s="28">
        <f t="shared" si="80"/>
        <v>3750</v>
      </c>
      <c r="K91" s="28">
        <f t="shared" si="80"/>
        <v>2250</v>
      </c>
      <c r="L91" s="28">
        <f t="shared" si="80"/>
        <v>750</v>
      </c>
      <c r="M91" s="160">
        <v>0</v>
      </c>
      <c r="N91" s="160">
        <v>0</v>
      </c>
      <c r="O91" s="160">
        <v>0</v>
      </c>
      <c r="P91" s="160">
        <v>0</v>
      </c>
      <c r="Q91" s="160">
        <v>0</v>
      </c>
      <c r="R91" s="160">
        <v>0</v>
      </c>
      <c r="S91" s="160">
        <v>0</v>
      </c>
      <c r="U91" s="160"/>
      <c r="V91" s="160"/>
    </row>
    <row r="92" spans="1:22" x14ac:dyDescent="0.2">
      <c r="C92" t="s">
        <v>135</v>
      </c>
      <c r="D92" s="23" t="s">
        <v>92</v>
      </c>
      <c r="E92" s="176">
        <f>Inputs!$F$58</f>
        <v>4500</v>
      </c>
      <c r="F92" s="27"/>
      <c r="H92" s="28">
        <f>IF(H7=$E$90,$E$92,0)</f>
        <v>0</v>
      </c>
      <c r="I92" s="28">
        <f>IF(I7=$E$90,$E$92,0)</f>
        <v>4500</v>
      </c>
      <c r="J92" s="28">
        <f>IF(J7=$E$90,$E$92,0)</f>
        <v>0</v>
      </c>
      <c r="K92" s="28">
        <f>IF(K7=$E$90,$E$92,0)</f>
        <v>0</v>
      </c>
      <c r="L92" s="28">
        <f>IF(L7=$E$90,$E$92,0)</f>
        <v>0</v>
      </c>
      <c r="M92" s="160">
        <v>0</v>
      </c>
      <c r="N92" s="160">
        <v>0</v>
      </c>
      <c r="O92" s="160">
        <v>0</v>
      </c>
      <c r="P92" s="160">
        <v>0</v>
      </c>
      <c r="Q92" s="160">
        <v>0</v>
      </c>
      <c r="R92" s="160">
        <v>0</v>
      </c>
      <c r="S92" s="160">
        <v>0</v>
      </c>
      <c r="U92" s="160"/>
      <c r="V92" s="160"/>
    </row>
    <row r="93" spans="1:22" x14ac:dyDescent="0.2">
      <c r="C93" t="s">
        <v>136</v>
      </c>
      <c r="D93" s="23" t="s">
        <v>92</v>
      </c>
      <c r="E93" s="176">
        <f>Inputs!$F$60</f>
        <v>3</v>
      </c>
      <c r="F93" s="107">
        <f>SUM(H93:S93)</f>
        <v>-4500</v>
      </c>
      <c r="H93" s="160">
        <v>0</v>
      </c>
      <c r="I93" s="191">
        <v>-750</v>
      </c>
      <c r="J93" s="28">
        <f>-MIN(J$91,$E$92/$E$93)</f>
        <v>-1500</v>
      </c>
      <c r="K93" s="28">
        <f t="shared" ref="K93:L93" si="81">-MIN(K$91,$E$92/$E$93)</f>
        <v>-1500</v>
      </c>
      <c r="L93" s="28">
        <f t="shared" si="81"/>
        <v>-750</v>
      </c>
      <c r="M93" s="160">
        <v>0</v>
      </c>
      <c r="N93" s="160">
        <v>0</v>
      </c>
      <c r="O93" s="160">
        <v>0</v>
      </c>
      <c r="P93" s="160">
        <v>0</v>
      </c>
      <c r="Q93" s="160">
        <v>0</v>
      </c>
      <c r="R93" s="160">
        <v>0</v>
      </c>
      <c r="S93" s="160">
        <v>0</v>
      </c>
      <c r="U93" s="160"/>
      <c r="V93" s="160"/>
    </row>
    <row r="94" spans="1:22" x14ac:dyDescent="0.2">
      <c r="C94" s="42" t="s">
        <v>137</v>
      </c>
      <c r="D94" s="43" t="s">
        <v>92</v>
      </c>
      <c r="E94" s="136"/>
      <c r="F94" s="126"/>
      <c r="G94" s="98">
        <v>0</v>
      </c>
      <c r="H94" s="98">
        <f>SUM(H91:H93)</f>
        <v>0</v>
      </c>
      <c r="I94" s="98">
        <f t="shared" ref="I94" si="82">SUM(I91:I93)</f>
        <v>3750</v>
      </c>
      <c r="J94" s="98">
        <f t="shared" ref="J94" si="83">SUM(J91:J93)</f>
        <v>2250</v>
      </c>
      <c r="K94" s="98">
        <f t="shared" ref="K94" si="84">SUM(K91:K93)</f>
        <v>750</v>
      </c>
      <c r="L94" s="98">
        <f t="shared" ref="L94:S94" si="85">SUM(L91:L93)</f>
        <v>0</v>
      </c>
      <c r="M94" s="98">
        <f t="shared" si="85"/>
        <v>0</v>
      </c>
      <c r="N94" s="98">
        <f t="shared" si="85"/>
        <v>0</v>
      </c>
      <c r="O94" s="98">
        <f t="shared" si="85"/>
        <v>0</v>
      </c>
      <c r="P94" s="98">
        <f t="shared" si="85"/>
        <v>0</v>
      </c>
      <c r="Q94" s="98">
        <f t="shared" si="85"/>
        <v>0</v>
      </c>
      <c r="R94" s="98">
        <f t="shared" si="85"/>
        <v>0</v>
      </c>
      <c r="S94" s="98">
        <f t="shared" si="85"/>
        <v>0</v>
      </c>
      <c r="U94" s="19"/>
      <c r="V94" s="19"/>
    </row>
    <row r="95" spans="1:22" x14ac:dyDescent="0.2">
      <c r="C95" s="137"/>
      <c r="D95" s="23"/>
      <c r="F95" s="107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U95" s="28"/>
      <c r="V95" s="28"/>
    </row>
    <row r="96" spans="1:22" x14ac:dyDescent="0.2">
      <c r="A96" s="15" t="s">
        <v>138</v>
      </c>
      <c r="B96" s="15"/>
      <c r="C96" s="141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U96" s="36"/>
      <c r="V96" s="36"/>
    </row>
    <row r="97" spans="2:22" outlineLevel="1" x14ac:dyDescent="0.2">
      <c r="C97" s="137"/>
      <c r="F97" s="27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U97" s="28"/>
      <c r="V97" s="28"/>
    </row>
    <row r="98" spans="2:22" outlineLevel="1" x14ac:dyDescent="0.2">
      <c r="B98" s="20" t="s">
        <v>139</v>
      </c>
      <c r="C98" s="137"/>
      <c r="F98" s="27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U98" s="28"/>
      <c r="V98" s="28"/>
    </row>
    <row r="99" spans="2:22" outlineLevel="1" x14ac:dyDescent="0.2">
      <c r="C99" s="137" t="s">
        <v>140</v>
      </c>
      <c r="D99" s="23" t="s">
        <v>50</v>
      </c>
      <c r="F99" s="27"/>
      <c r="H99" s="160">
        <v>0</v>
      </c>
      <c r="I99" s="160">
        <v>0</v>
      </c>
      <c r="J99" s="118">
        <f>SUMIFS(INDEX(_STForecast_M_Data,MATCH('Consolidated Forecast (A)'!$C100,_STForecast_M_Labels,0),0),_STForecast_M_YearEnd,'Consolidated Forecast (A)'!J$5)</f>
        <v>16</v>
      </c>
      <c r="K99" s="118">
        <f>SUMIFS(INDEX(_STForecast_M_Data,MATCH('Consolidated Forecast (A)'!$C100,_STForecast_M_Labels,0),0),_STForecast_M_YearEnd,'Consolidated Forecast (A)'!K$5)</f>
        <v>16</v>
      </c>
      <c r="L99" s="118">
        <f>SUMIFS(INDEX(_STForecast_M_Data,MATCH('Consolidated Forecast (A)'!$C100,_STForecast_M_Labels,0),0),_STForecast_M_YearEnd,'Consolidated Forecast (A)'!L$5)</f>
        <v>18</v>
      </c>
      <c r="M99" s="145"/>
      <c r="N99" s="145"/>
      <c r="O99" s="145"/>
      <c r="P99" s="145"/>
      <c r="Q99" s="145"/>
      <c r="R99" s="145"/>
      <c r="S99" s="145"/>
      <c r="U99" s="160">
        <v>0</v>
      </c>
      <c r="V99" s="160">
        <f>SUMIFS(INDEX(_STForecast_M_Data,MATCH('Consolidated Forecast (A)'!$C99,_STForecast_M_Labels,0),0),_STForecast_M_YearEnd,'Consolidated Forecast (A)'!V$5)</f>
        <v>0</v>
      </c>
    </row>
    <row r="100" spans="2:22" outlineLevel="1" x14ac:dyDescent="0.2">
      <c r="C100" s="137" t="s">
        <v>141</v>
      </c>
      <c r="D100" s="23" t="s">
        <v>50</v>
      </c>
      <c r="F100" s="27"/>
      <c r="H100" s="160">
        <v>0</v>
      </c>
      <c r="I100" s="160">
        <v>0</v>
      </c>
      <c r="J100" s="118">
        <f>SUMIFS(INDEX(_STForecast_M_Data,MATCH('Consolidated Forecast (A)'!$C99,_STForecast_M_Labels,0),0),_STForecast_M_MonthEnd,'Consolidated Forecast (A)'!J$5)</f>
        <v>44</v>
      </c>
      <c r="K100" s="118">
        <f>SUMIFS(INDEX(_STForecast_M_Data,MATCH('Consolidated Forecast (A)'!$C99,_STForecast_M_Labels,0),0),_STForecast_M_MonthEnd,'Consolidated Forecast (A)'!K$5)</f>
        <v>60</v>
      </c>
      <c r="L100" s="118">
        <f>SUMIFS(INDEX(_STForecast_M_Data,MATCH('Consolidated Forecast (A)'!$C99,_STForecast_M_Labels,0),0),_STForecast_M_MonthEnd,'Consolidated Forecast (A)'!L$5)</f>
        <v>78</v>
      </c>
      <c r="M100" s="145"/>
      <c r="N100" s="145"/>
      <c r="O100" s="145"/>
      <c r="P100" s="145"/>
      <c r="Q100" s="145"/>
      <c r="R100" s="145"/>
      <c r="S100" s="145"/>
      <c r="U100" s="160">
        <v>0</v>
      </c>
      <c r="V100" s="160">
        <f>SUMIFS(INDEX(_STForecast_M_Data,MATCH('Consolidated Forecast (A)'!$C100,_STForecast_M_Labels,0),0),_STForecast_M_YearEnd,'Consolidated Forecast (A)'!V$5)</f>
        <v>0</v>
      </c>
    </row>
    <row r="101" spans="2:22" outlineLevel="1" x14ac:dyDescent="0.2">
      <c r="C101" s="137"/>
      <c r="F101" s="27"/>
      <c r="H101" s="117"/>
      <c r="I101" s="117"/>
      <c r="J101" s="117"/>
      <c r="K101" s="117"/>
      <c r="L101" s="117"/>
      <c r="M101" s="154"/>
      <c r="N101" s="154"/>
      <c r="O101" s="154"/>
      <c r="P101" s="154"/>
      <c r="Q101" s="154"/>
      <c r="R101" s="154"/>
      <c r="S101" s="154"/>
      <c r="U101" s="117"/>
      <c r="V101" s="117"/>
    </row>
    <row r="102" spans="2:22" outlineLevel="1" x14ac:dyDescent="0.2">
      <c r="B102" s="20" t="s">
        <v>142</v>
      </c>
      <c r="C102" s="137"/>
      <c r="F102" s="27"/>
      <c r="H102" s="117"/>
      <c r="I102" s="117"/>
      <c r="J102" s="117"/>
      <c r="K102" s="117"/>
      <c r="L102" s="117"/>
      <c r="M102" s="154"/>
      <c r="N102" s="154"/>
      <c r="O102" s="154"/>
      <c r="P102" s="154"/>
      <c r="Q102" s="154"/>
      <c r="R102" s="154"/>
      <c r="S102" s="154"/>
      <c r="U102" s="117"/>
      <c r="V102" s="117"/>
    </row>
    <row r="103" spans="2:22" outlineLevel="1" x14ac:dyDescent="0.2">
      <c r="C103" s="137" t="s">
        <v>116</v>
      </c>
      <c r="D103" s="23" t="s">
        <v>92</v>
      </c>
      <c r="E103" s="123"/>
      <c r="F103" s="107">
        <f>SUM(H103:S103)</f>
        <v>40597.772737847088</v>
      </c>
      <c r="H103" s="118">
        <f>SUMIFS(INDEX(_Hist_M_Data,MATCH('Consolidated Forecast (A)'!$C103,_Hist_M_Labels,0),0),_Hist_M_YearEnd,'Consolidated Forecast (A)'!H$5)</f>
        <v>2703.3604800000003</v>
      </c>
      <c r="I103" s="118">
        <f>SUMIFS(INDEX(_Hist_M_Data,MATCH('Consolidated Forecast (A)'!$C103,_Hist_M_Labels,0),0),_Hist_M_YearEnd,'Consolidated Forecast (A)'!I$5)</f>
        <v>5029.6521400000001</v>
      </c>
      <c r="J103" s="118">
        <f>SUMIFS(INDEX(_STForecast_M_Data,MATCH('Consolidated Forecast (A)'!$C103,_STForecast_M_Labels,0),0),_STForecast_M_YearEnd,'Consolidated Forecast (A)'!J$5)</f>
        <v>7211</v>
      </c>
      <c r="K103" s="118">
        <f>SUMIFS(INDEX(_STForecast_M_Data,MATCH('Consolidated Forecast (A)'!$C103,_STForecast_M_Labels,0),0),_STForecast_M_YearEnd,'Consolidated Forecast (A)'!K$5)</f>
        <v>11143.955324937264</v>
      </c>
      <c r="L103" s="118">
        <f>SUMIFS(INDEX(_STForecast_M_Data,MATCH('Consolidated Forecast (A)'!$C103,_STForecast_M_Labels,0),0),_STForecast_M_YearEnd,'Consolidated Forecast (A)'!L$5)</f>
        <v>14509.804792909828</v>
      </c>
      <c r="M103" s="145"/>
      <c r="N103" s="145"/>
      <c r="O103" s="145"/>
      <c r="P103" s="145"/>
      <c r="Q103" s="145"/>
      <c r="R103" s="145"/>
      <c r="S103" s="145"/>
      <c r="U103" s="118">
        <f>SUMIFS(INDEX(_Hist_M_Data,MATCH('Consolidated Forecast (A)'!$C103,_Hist_M_Labels,0),0),_Hist_M_YearEnd,'Consolidated Forecast (A)'!U$5)</f>
        <v>5029.6521400000001</v>
      </c>
      <c r="V103" s="118">
        <f>SUMIFS(INDEX(_STForecast_M_Data,MATCH('Consolidated Forecast (A)'!$C103,_STForecast_M_Labels,0),0),_STForecast_M_YearEnd,'Consolidated Forecast (A)'!V$5)</f>
        <v>0</v>
      </c>
    </row>
    <row r="104" spans="2:22" outlineLevel="1" x14ac:dyDescent="0.2">
      <c r="C104" s="137" t="s">
        <v>117</v>
      </c>
      <c r="D104" s="23" t="s">
        <v>92</v>
      </c>
      <c r="E104" s="123"/>
      <c r="F104" s="107">
        <f>SUM(H104:S104)</f>
        <v>7577.0927173829923</v>
      </c>
      <c r="H104" s="118">
        <f>SUMIFS(INDEX(_Hist_M_Data,MATCH('Consolidated Forecast (A)'!$C104,_Hist_M_Labels,0),0),_Hist_M_YearEnd,'Consolidated Forecast (A)'!H$5)</f>
        <v>126.66148999999999</v>
      </c>
      <c r="I104" s="118">
        <f>SUMIFS(INDEX(_Hist_M_Data,MATCH('Consolidated Forecast (A)'!$C104,_Hist_M_Labels,0),0),_Hist_M_YearEnd,'Consolidated Forecast (A)'!I$5)</f>
        <v>212.78763000000004</v>
      </c>
      <c r="J104" s="118">
        <f>SUMIFS(INDEX(_STForecast_M_Data,MATCH('Consolidated Forecast (A)'!$C104,_STForecast_M_Labels,0),0),_STForecast_M_YearEnd,'Consolidated Forecast (A)'!J$5)</f>
        <v>1587</v>
      </c>
      <c r="K104" s="118">
        <f>SUMIFS(INDEX(_STForecast_M_Data,MATCH('Consolidated Forecast (A)'!$C104,_STForecast_M_Labels,0),0),_STForecast_M_YearEnd,'Consolidated Forecast (A)'!K$5)</f>
        <v>2455.0318275159452</v>
      </c>
      <c r="L104" s="118">
        <f>SUMIFS(INDEX(_STForecast_M_Data,MATCH('Consolidated Forecast (A)'!$C104,_STForecast_M_Labels,0),0),_STForecast_M_YearEnd,'Consolidated Forecast (A)'!L$5)</f>
        <v>3195.6117698670469</v>
      </c>
      <c r="M104" s="145"/>
      <c r="N104" s="145"/>
      <c r="O104" s="145"/>
      <c r="P104" s="145"/>
      <c r="Q104" s="145"/>
      <c r="R104" s="145"/>
      <c r="S104" s="145"/>
      <c r="U104" s="118">
        <f>SUMIFS(INDEX(_Hist_M_Data,MATCH('Consolidated Forecast (A)'!$C104,_Hist_M_Labels,0),0),_Hist_M_YearEnd,'Consolidated Forecast (A)'!U$5)</f>
        <v>212.78763000000004</v>
      </c>
      <c r="V104" s="118">
        <f>SUMIFS(INDEX(_STForecast_M_Data,MATCH('Consolidated Forecast (A)'!$C104,_STForecast_M_Labels,0),0),_STForecast_M_YearEnd,'Consolidated Forecast (A)'!V$5)</f>
        <v>0</v>
      </c>
    </row>
    <row r="105" spans="2:22" outlineLevel="2" x14ac:dyDescent="0.2">
      <c r="C105" s="137"/>
      <c r="F105" s="107"/>
      <c r="H105" s="114"/>
      <c r="I105" s="114"/>
      <c r="J105" s="114"/>
      <c r="K105" s="114"/>
      <c r="L105" s="114"/>
      <c r="M105" s="145"/>
      <c r="N105" s="145"/>
      <c r="O105" s="145"/>
      <c r="P105" s="145"/>
      <c r="Q105" s="145"/>
      <c r="R105" s="145"/>
      <c r="S105" s="145"/>
      <c r="U105" s="114"/>
      <c r="V105" s="114"/>
    </row>
    <row r="106" spans="2:22" outlineLevel="2" x14ac:dyDescent="0.2">
      <c r="C106" s="137" t="s">
        <v>143</v>
      </c>
      <c r="D106" s="23" t="s">
        <v>92</v>
      </c>
      <c r="E106" s="123"/>
      <c r="F106" s="107">
        <f>SUM(H106:S106)</f>
        <v>1026.6330399999999</v>
      </c>
      <c r="H106" s="118">
        <f>SUMIFS(INDEX(_Hist_M_Data,MATCH('Consolidated Forecast (A)'!$C106,_Hist_M_Labels,0),0),_Hist_M_YearEnd,'Consolidated Forecast (A)'!H$5)</f>
        <v>21.80688</v>
      </c>
      <c r="I106" s="118">
        <f>SUMIFS(INDEX(_Hist_M_Data,MATCH('Consolidated Forecast (A)'!$C106,_Hist_M_Labels,0),0),_Hist_M_YearEnd,'Consolidated Forecast (A)'!I$5)</f>
        <v>108.82616</v>
      </c>
      <c r="J106" s="118">
        <f>SUMIFS(INDEX(_STForecast_M_Data,MATCH('Consolidated Forecast (A)'!$C106,_STForecast_M_Labels,0),0),_STForecast_M_YearEnd,'Consolidated Forecast (A)'!J$5)</f>
        <v>896</v>
      </c>
      <c r="K106" s="160">
        <v>0</v>
      </c>
      <c r="L106" s="160">
        <v>0</v>
      </c>
      <c r="M106" s="160"/>
      <c r="N106" s="160"/>
      <c r="O106" s="160"/>
      <c r="P106" s="160"/>
      <c r="Q106" s="160"/>
      <c r="R106" s="160"/>
      <c r="S106" s="160"/>
      <c r="U106" s="118">
        <f>SUMIFS(INDEX(_Hist_M_Data,MATCH('Consolidated Forecast (A)'!$C106,_Hist_M_Labels,0),0),_Hist_M_YearEnd,'Consolidated Forecast (A)'!U$5)</f>
        <v>108.82616</v>
      </c>
      <c r="V106" s="118">
        <f>SUMIFS(INDEX(_STForecast_M_Data,MATCH('Consolidated Forecast (A)'!$C106,_STForecast_M_Labels,0),0),_STForecast_M_YearEnd,'Consolidated Forecast (A)'!V$5)</f>
        <v>0</v>
      </c>
    </row>
    <row r="107" spans="2:22" outlineLevel="2" x14ac:dyDescent="0.2">
      <c r="C107" s="137" t="s">
        <v>144</v>
      </c>
      <c r="D107" s="23" t="s">
        <v>92</v>
      </c>
      <c r="E107" s="123"/>
      <c r="F107" s="107">
        <f t="shared" ref="F107:F113" si="86">SUM(H107:S107)</f>
        <v>183.042</v>
      </c>
      <c r="H107" s="118">
        <f>SUMIFS(INDEX(_Hist_M_Data,MATCH('Consolidated Forecast (A)'!$C107,_Hist_M_Labels,0),0),_Hist_M_YearEnd,'Consolidated Forecast (A)'!H$5)</f>
        <v>0</v>
      </c>
      <c r="I107" s="118">
        <f>SUMIFS(INDEX(_Hist_M_Data,MATCH('Consolidated Forecast (A)'!$C107,_Hist_M_Labels,0),0),_Hist_M_YearEnd,'Consolidated Forecast (A)'!I$5)</f>
        <v>81.042000000000002</v>
      </c>
      <c r="J107" s="118">
        <f>SUMIFS(INDEX(_STForecast_M_Data,MATCH('Consolidated Forecast (A)'!$C107,_STForecast_M_Labels,0),0),_STForecast_M_YearEnd,'Consolidated Forecast (A)'!J$5)</f>
        <v>102</v>
      </c>
      <c r="K107" s="160">
        <v>0</v>
      </c>
      <c r="L107" s="160">
        <v>0</v>
      </c>
      <c r="M107" s="160"/>
      <c r="N107" s="160"/>
      <c r="O107" s="160"/>
      <c r="P107" s="160"/>
      <c r="Q107" s="160"/>
      <c r="R107" s="160"/>
      <c r="S107" s="160"/>
      <c r="U107" s="118"/>
      <c r="V107" s="118"/>
    </row>
    <row r="108" spans="2:22" outlineLevel="2" x14ac:dyDescent="0.2">
      <c r="C108" s="137" t="s">
        <v>145</v>
      </c>
      <c r="D108" s="23" t="s">
        <v>92</v>
      </c>
      <c r="E108" s="123"/>
      <c r="F108" s="107"/>
      <c r="H108" s="118">
        <f>SUMIFS(INDEX(_Hist_M_Data,MATCH('Consolidated Forecast (A)'!$C108,_Hist_M_Labels,0),0),_Hist_M_YearEnd,'Consolidated Forecast (A)'!H$5)</f>
        <v>423.80519000000004</v>
      </c>
      <c r="I108" s="118">
        <f>SUMIFS(INDEX(_Hist_M_Data,MATCH('Consolidated Forecast (A)'!$C108,_Hist_M_Labels,0),0),_Hist_M_YearEnd,'Consolidated Forecast (A)'!I$5)</f>
        <v>39.052870000000006</v>
      </c>
      <c r="J108" s="160">
        <v>0</v>
      </c>
      <c r="K108" s="160">
        <v>0</v>
      </c>
      <c r="L108" s="160">
        <v>0</v>
      </c>
      <c r="M108" s="160"/>
      <c r="N108" s="160"/>
      <c r="O108" s="160"/>
      <c r="P108" s="160"/>
      <c r="Q108" s="160"/>
      <c r="R108" s="160"/>
      <c r="S108" s="160"/>
      <c r="U108" s="118"/>
      <c r="V108" s="118"/>
    </row>
    <row r="109" spans="2:22" outlineLevel="2" x14ac:dyDescent="0.2">
      <c r="C109" s="137" t="s">
        <v>146</v>
      </c>
      <c r="D109" s="23" t="s">
        <v>92</v>
      </c>
      <c r="E109" s="123"/>
      <c r="F109" s="107">
        <f t="shared" si="86"/>
        <v>251.51189999999997</v>
      </c>
      <c r="H109" s="118">
        <f>SUMIFS(INDEX(_Hist_M_Data,MATCH('Consolidated Forecast (A)'!$C109,_Hist_M_Labels,0),0),_Hist_M_YearEnd,'Consolidated Forecast (A)'!H$5)</f>
        <v>0</v>
      </c>
      <c r="I109" s="118">
        <f>SUMIFS(INDEX(_Hist_M_Data,MATCH('Consolidated Forecast (A)'!$C109,_Hist_M_Labels,0),0),_Hist_M_YearEnd,'Consolidated Forecast (A)'!I$5)</f>
        <v>169.01189999999997</v>
      </c>
      <c r="J109" s="118">
        <f>SUMIFS(INDEX(_STForecast_M_Data,MATCH('Consolidated Forecast (A)'!$C109,_STForecast_M_Labels,0),0),_STForecast_M_YearEnd,'Consolidated Forecast (A)'!J$5)</f>
        <v>82.5</v>
      </c>
      <c r="K109" s="160">
        <v>0</v>
      </c>
      <c r="L109" s="160">
        <v>0</v>
      </c>
      <c r="M109" s="160"/>
      <c r="N109" s="160"/>
      <c r="O109" s="160"/>
      <c r="P109" s="160"/>
      <c r="Q109" s="160"/>
      <c r="R109" s="160"/>
      <c r="S109" s="160"/>
      <c r="U109" s="118"/>
      <c r="V109" s="118"/>
    </row>
    <row r="110" spans="2:22" outlineLevel="2" x14ac:dyDescent="0.2">
      <c r="C110" s="137" t="s">
        <v>147</v>
      </c>
      <c r="D110" s="23" t="s">
        <v>92</v>
      </c>
      <c r="E110" s="123"/>
      <c r="F110" s="107">
        <f t="shared" si="86"/>
        <v>97.986999999999995</v>
      </c>
      <c r="H110" s="118">
        <f>SUMIFS(INDEX(_Hist_M_Data,MATCH('Consolidated Forecast (A)'!$C110,_Hist_M_Labels,0),0),_Hist_M_YearEnd,'Consolidated Forecast (A)'!H$5)</f>
        <v>0</v>
      </c>
      <c r="I110" s="118">
        <f>SUMIFS(INDEX(_Hist_M_Data,MATCH('Consolidated Forecast (A)'!$C110,_Hist_M_Labels,0),0),_Hist_M_YearEnd,'Consolidated Forecast (A)'!I$5)</f>
        <v>17.987000000000002</v>
      </c>
      <c r="J110" s="118">
        <f>SUMIFS(INDEX(_STForecast_M_Data,MATCH('Consolidated Forecast (A)'!$C110,_STForecast_M_Labels,0),0),_STForecast_M_YearEnd,'Consolidated Forecast (A)'!J$5)</f>
        <v>80</v>
      </c>
      <c r="K110" s="160">
        <v>0</v>
      </c>
      <c r="L110" s="160">
        <v>0</v>
      </c>
      <c r="M110" s="160"/>
      <c r="N110" s="160"/>
      <c r="O110" s="160"/>
      <c r="P110" s="160"/>
      <c r="Q110" s="160"/>
      <c r="R110" s="160"/>
      <c r="S110" s="160"/>
      <c r="U110" s="118"/>
      <c r="V110" s="118"/>
    </row>
    <row r="111" spans="2:22" outlineLevel="2" x14ac:dyDescent="0.2">
      <c r="C111" s="137" t="s">
        <v>148</v>
      </c>
      <c r="D111" s="23" t="s">
        <v>92</v>
      </c>
      <c r="E111" s="123"/>
      <c r="F111" s="107">
        <f t="shared" si="86"/>
        <v>225.23652999999999</v>
      </c>
      <c r="H111" s="118">
        <f>SUMIFS(INDEX(_Hist_M_Data,MATCH('Consolidated Forecast (A)'!$C111,_Hist_M_Labels,0),0),_Hist_M_YearEnd,'Consolidated Forecast (A)'!H$5)</f>
        <v>0</v>
      </c>
      <c r="I111" s="118">
        <f>SUMIFS(INDEX(_Hist_M_Data,MATCH('Consolidated Forecast (A)'!$C111,_Hist_M_Labels,0),0),_Hist_M_YearEnd,'Consolidated Forecast (A)'!I$5)</f>
        <v>45.236529999999995</v>
      </c>
      <c r="J111" s="118">
        <f>SUMIFS(INDEX(_STForecast_M_Data,MATCH('Consolidated Forecast (A)'!$C111,_STForecast_M_Labels,0),0),_STForecast_M_YearEnd,'Consolidated Forecast (A)'!J$5)</f>
        <v>180</v>
      </c>
      <c r="K111" s="160">
        <v>0</v>
      </c>
      <c r="L111" s="160">
        <v>0</v>
      </c>
      <c r="M111" s="160"/>
      <c r="N111" s="160"/>
      <c r="O111" s="160"/>
      <c r="P111" s="160"/>
      <c r="Q111" s="160"/>
      <c r="R111" s="160"/>
      <c r="S111" s="160"/>
      <c r="U111" s="118"/>
      <c r="V111" s="118"/>
    </row>
    <row r="112" spans="2:22" outlineLevel="2" x14ac:dyDescent="0.2">
      <c r="C112" s="137" t="s">
        <v>149</v>
      </c>
      <c r="D112" s="23" t="s">
        <v>92</v>
      </c>
      <c r="E112" s="123"/>
      <c r="F112" s="107">
        <f t="shared" si="86"/>
        <v>240</v>
      </c>
      <c r="H112" s="160">
        <v>0</v>
      </c>
      <c r="I112" s="160">
        <v>0</v>
      </c>
      <c r="J112" s="118">
        <f>SUMIFS(INDEX(_STForecast_M_Data,MATCH('Consolidated Forecast (A)'!$C112,_STForecast_M_Labels,0),0),_STForecast_M_YearEnd,'Consolidated Forecast (A)'!J$5)</f>
        <v>240</v>
      </c>
      <c r="K112" s="160">
        <v>0</v>
      </c>
      <c r="L112" s="160">
        <v>0</v>
      </c>
      <c r="M112" s="160"/>
      <c r="N112" s="160"/>
      <c r="O112" s="160"/>
      <c r="P112" s="160"/>
      <c r="Q112" s="160"/>
      <c r="R112" s="160"/>
      <c r="S112" s="160"/>
      <c r="U112" s="118"/>
      <c r="V112" s="118"/>
    </row>
    <row r="113" spans="3:22" outlineLevel="2" x14ac:dyDescent="0.2">
      <c r="C113" s="137" t="s">
        <v>150</v>
      </c>
      <c r="D113" s="23" t="s">
        <v>92</v>
      </c>
      <c r="E113" s="123"/>
      <c r="F113" s="107">
        <f t="shared" si="86"/>
        <v>142</v>
      </c>
      <c r="H113" s="118">
        <f>SUMIFS(INDEX(_Hist_M_Data,MATCH('Consolidated Forecast (A)'!$C113,_Hist_M_Labels,0),0),_Hist_M_YearEnd,'Consolidated Forecast (A)'!H$5)</f>
        <v>109</v>
      </c>
      <c r="I113" s="118">
        <f>SUMIFS(INDEX(_Hist_M_Data,MATCH('Consolidated Forecast (A)'!$C113,_Hist_M_Labels,0),0),_Hist_M_YearEnd,'Consolidated Forecast (A)'!I$5)</f>
        <v>33</v>
      </c>
      <c r="J113" s="160">
        <v>0</v>
      </c>
      <c r="K113" s="160">
        <v>0</v>
      </c>
      <c r="L113" s="160">
        <v>0</v>
      </c>
      <c r="M113" s="160"/>
      <c r="N113" s="160"/>
      <c r="O113" s="160"/>
      <c r="P113" s="160"/>
      <c r="Q113" s="160"/>
      <c r="R113" s="160"/>
      <c r="S113" s="160"/>
      <c r="U113" s="118"/>
      <c r="V113" s="118"/>
    </row>
    <row r="114" spans="3:22" outlineLevel="2" x14ac:dyDescent="0.2">
      <c r="C114" s="137" t="s">
        <v>151</v>
      </c>
      <c r="D114" s="23" t="s">
        <v>92</v>
      </c>
      <c r="E114" s="123"/>
      <c r="F114" s="107">
        <f>SUM(H114:S114)</f>
        <v>279.51359000000002</v>
      </c>
      <c r="H114" s="118">
        <f>SUMIFS(INDEX(_Hist_M_Data,MATCH('Consolidated Forecast (A)'!$C114,_Hist_M_Labels,0),0),_Hist_M_YearEnd,'Consolidated Forecast (A)'!H$5)</f>
        <v>176.62558999999999</v>
      </c>
      <c r="I114" s="118">
        <f>SUMIFS(INDEX(_Hist_M_Data,MATCH('Consolidated Forecast (A)'!$C114,_Hist_M_Labels,0),0),_Hist_M_YearEnd,'Consolidated Forecast (A)'!I$5)</f>
        <v>102.88800000000001</v>
      </c>
      <c r="J114" s="160">
        <v>0</v>
      </c>
      <c r="K114" s="160">
        <v>0</v>
      </c>
      <c r="L114" s="160">
        <v>0</v>
      </c>
      <c r="M114" s="160"/>
      <c r="N114" s="160"/>
      <c r="O114" s="160"/>
      <c r="P114" s="160"/>
      <c r="Q114" s="160"/>
      <c r="R114" s="160"/>
      <c r="S114" s="160"/>
      <c r="U114" s="118">
        <f>SUMIFS(INDEX(_Hist_M_Data,MATCH('Consolidated Forecast (A)'!$C114,_Hist_M_Labels,0),0),_Hist_M_YearEnd,'Consolidated Forecast (A)'!U$5)</f>
        <v>102.88800000000001</v>
      </c>
      <c r="V114" s="118" t="e">
        <f>SUMIFS(INDEX(_STForecast_M_Data,MATCH('Consolidated Forecast (A)'!$C114,_STForecast_M_Labels,0),0),_STForecast_M_YearEnd,'Consolidated Forecast (A)'!V$5)</f>
        <v>#N/A</v>
      </c>
    </row>
    <row r="115" spans="3:22" outlineLevel="2" x14ac:dyDescent="0.2">
      <c r="C115" s="137" t="s">
        <v>152</v>
      </c>
      <c r="D115" s="23"/>
      <c r="E115" s="123"/>
      <c r="F115" s="107">
        <f>SUM(H115:S115)</f>
        <v>220.667</v>
      </c>
      <c r="H115" s="118">
        <f>SUMIFS(INDEX(_Hist_M_Data,MATCH('Consolidated Forecast (A)'!$C115,_Hist_M_Labels,0),0),_Hist_M_YearEnd,'Consolidated Forecast (A)'!H$5)</f>
        <v>0</v>
      </c>
      <c r="I115" s="118">
        <f>SUMIFS(INDEX(_Hist_M_Data,MATCH('Consolidated Forecast (A)'!$C115,_Hist_M_Labels,0),0),_Hist_M_YearEnd,'Consolidated Forecast (A)'!I$5)</f>
        <v>220.667</v>
      </c>
      <c r="J115" s="160">
        <v>0</v>
      </c>
      <c r="K115" s="160">
        <v>0</v>
      </c>
      <c r="L115" s="160">
        <v>0</v>
      </c>
      <c r="M115" s="160"/>
      <c r="N115" s="160"/>
      <c r="O115" s="160"/>
      <c r="P115" s="160"/>
      <c r="Q115" s="160"/>
      <c r="R115" s="160"/>
      <c r="S115" s="160"/>
      <c r="U115" s="118"/>
      <c r="V115" s="118"/>
    </row>
    <row r="116" spans="3:22" outlineLevel="1" x14ac:dyDescent="0.2">
      <c r="C116" s="138" t="s">
        <v>118</v>
      </c>
      <c r="D116" s="43" t="s">
        <v>92</v>
      </c>
      <c r="E116" s="42"/>
      <c r="F116" s="108">
        <f>SUM(H116:S116)</f>
        <v>9538.1391494617747</v>
      </c>
      <c r="G116" s="42"/>
      <c r="H116" s="115">
        <f>SUM(H106:H115)</f>
        <v>731.23766000000001</v>
      </c>
      <c r="I116" s="115">
        <f t="shared" ref="I116:J116" si="87">SUM(I106:I115)</f>
        <v>817.71145999999999</v>
      </c>
      <c r="J116" s="115">
        <f t="shared" si="87"/>
        <v>1580.5</v>
      </c>
      <c r="K116" s="243">
        <f>SUMIFS(INDEX(_STForecast_M_Data,MATCH('Consolidated Forecast (A)'!$C116,_STForecast_M_Labels,0),0),_STForecast_M_YearEnd,'Consolidated Forecast (A)'!K$5)</f>
        <v>2781.238831234316</v>
      </c>
      <c r="L116" s="243">
        <f>SUMIFS(INDEX(_STForecast_M_Data,MATCH('Consolidated Forecast (A)'!$C116,_STForecast_M_Labels,0),0),_STForecast_M_YearEnd,'Consolidated Forecast (A)'!L$5)</f>
        <v>3627.4511982274571</v>
      </c>
      <c r="M116" s="154"/>
      <c r="N116" s="154"/>
      <c r="O116" s="154"/>
      <c r="P116" s="154"/>
      <c r="Q116" s="154"/>
      <c r="R116" s="154"/>
      <c r="S116" s="154"/>
      <c r="U116" s="115">
        <f>SUM(U106:U114)</f>
        <v>211.71415999999999</v>
      </c>
      <c r="V116" s="115" t="e">
        <f>SUM(V106:V114)</f>
        <v>#N/A</v>
      </c>
    </row>
    <row r="117" spans="3:22" outlineLevel="2" x14ac:dyDescent="0.2">
      <c r="C117" s="137"/>
      <c r="F117" s="109"/>
      <c r="H117" s="114"/>
      <c r="I117" s="114"/>
      <c r="J117" s="114"/>
      <c r="K117" s="114"/>
      <c r="L117" s="114"/>
      <c r="M117" s="154"/>
      <c r="N117" s="154"/>
      <c r="O117" s="154"/>
      <c r="P117" s="154"/>
      <c r="Q117" s="154"/>
      <c r="R117" s="154"/>
      <c r="S117" s="154"/>
      <c r="U117" s="114"/>
      <c r="V117" s="114"/>
    </row>
    <row r="118" spans="3:22" outlineLevel="2" x14ac:dyDescent="0.2">
      <c r="C118" s="137" t="s">
        <v>153</v>
      </c>
      <c r="D118" s="23" t="s">
        <v>92</v>
      </c>
      <c r="E118" s="123"/>
      <c r="F118" s="107">
        <f>SUM(H118:S118)</f>
        <v>3938.3400035266304</v>
      </c>
      <c r="H118" s="118">
        <f>SUMIFS(INDEX(_Hist_M_Data,MATCH('Consolidated Forecast (A)'!$C118,_Hist_M_Labels,0),0),_Hist_M_YearEnd,'Consolidated Forecast (A)'!H$5)</f>
        <v>118.74592999999999</v>
      </c>
      <c r="I118" s="118">
        <f>SUMIFS(INDEX(_Hist_M_Data,MATCH('Consolidated Forecast (A)'!$C118,_Hist_M_Labels,0),0),_Hist_M_YearEnd,'Consolidated Forecast (A)'!I$5)</f>
        <v>334.86851000000001</v>
      </c>
      <c r="J118" s="118">
        <f>SUMIFS(INDEX(_STForecast_M_Data,MATCH('Consolidated Forecast (A)'!$C118,_STForecast_M_Labels,0),0),_STForecast_M_YearEnd,'Consolidated Forecast (A)'!J$5)</f>
        <v>762.28571428571433</v>
      </c>
      <c r="K118" s="118">
        <f>SUMIFS(INDEX(_STForecast_M_Data,MATCH('Consolidated Forecast (A)'!$C118,_STForecast_M_Labels,0),0),_STForecast_M_YearEnd,'Consolidated Forecast (A)'!K$5)</f>
        <v>1182.6238304015053</v>
      </c>
      <c r="L118" s="118">
        <f>SUMIFS(INDEX(_STForecast_M_Data,MATCH('Consolidated Forecast (A)'!$C118,_STForecast_M_Labels,0),0),_STForecast_M_YearEnd,'Consolidated Forecast (A)'!L$5)</f>
        <v>1539.8160188394106</v>
      </c>
      <c r="M118" s="160"/>
      <c r="N118" s="160"/>
      <c r="O118" s="160"/>
      <c r="P118" s="160"/>
      <c r="Q118" s="160"/>
      <c r="R118" s="160"/>
      <c r="S118" s="160"/>
      <c r="U118" s="118">
        <f>SUMIFS(INDEX(_Hist_M_Data,MATCH('Consolidated Forecast (A)'!$C118,_Hist_M_Labels,0),0),_Hist_M_YearEnd,'Consolidated Forecast (A)'!U$5)</f>
        <v>334.86851000000001</v>
      </c>
      <c r="V118" s="118">
        <f>SUMIFS(INDEX(_STForecast_M_Data,MATCH('Consolidated Forecast (A)'!$C118,_STForecast_M_Labels,0),0),_STForecast_M_YearEnd,'Consolidated Forecast (A)'!V$5)</f>
        <v>0</v>
      </c>
    </row>
    <row r="119" spans="3:22" outlineLevel="2" x14ac:dyDescent="0.2">
      <c r="C119" s="137" t="s">
        <v>154</v>
      </c>
      <c r="D119" s="23" t="s">
        <v>92</v>
      </c>
      <c r="E119" s="123"/>
      <c r="F119" s="107">
        <f>SUM(H119:S119)</f>
        <v>3045.1410598205912</v>
      </c>
      <c r="H119" s="118">
        <f>SUMIFS(INDEX(_Hist_M_Data,MATCH('Consolidated Forecast (A)'!$C119,_Hist_M_Labels,0),0),_Hist_M_YearEnd,'Consolidated Forecast (A)'!H$5)</f>
        <v>34.489049999999999</v>
      </c>
      <c r="I119" s="118">
        <f>SUMIFS(INDEX(_Hist_M_Data,MATCH('Consolidated Forecast (A)'!$C119,_Hist_M_Labels,0),0),_Hist_M_YearEnd,'Consolidated Forecast (A)'!I$5)</f>
        <v>29.921999999999997</v>
      </c>
      <c r="J119" s="118">
        <f>SUMIFS(INDEX(_STForecast_M_Data,MATCH('Consolidated Forecast (A)'!$C119,_STForecast_M_Labels,0),0),_STForecast_M_YearEnd,'Consolidated Forecast (A)'!J$5)</f>
        <v>840</v>
      </c>
      <c r="K119" s="118">
        <f>SUMIFS(INDEX(_STForecast_M_Data,MATCH('Consolidated Forecast (A)'!$C119,_STForecast_M_Labels,0),0),_STForecast_M_YearEnd,'Consolidated Forecast (A)'!K$5)</f>
        <v>931.57961041143881</v>
      </c>
      <c r="L119" s="118">
        <f>SUMIFS(INDEX(_STForecast_M_Data,MATCH('Consolidated Forecast (A)'!$C119,_STForecast_M_Labels,0),0),_STForecast_M_YearEnd,'Consolidated Forecast (A)'!L$5)</f>
        <v>1209.1503994091527</v>
      </c>
      <c r="M119" s="160"/>
      <c r="N119" s="160"/>
      <c r="O119" s="160"/>
      <c r="P119" s="160"/>
      <c r="Q119" s="160"/>
      <c r="R119" s="160"/>
      <c r="S119" s="160"/>
      <c r="U119" s="118">
        <f>SUMIFS(INDEX(_Hist_M_Data,MATCH('Consolidated Forecast (A)'!$C119,_Hist_M_Labels,0),0),_Hist_M_YearEnd,'Consolidated Forecast (A)'!U$5)</f>
        <v>29.921999999999997</v>
      </c>
      <c r="V119" s="118">
        <f>SUMIFS(INDEX(_STForecast_M_Data,MATCH('Consolidated Forecast (A)'!$C119,_STForecast_M_Labels,0),0),_STForecast_M_YearEnd,'Consolidated Forecast (A)'!V$5)</f>
        <v>0</v>
      </c>
    </row>
    <row r="120" spans="3:22" outlineLevel="2" x14ac:dyDescent="0.2">
      <c r="C120" s="137" t="s">
        <v>155</v>
      </c>
      <c r="D120" s="23"/>
      <c r="E120" s="123"/>
      <c r="F120" s="107">
        <f>SUM(H120:S120)</f>
        <v>408.24385000000001</v>
      </c>
      <c r="H120" s="118">
        <f>SUMIFS(INDEX(_Hist_M_Data,MATCH('Consolidated Forecast (A)'!$C120,_Hist_M_Labels,0),0),_Hist_M_YearEnd,'Consolidated Forecast (A)'!H$5)</f>
        <v>0</v>
      </c>
      <c r="I120" s="118">
        <f>SUMIFS(INDEX(_Hist_M_Data,MATCH('Consolidated Forecast (A)'!$C120,_Hist_M_Labels,0),0),_Hist_M_YearEnd,'Consolidated Forecast (A)'!I$5)</f>
        <v>108.24385000000001</v>
      </c>
      <c r="J120" s="118">
        <f>SUMIFS(INDEX(_STForecast_M_Data,MATCH('Consolidated Forecast (A)'!$C120,_STForecast_M_Labels,0),0),_STForecast_M_YearEnd,'Consolidated Forecast (A)'!J$5)</f>
        <v>300</v>
      </c>
      <c r="K120" s="118">
        <f>SUMIFS(INDEX(_STForecast_M_Data,MATCH('Consolidated Forecast (A)'!$C120,_STForecast_M_Labels,0),0),_STForecast_M_YearEnd,'Consolidated Forecast (A)'!K$5)</f>
        <v>0</v>
      </c>
      <c r="L120" s="118">
        <f>SUMIFS(INDEX(_STForecast_M_Data,MATCH('Consolidated Forecast (A)'!$C120,_STForecast_M_Labels,0),0),_STForecast_M_YearEnd,'Consolidated Forecast (A)'!L$5)</f>
        <v>0</v>
      </c>
      <c r="M120" s="160"/>
      <c r="N120" s="160"/>
      <c r="O120" s="160"/>
      <c r="P120" s="160"/>
      <c r="Q120" s="160"/>
      <c r="R120" s="160"/>
      <c r="S120" s="160"/>
      <c r="U120" s="118"/>
      <c r="V120" s="118"/>
    </row>
    <row r="121" spans="3:22" outlineLevel="1" x14ac:dyDescent="0.2">
      <c r="C121" s="138" t="s">
        <v>156</v>
      </c>
      <c r="D121" s="43" t="s">
        <v>92</v>
      </c>
      <c r="E121" s="42"/>
      <c r="F121" s="108">
        <f>SUM(I121:S121)</f>
        <v>7238.4899333472213</v>
      </c>
      <c r="G121" s="42"/>
      <c r="H121" s="115">
        <f>SUM(H118:H120)</f>
        <v>153.23497999999998</v>
      </c>
      <c r="I121" s="115">
        <f t="shared" ref="I121:L121" si="88">SUM(I118:I120)</f>
        <v>473.03436000000005</v>
      </c>
      <c r="J121" s="115">
        <f t="shared" si="88"/>
        <v>1902.2857142857142</v>
      </c>
      <c r="K121" s="115">
        <f t="shared" si="88"/>
        <v>2114.2034408129439</v>
      </c>
      <c r="L121" s="115">
        <f t="shared" si="88"/>
        <v>2748.9664182485631</v>
      </c>
      <c r="M121" s="154"/>
      <c r="N121" s="154"/>
      <c r="O121" s="154"/>
      <c r="P121" s="154"/>
      <c r="Q121" s="154"/>
      <c r="R121" s="154"/>
      <c r="S121" s="154"/>
      <c r="U121" s="115">
        <f>SUM(U118:U119)</f>
        <v>364.79051000000004</v>
      </c>
      <c r="V121" s="115">
        <f t="shared" ref="V121" si="89">SUM(V118:V119)</f>
        <v>0</v>
      </c>
    </row>
    <row r="122" spans="3:22" outlineLevel="2" x14ac:dyDescent="0.2">
      <c r="C122" s="137"/>
      <c r="F122" s="109"/>
      <c r="H122" s="124"/>
      <c r="I122" s="124"/>
      <c r="J122" s="124"/>
      <c r="K122" s="124"/>
      <c r="L122" s="124"/>
      <c r="M122" s="27"/>
      <c r="N122" s="27"/>
      <c r="O122" s="27"/>
      <c r="P122" s="27"/>
      <c r="Q122" s="27"/>
      <c r="R122" s="27"/>
      <c r="S122" s="27"/>
      <c r="U122" s="124"/>
      <c r="V122" s="124"/>
    </row>
    <row r="123" spans="3:22" outlineLevel="2" x14ac:dyDescent="0.2">
      <c r="C123" s="137" t="s">
        <v>157</v>
      </c>
      <c r="D123" s="23" t="s">
        <v>92</v>
      </c>
      <c r="E123" s="123"/>
      <c r="F123" s="107">
        <f t="shared" ref="F123:F130" si="90">SUM(H123:S123)</f>
        <v>728.08088739781567</v>
      </c>
      <c r="H123" s="118">
        <f>SUMIFS(INDEX(_Hist_M_Data,MATCH('Consolidated Forecast (A)'!$C123,_Hist_M_Labels,0),0),_Hist_M_YearEnd,'Consolidated Forecast (A)'!H$5)</f>
        <v>38.494419999999998</v>
      </c>
      <c r="I123" s="118">
        <f>SUMIFS(INDEX(_Hist_M_Data,MATCH('Consolidated Forecast (A)'!$C123,_Hist_M_Labels,0),0),_Hist_M_YearEnd,'Consolidated Forecast (A)'!I$5)</f>
        <v>178.60418000000001</v>
      </c>
      <c r="J123" s="118">
        <f>SUMIFS(INDEX(_STForecast_M_Data,MATCH('Consolidated Forecast (A)'!$C123,_STForecast_M_Labels,0),0),_STForecast_M_YearEnd,'Consolidated Forecast (A)'!J$5)</f>
        <v>144</v>
      </c>
      <c r="K123" s="118">
        <f>SUMIFS(INDEX(_STForecast_M_Data,MATCH('Consolidated Forecast (A)'!$C123,_STForecast_M_Labels,0),0),_STForecast_M_YearEnd,'Consolidated Forecast (A)'!K$5)</f>
        <v>159.69936178481805</v>
      </c>
      <c r="L123" s="118">
        <f>SUMIFS(INDEX(_STForecast_M_Data,MATCH('Consolidated Forecast (A)'!$C123,_STForecast_M_Labels,0),0),_STForecast_M_YearEnd,'Consolidated Forecast (A)'!L$5)</f>
        <v>207.28292561299759</v>
      </c>
      <c r="M123" s="160"/>
      <c r="N123" s="160"/>
      <c r="O123" s="160"/>
      <c r="P123" s="160"/>
      <c r="Q123" s="160"/>
      <c r="R123" s="160"/>
      <c r="S123" s="160"/>
      <c r="U123" s="118">
        <f>SUMIFS(INDEX(_Hist_M_Data,MATCH('Consolidated Forecast (A)'!$C123,_Hist_M_Labels,0),0),_Hist_M_YearEnd,'Consolidated Forecast (A)'!U$5)</f>
        <v>178.60418000000001</v>
      </c>
      <c r="V123" s="118">
        <f>SUMIFS(INDEX(_STForecast_M_Data,MATCH('Consolidated Forecast (A)'!$C123,_STForecast_M_Labels,0),0),_STForecast_M_YearEnd,'Consolidated Forecast (A)'!V$5)</f>
        <v>0</v>
      </c>
    </row>
    <row r="124" spans="3:22" outlineLevel="2" x14ac:dyDescent="0.2">
      <c r="C124" s="137" t="s">
        <v>158</v>
      </c>
      <c r="D124" s="23" t="s">
        <v>92</v>
      </c>
      <c r="E124" s="123"/>
      <c r="F124" s="107">
        <f t="shared" si="90"/>
        <v>3203.194346989078</v>
      </c>
      <c r="H124" s="118">
        <f>SUMIFS(INDEX(_Hist_M_Data,MATCH('Consolidated Forecast (A)'!$C124,_Hist_M_Labels,0),0),_Hist_M_YearEnd,'Consolidated Forecast (A)'!H$5)</f>
        <v>114.30790999999999</v>
      </c>
      <c r="I124" s="118">
        <f>SUMIFS(INDEX(_Hist_M_Data,MATCH('Consolidated Forecast (A)'!$C124,_Hist_M_Labels,0),0),_Hist_M_YearEnd,'Consolidated Forecast (A)'!I$5)</f>
        <v>533.97500000000002</v>
      </c>
      <c r="J124" s="118">
        <f>SUMIFS(INDEX(_STForecast_M_Data,MATCH('Consolidated Forecast (A)'!$C124,_STForecast_M_Labels,0),0),_STForecast_M_YearEnd,'Consolidated Forecast (A)'!J$5)</f>
        <v>720</v>
      </c>
      <c r="K124" s="118">
        <f>SUMIFS(INDEX(_STForecast_M_Data,MATCH('Consolidated Forecast (A)'!$C124,_STForecast_M_Labels,0),0),_STForecast_M_YearEnd,'Consolidated Forecast (A)'!K$5)</f>
        <v>798.49680892409037</v>
      </c>
      <c r="L124" s="118">
        <f>SUMIFS(INDEX(_STForecast_M_Data,MATCH('Consolidated Forecast (A)'!$C124,_STForecast_M_Labels,0),0),_STForecast_M_YearEnd,'Consolidated Forecast (A)'!L$5)</f>
        <v>1036.4146280649879</v>
      </c>
      <c r="M124" s="160"/>
      <c r="N124" s="160"/>
      <c r="O124" s="160"/>
      <c r="P124" s="160"/>
      <c r="Q124" s="160"/>
      <c r="R124" s="160"/>
      <c r="S124" s="160"/>
      <c r="U124" s="118">
        <f>SUMIFS(INDEX(_Hist_M_Data,MATCH('Consolidated Forecast (A)'!$C124,_Hist_M_Labels,0),0),_Hist_M_YearEnd,'Consolidated Forecast (A)'!U$5)</f>
        <v>533.97500000000002</v>
      </c>
      <c r="V124" s="118">
        <f>SUMIFS(INDEX(_STForecast_M_Data,MATCH('Consolidated Forecast (A)'!$C124,_STForecast_M_Labels,0),0),_STForecast_M_YearEnd,'Consolidated Forecast (A)'!V$5)</f>
        <v>0</v>
      </c>
    </row>
    <row r="125" spans="3:22" outlineLevel="2" x14ac:dyDescent="0.2">
      <c r="C125" s="137" t="s">
        <v>159</v>
      </c>
      <c r="D125" s="23" t="s">
        <v>92</v>
      </c>
      <c r="E125" s="123"/>
      <c r="F125" s="107">
        <f t="shared" si="90"/>
        <v>4196.1314909173143</v>
      </c>
      <c r="H125" s="118">
        <f>SUMIFS(INDEX(_Hist_M_Data,MATCH('Consolidated Forecast (A)'!$C125,_Hist_M_Labels,0),0),_Hist_M_YearEnd,'Consolidated Forecast (A)'!H$5)</f>
        <v>223.62705</v>
      </c>
      <c r="I125" s="118">
        <f>SUMIFS(INDEX(_Hist_M_Data,MATCH('Consolidated Forecast (A)'!$C125,_Hist_M_Labels,0),0),_Hist_M_YearEnd,'Consolidated Forecast (A)'!I$5)</f>
        <v>457.30100000000004</v>
      </c>
      <c r="J125" s="118">
        <f>SUMIFS(INDEX(_STForecast_M_Data,MATCH('Consolidated Forecast (A)'!$C125,_STForecast_M_Labels,0),0),_STForecast_M_YearEnd,'Consolidated Forecast (A)'!J$5)</f>
        <v>824</v>
      </c>
      <c r="K125" s="118">
        <f>SUMIFS(INDEX(_STForecast_M_Data,MATCH('Consolidated Forecast (A)'!$C125,_STForecast_M_Labels,0),0),_STForecast_M_YearEnd,'Consolidated Forecast (A)'!K$5)</f>
        <v>1171.1286530886655</v>
      </c>
      <c r="L125" s="118">
        <f>SUMIFS(INDEX(_STForecast_M_Data,MATCH('Consolidated Forecast (A)'!$C125,_STForecast_M_Labels,0),0),_STForecast_M_YearEnd,'Consolidated Forecast (A)'!L$5)</f>
        <v>1520.0747878286488</v>
      </c>
      <c r="M125" s="160"/>
      <c r="N125" s="160"/>
      <c r="O125" s="160"/>
      <c r="P125" s="160"/>
      <c r="Q125" s="160"/>
      <c r="R125" s="160"/>
      <c r="S125" s="160"/>
      <c r="U125" s="118">
        <f>SUMIFS(INDEX(_Hist_M_Data,MATCH('Consolidated Forecast (A)'!$C125,_Hist_M_Labels,0),0),_Hist_M_YearEnd,'Consolidated Forecast (A)'!U$5)</f>
        <v>457.30100000000004</v>
      </c>
      <c r="V125" s="118">
        <f>SUMIFS(INDEX(_STForecast_M_Data,MATCH('Consolidated Forecast (A)'!$C125,_STForecast_M_Labels,0),0),_STForecast_M_YearEnd,'Consolidated Forecast (A)'!V$5)</f>
        <v>0</v>
      </c>
    </row>
    <row r="126" spans="3:22" outlineLevel="2" x14ac:dyDescent="0.2">
      <c r="C126" s="137" t="s">
        <v>160</v>
      </c>
      <c r="D126" s="23" t="s">
        <v>92</v>
      </c>
      <c r="E126" s="123"/>
      <c r="F126" s="107">
        <f t="shared" si="90"/>
        <v>2093.774455892355</v>
      </c>
      <c r="H126" s="118">
        <f>SUMIFS(INDEX(_Hist_M_Data,MATCH('Consolidated Forecast (A)'!$C126,_Hist_M_Labels,0),0),_Hist_M_YearEnd,'Consolidated Forecast (A)'!H$5)</f>
        <v>158.1593</v>
      </c>
      <c r="I126" s="118">
        <f>SUMIFS(INDEX(_Hist_M_Data,MATCH('Consolidated Forecast (A)'!$C126,_Hist_M_Labels,0),0),_Hist_M_YearEnd,'Consolidated Forecast (A)'!I$5)</f>
        <v>148.17715000000004</v>
      </c>
      <c r="J126" s="118">
        <f>SUMIFS(INDEX(_STForecast_M_Data,MATCH('Consolidated Forecast (A)'!$C126,_STForecast_M_Labels,0),0),_STForecast_M_YearEnd,'Consolidated Forecast (A)'!J$5)</f>
        <v>503</v>
      </c>
      <c r="K126" s="118">
        <f>SUMIFS(INDEX(_STForecast_M_Data,MATCH('Consolidated Forecast (A)'!$C126,_STForecast_M_Labels,0),0),_STForecast_M_YearEnd,'Consolidated Forecast (A)'!K$5)</f>
        <v>558.94776624686324</v>
      </c>
      <c r="L126" s="118">
        <f>SUMIFS(INDEX(_STForecast_M_Data,MATCH('Consolidated Forecast (A)'!$C126,_STForecast_M_Labels,0),0),_STForecast_M_YearEnd,'Consolidated Forecast (A)'!L$5)</f>
        <v>725.49023964549156</v>
      </c>
      <c r="M126" s="160"/>
      <c r="N126" s="160"/>
      <c r="O126" s="160"/>
      <c r="P126" s="160"/>
      <c r="Q126" s="160"/>
      <c r="R126" s="160"/>
      <c r="S126" s="160"/>
      <c r="U126" s="118">
        <f>SUMIFS(INDEX(_Hist_M_Data,MATCH('Consolidated Forecast (A)'!$C126,_Hist_M_Labels,0),0),_Hist_M_YearEnd,'Consolidated Forecast (A)'!U$5)</f>
        <v>148.17715000000004</v>
      </c>
      <c r="V126" s="118">
        <f>SUMIFS(INDEX(_STForecast_M_Data,MATCH('Consolidated Forecast (A)'!$C126,_STForecast_M_Labels,0),0),_STForecast_M_YearEnd,'Consolidated Forecast (A)'!V$5)</f>
        <v>0</v>
      </c>
    </row>
    <row r="127" spans="3:22" outlineLevel="2" x14ac:dyDescent="0.2">
      <c r="C127" s="137" t="s">
        <v>161</v>
      </c>
      <c r="D127" s="23" t="s">
        <v>92</v>
      </c>
      <c r="E127" s="123"/>
      <c r="F127" s="107">
        <f t="shared" si="90"/>
        <v>4511.5553418354821</v>
      </c>
      <c r="H127" s="118">
        <f>SUMIFS(INDEX(_Hist_M_Data,MATCH('Consolidated Forecast (A)'!$C127,_Hist_M_Labels,0),0),_Hist_M_YearEnd,'Consolidated Forecast (A)'!H$5)</f>
        <v>236.83052000000001</v>
      </c>
      <c r="I127" s="118">
        <f>SUMIFS(INDEX(_Hist_M_Data,MATCH('Consolidated Forecast (A)'!$C127,_Hist_M_Labels,0),0),_Hist_M_YearEnd,'Consolidated Forecast (A)'!I$5)</f>
        <v>254.33394999999999</v>
      </c>
      <c r="J127" s="118">
        <f>SUMIFS(INDEX(_STForecast_M_Data,MATCH('Consolidated Forecast (A)'!$C127,_STForecast_M_Labels,0),0),_STForecast_M_YearEnd,'Consolidated Forecast (A)'!J$5)</f>
        <v>822</v>
      </c>
      <c r="K127" s="118">
        <f>SUMIFS(INDEX(_STForecast_M_Data,MATCH('Consolidated Forecast (A)'!$C127,_STForecast_M_Labels,0),0),_STForecast_M_YearEnd,'Consolidated Forecast (A)'!K$5)</f>
        <v>1389.3762483038665</v>
      </c>
      <c r="L127" s="118">
        <f>SUMIFS(INDEX(_STForecast_M_Data,MATCH('Consolidated Forecast (A)'!$C127,_STForecast_M_Labels,0),0),_STForecast_M_YearEnd,'Consolidated Forecast (A)'!L$5)</f>
        <v>1809.0146235316156</v>
      </c>
      <c r="M127" s="160"/>
      <c r="N127" s="160"/>
      <c r="O127" s="160"/>
      <c r="P127" s="160"/>
      <c r="Q127" s="160"/>
      <c r="R127" s="160"/>
      <c r="S127" s="160"/>
      <c r="U127" s="118">
        <f>SUMIFS(INDEX(_Hist_M_Data,MATCH('Consolidated Forecast (A)'!$C127,_Hist_M_Labels,0),0),_Hist_M_YearEnd,'Consolidated Forecast (A)'!U$5)</f>
        <v>254.33394999999999</v>
      </c>
      <c r="V127" s="118">
        <f>SUMIFS(INDEX(_STForecast_M_Data,MATCH('Consolidated Forecast (A)'!$C127,_STForecast_M_Labels,0),0),_STForecast_M_YearEnd,'Consolidated Forecast (A)'!V$5)</f>
        <v>0</v>
      </c>
    </row>
    <row r="128" spans="3:22" outlineLevel="2" x14ac:dyDescent="0.2">
      <c r="C128" t="s">
        <v>162</v>
      </c>
      <c r="D128" s="23" t="s">
        <v>92</v>
      </c>
      <c r="E128" s="123"/>
      <c r="F128" s="107">
        <f t="shared" si="90"/>
        <v>-135.69242</v>
      </c>
      <c r="H128" s="118">
        <f>SUMIFS(INDEX(_Hist_M_Data,MATCH('Consolidated Forecast (A)'!$C128,_Hist_M_Labels,0),0),_Hist_M_YearEnd,'Consolidated Forecast (A)'!H$5)</f>
        <v>-165.49915999999999</v>
      </c>
      <c r="I128" s="118">
        <f>SUMIFS(INDEX(_Hist_M_Data,MATCH('Consolidated Forecast (A)'!$C128,_Hist_M_Labels,0),0),_Hist_M_YearEnd,'Consolidated Forecast (A)'!I$5)</f>
        <v>29.806740000000001</v>
      </c>
      <c r="J128" s="160">
        <v>0</v>
      </c>
      <c r="K128" s="160">
        <v>0</v>
      </c>
      <c r="L128" s="160">
        <v>0</v>
      </c>
      <c r="M128" s="160"/>
      <c r="N128" s="160"/>
      <c r="O128" s="160"/>
      <c r="P128" s="160"/>
      <c r="Q128" s="160"/>
      <c r="R128" s="160"/>
      <c r="S128" s="160"/>
      <c r="U128" s="118">
        <f>SUMIFS(INDEX(_Hist_M_Data,MATCH('Consolidated Forecast (A)'!$C128,_Hist_M_Labels,0),0),_Hist_M_YearEnd,'Consolidated Forecast (A)'!U$5)</f>
        <v>29.806740000000001</v>
      </c>
      <c r="V128" s="118" t="e">
        <f>SUMIFS(INDEX(_STForecast_M_Data,MATCH('Consolidated Forecast (A)'!$C128,_STForecast_M_Labels,0),0),_STForecast_M_YearEnd,'Consolidated Forecast (A)'!V$5)</f>
        <v>#N/A</v>
      </c>
    </row>
    <row r="129" spans="2:22" outlineLevel="2" x14ac:dyDescent="0.2">
      <c r="C129" s="137" t="s">
        <v>75</v>
      </c>
      <c r="D129" s="23" t="s">
        <v>92</v>
      </c>
      <c r="E129" s="123"/>
      <c r="F129" s="107">
        <f t="shared" si="90"/>
        <v>58.10004</v>
      </c>
      <c r="H129" s="118">
        <f>SUMIFS(INDEX(_Hist_M_Data,MATCH('Consolidated Forecast (A)'!$C129,_Hist_M_Labels,0),0),_Hist_M_YearEnd,'Consolidated Forecast (A)'!H$5)</f>
        <v>0.5</v>
      </c>
      <c r="I129" s="118">
        <f>SUMIFS(INDEX(_Hist_M_Data,MATCH('Consolidated Forecast (A)'!$C129,_Hist_M_Labels,0),0),_Hist_M_YearEnd,'Consolidated Forecast (A)'!I$5)</f>
        <v>57.60004</v>
      </c>
      <c r="J129" s="160">
        <v>0</v>
      </c>
      <c r="K129" s="160">
        <v>0</v>
      </c>
      <c r="L129" s="160">
        <v>0</v>
      </c>
      <c r="M129" s="160"/>
      <c r="N129" s="160"/>
      <c r="O129" s="160"/>
      <c r="P129" s="160"/>
      <c r="Q129" s="160"/>
      <c r="R129" s="160"/>
      <c r="S129" s="160"/>
      <c r="U129" s="118">
        <f>SUMIFS(INDEX(_Hist_M_Data,MATCH('Consolidated Forecast (A)'!$C129,_Hist_M_Labels,0),0),_Hist_M_YearEnd,'Consolidated Forecast (A)'!U$5)</f>
        <v>57.60004</v>
      </c>
      <c r="V129" s="118" t="e">
        <f>SUMIFS(INDEX(_STForecast_M_Data,MATCH('Consolidated Forecast (A)'!$C129,_STForecast_M_Labels,0),0),_STForecast_M_YearEnd,'Consolidated Forecast (A)'!V$5)</f>
        <v>#N/A</v>
      </c>
    </row>
    <row r="130" spans="2:22" outlineLevel="1" x14ac:dyDescent="0.2">
      <c r="C130" s="138" t="s">
        <v>163</v>
      </c>
      <c r="D130" s="43" t="s">
        <v>92</v>
      </c>
      <c r="E130" s="127"/>
      <c r="F130" s="108">
        <f t="shared" si="90"/>
        <v>14655.144143032045</v>
      </c>
      <c r="G130" s="42"/>
      <c r="H130" s="115">
        <f>SUM(H123:H129)</f>
        <v>606.42003999999997</v>
      </c>
      <c r="I130" s="115">
        <f t="shared" ref="I130:L130" si="91">SUM(I123:I129)</f>
        <v>1659.7980600000001</v>
      </c>
      <c r="J130" s="115">
        <f t="shared" si="91"/>
        <v>3013</v>
      </c>
      <c r="K130" s="115">
        <f t="shared" si="91"/>
        <v>4077.6488383483038</v>
      </c>
      <c r="L130" s="115">
        <f t="shared" si="91"/>
        <v>5298.2772046837417</v>
      </c>
      <c r="M130" s="145"/>
      <c r="N130" s="145"/>
      <c r="O130" s="145"/>
      <c r="P130" s="145"/>
      <c r="Q130" s="145"/>
      <c r="R130" s="145"/>
      <c r="S130" s="145"/>
      <c r="U130" s="115">
        <f>SUM(U123:U129)</f>
        <v>1659.7980600000001</v>
      </c>
      <c r="V130" s="115" t="e">
        <f t="shared" ref="V130" si="92">SUM(V123:V129)</f>
        <v>#N/A</v>
      </c>
    </row>
    <row r="131" spans="2:22" outlineLevel="1" x14ac:dyDescent="0.2">
      <c r="C131" s="137"/>
      <c r="F131" s="109"/>
      <c r="H131" s="118"/>
      <c r="I131" s="118"/>
      <c r="J131" s="118"/>
      <c r="K131" s="118"/>
      <c r="L131" s="118"/>
      <c r="M131" s="145"/>
      <c r="N131" s="145"/>
      <c r="O131" s="145"/>
      <c r="P131" s="145"/>
      <c r="Q131" s="145"/>
      <c r="R131" s="145"/>
      <c r="S131" s="145"/>
      <c r="U131" s="118"/>
      <c r="V131" s="118"/>
    </row>
    <row r="132" spans="2:22" outlineLevel="1" x14ac:dyDescent="0.2">
      <c r="C132" s="138" t="s">
        <v>121</v>
      </c>
      <c r="D132" s="43" t="s">
        <v>92</v>
      </c>
      <c r="E132" s="42"/>
      <c r="F132" s="108">
        <f>SUM(H132:S132)</f>
        <v>79759.87366107112</v>
      </c>
      <c r="G132" s="42"/>
      <c r="H132" s="115">
        <f>SUM(H103:H104,H116,H121,H130)</f>
        <v>4320.9146500000006</v>
      </c>
      <c r="I132" s="115">
        <f>SUM(I103:I104,I116,I121,I130)</f>
        <v>8192.9836499999983</v>
      </c>
      <c r="J132" s="115">
        <f>SUM(J103:J104,J116,J121,J130)</f>
        <v>15293.785714285714</v>
      </c>
      <c r="K132" s="115">
        <f>SUM(K103:K104,K116,K121,K130)</f>
        <v>22572.078262848776</v>
      </c>
      <c r="L132" s="115">
        <f>SUM(L103:L104,L116,L121,L130)</f>
        <v>29380.111383936637</v>
      </c>
      <c r="M132" s="154"/>
      <c r="N132" s="154"/>
      <c r="O132" s="154"/>
      <c r="P132" s="154"/>
      <c r="Q132" s="154"/>
      <c r="R132" s="154"/>
      <c r="S132" s="154"/>
      <c r="U132" s="115" t="e">
        <f>SUM(U103:U104,U116,#REF!,U121,U130)</f>
        <v>#REF!</v>
      </c>
      <c r="V132" s="115" t="e">
        <f>SUM(V103:V104,V116,#REF!,V121,V130)</f>
        <v>#REF!</v>
      </c>
    </row>
    <row r="133" spans="2:22" outlineLevel="1" x14ac:dyDescent="0.2">
      <c r="C133" s="137"/>
      <c r="F133" s="109"/>
      <c r="G133" s="100"/>
      <c r="H133" s="119"/>
      <c r="I133" s="119"/>
      <c r="J133" s="119"/>
      <c r="K133" s="119"/>
      <c r="L133" s="119"/>
      <c r="M133" s="161"/>
      <c r="N133" s="161"/>
      <c r="O133" s="161"/>
      <c r="P133" s="161"/>
      <c r="Q133" s="161"/>
      <c r="R133" s="161"/>
      <c r="S133" s="161"/>
      <c r="U133" s="119"/>
      <c r="V133" s="119"/>
    </row>
    <row r="134" spans="2:22" ht="16" outlineLevel="1" thickBot="1" x14ac:dyDescent="0.25">
      <c r="C134" s="140" t="s">
        <v>164</v>
      </c>
      <c r="D134" s="104" t="s">
        <v>92</v>
      </c>
      <c r="E134" s="103"/>
      <c r="F134" s="111">
        <f>SUM(H134:S134)</f>
        <v>-79759.87366107112</v>
      </c>
      <c r="G134" s="103"/>
      <c r="H134" s="116">
        <f>-H132</f>
        <v>-4320.9146500000006</v>
      </c>
      <c r="I134" s="116">
        <f t="shared" ref="I134:L134" si="93">-I132</f>
        <v>-8192.9836499999983</v>
      </c>
      <c r="J134" s="116">
        <f t="shared" si="93"/>
        <v>-15293.785714285714</v>
      </c>
      <c r="K134" s="116">
        <f t="shared" si="93"/>
        <v>-22572.078262848776</v>
      </c>
      <c r="L134" s="116">
        <f t="shared" si="93"/>
        <v>-29380.111383936637</v>
      </c>
      <c r="M134" s="154"/>
      <c r="N134" s="154"/>
      <c r="O134" s="154"/>
      <c r="P134" s="154"/>
      <c r="Q134" s="154"/>
      <c r="R134" s="154"/>
      <c r="S134" s="154"/>
      <c r="U134" s="116" t="e">
        <f>U46-U132</f>
        <v>#REF!</v>
      </c>
      <c r="V134" s="116" t="e">
        <f>V46-V132</f>
        <v>#REF!</v>
      </c>
    </row>
    <row r="135" spans="2:22" outlineLevel="1" x14ac:dyDescent="0.2">
      <c r="C135" s="137"/>
      <c r="F135" s="109"/>
      <c r="H135" s="113"/>
      <c r="I135" s="113"/>
      <c r="J135" s="113"/>
      <c r="K135" s="113"/>
      <c r="L135" s="113"/>
      <c r="M135" s="162"/>
      <c r="N135" s="162"/>
      <c r="O135" s="162"/>
      <c r="P135" s="162"/>
      <c r="Q135" s="162"/>
      <c r="R135" s="162"/>
      <c r="S135" s="162"/>
      <c r="U135" s="113"/>
      <c r="V135" s="113"/>
    </row>
    <row r="136" spans="2:22" outlineLevel="1" x14ac:dyDescent="0.2">
      <c r="B136" s="20" t="s">
        <v>165</v>
      </c>
      <c r="C136" s="137"/>
      <c r="F136" s="109"/>
      <c r="H136" s="118"/>
      <c r="I136" s="113"/>
      <c r="J136" s="113"/>
      <c r="K136" s="113"/>
      <c r="L136" s="113"/>
      <c r="M136" s="162"/>
      <c r="N136" s="162"/>
      <c r="O136" s="162"/>
      <c r="P136" s="162"/>
      <c r="Q136" s="162"/>
      <c r="R136" s="162"/>
      <c r="S136" s="162"/>
      <c r="U136" s="118"/>
      <c r="V136" s="118"/>
    </row>
    <row r="137" spans="2:22" outlineLevel="1" x14ac:dyDescent="0.2">
      <c r="C137" s="137" t="s">
        <v>165</v>
      </c>
      <c r="D137" s="23" t="s">
        <v>92</v>
      </c>
      <c r="E137" s="123"/>
      <c r="F137" s="107">
        <f>SUM(H137:S137)</f>
        <v>15667.541731159248</v>
      </c>
      <c r="H137" s="118">
        <f>SUMIFS(INDEX(_Hist_M_Data,MATCH('Consolidated Forecast (A)'!$C137,_Hist_M_Labels,0),0),_Hist_M_YearEnd,'Consolidated Forecast (A)'!H$5)</f>
        <v>1362.38355</v>
      </c>
      <c r="I137" s="118">
        <f>SUMIFS(INDEX(_Hist_M_Data,MATCH('Consolidated Forecast (A)'!$C137,_Hist_M_Labels,0),0),_Hist_M_YearEnd,'Consolidated Forecast (A)'!I$5)</f>
        <v>1403.5040199999999</v>
      </c>
      <c r="J137" s="118">
        <f>SUMIFS(INDEX(_STForecast_M_Data,MATCH('Consolidated Forecast (A)'!$C137,_STForecast_M_Labels,0),0),_STForecast_M_YearEnd,'Consolidated Forecast (A)'!J$5)</f>
        <v>3721.9999999999995</v>
      </c>
      <c r="K137" s="118">
        <f>SUMIFS(INDEX(_STForecast_M_Data,MATCH('Consolidated Forecast (A)'!$C137,_STForecast_M_Labels,0),0),_STForecast_M_YearEnd,'Consolidated Forecast (A)'!K$5)</f>
        <v>3994.7020913119072</v>
      </c>
      <c r="L137" s="118">
        <f>SUMIFS(INDEX(_STForecast_M_Data,MATCH('Consolidated Forecast (A)'!$C137,_STForecast_M_Labels,0),0),_STForecast_M_YearEnd,'Consolidated Forecast (A)'!L$5)</f>
        <v>5184.9520698473425</v>
      </c>
      <c r="M137" s="145"/>
      <c r="N137" s="145"/>
      <c r="O137" s="145"/>
      <c r="P137" s="145"/>
      <c r="Q137" s="145"/>
      <c r="R137" s="145"/>
      <c r="S137" s="145"/>
      <c r="U137" s="118">
        <f>SUMIFS(INDEX(_Hist_M_Data,MATCH('Consolidated Forecast (A)'!$C137,_Hist_M_Labels,0),0),_Hist_M_YearEnd,'Consolidated Forecast (A)'!U$5)</f>
        <v>1403.5040199999999</v>
      </c>
      <c r="V137" s="118">
        <f>SUMIFS(INDEX(_STForecast_M_Data,MATCH('Consolidated Forecast (A)'!$C137,_STForecast_M_Labels,0),0),_STForecast_M_YearEnd,'Consolidated Forecast (A)'!V$5)</f>
        <v>0</v>
      </c>
    </row>
    <row r="138" spans="2:22" outlineLevel="1" x14ac:dyDescent="0.2">
      <c r="C138" t="s">
        <v>166</v>
      </c>
      <c r="D138" s="23" t="s">
        <v>92</v>
      </c>
      <c r="E138" s="123"/>
      <c r="F138" s="107">
        <f>SUM(H138:S138)</f>
        <v>829.39949000000001</v>
      </c>
      <c r="H138" s="118">
        <f>SUMIFS(INDEX(_Hist_M_Data,MATCH('Consolidated Forecast (A)'!$C138,_Hist_M_Labels,0),0),_Hist_M_YearEnd,'Consolidated Forecast (A)'!H$5)</f>
        <v>510.23362000000009</v>
      </c>
      <c r="I138" s="118">
        <f>SUMIFS(INDEX(_Hist_M_Data,MATCH('Consolidated Forecast (A)'!$C138,_Hist_M_Labels,0),0),_Hist_M_YearEnd,'Consolidated Forecast (A)'!I$5)</f>
        <v>319.16586999999993</v>
      </c>
      <c r="J138" s="160">
        <v>0</v>
      </c>
      <c r="K138" s="160">
        <v>0</v>
      </c>
      <c r="L138" s="160">
        <v>0</v>
      </c>
      <c r="M138" s="145"/>
      <c r="N138" s="145"/>
      <c r="O138" s="145"/>
      <c r="P138" s="145"/>
      <c r="Q138" s="145"/>
      <c r="R138" s="145"/>
      <c r="S138" s="145"/>
      <c r="U138" s="118">
        <f>SUMIFS(INDEX(_Hist_M_Data,MATCH('Consolidated Forecast (A)'!$C138,_Hist_M_Labels,0),0),_Hist_M_YearEnd,'Consolidated Forecast (A)'!U$5)</f>
        <v>319.16586999999993</v>
      </c>
      <c r="V138" s="118" t="e">
        <f>SUMIFS(INDEX(_STForecast_M_Data,MATCH('Consolidated Forecast (A)'!$C138,_STForecast_M_Labels,0),0),_STForecast_M_YearEnd,'Consolidated Forecast (A)'!V$5)</f>
        <v>#N/A</v>
      </c>
    </row>
    <row r="139" spans="2:22" outlineLevel="1" x14ac:dyDescent="0.2">
      <c r="C139" s="137" t="s">
        <v>167</v>
      </c>
      <c r="D139" s="23" t="s">
        <v>92</v>
      </c>
      <c r="E139" s="123"/>
      <c r="F139" s="107">
        <f>SUM(H139:S139)</f>
        <v>13333.251789999998</v>
      </c>
      <c r="H139" s="118">
        <f>SUMIFS(INDEX(_Hist_M_Data,MATCH('Consolidated Forecast (A)'!$C139,_Hist_M_Labels,0),0),_Hist_M_YearEnd,'Consolidated Forecast (A)'!H$5)</f>
        <v>8429.1437899999983</v>
      </c>
      <c r="I139" s="118">
        <f>SUMIFS(INDEX(_Hist_M_Data,MATCH('Consolidated Forecast (A)'!$C139,_Hist_M_Labels,0),0),_Hist_M_YearEnd,'Consolidated Forecast (A)'!I$5)</f>
        <v>4904.1079999999993</v>
      </c>
      <c r="J139" s="160">
        <v>0</v>
      </c>
      <c r="K139" s="160">
        <v>0</v>
      </c>
      <c r="L139" s="160">
        <v>0</v>
      </c>
      <c r="M139" s="145"/>
      <c r="N139" s="145"/>
      <c r="O139" s="145"/>
      <c r="P139" s="145"/>
      <c r="Q139" s="145"/>
      <c r="R139" s="145"/>
      <c r="S139" s="145"/>
      <c r="U139" s="118">
        <f>SUMIFS(INDEX(_Hist_M_Data,MATCH('Consolidated Forecast (A)'!$C139,_Hist_M_Labels,0),0),_Hist_M_YearEnd,'Consolidated Forecast (A)'!U$5)</f>
        <v>4904.1079999999993</v>
      </c>
      <c r="V139" s="118" t="e">
        <f>SUMIFS(INDEX(_STForecast_M_Data,MATCH('Consolidated Forecast (A)'!$C139,_STForecast_M_Labels,0),0),_STForecast_M_YearEnd,'Consolidated Forecast (A)'!V$5)</f>
        <v>#N/A</v>
      </c>
    </row>
    <row r="140" spans="2:22" outlineLevel="1" x14ac:dyDescent="0.2">
      <c r="C140" s="138" t="s">
        <v>168</v>
      </c>
      <c r="D140" s="43" t="s">
        <v>92</v>
      </c>
      <c r="E140" s="42"/>
      <c r="F140" s="108">
        <f>SUM(H140:S140)</f>
        <v>29830.193011159248</v>
      </c>
      <c r="G140" s="42"/>
      <c r="H140" s="115">
        <f>SUM(H137:H139)</f>
        <v>10301.760959999998</v>
      </c>
      <c r="I140" s="115">
        <f t="shared" ref="I140:L140" si="94">SUM(I137:I139)</f>
        <v>6626.7778899999994</v>
      </c>
      <c r="J140" s="115">
        <f t="shared" si="94"/>
        <v>3721.9999999999995</v>
      </c>
      <c r="K140" s="115">
        <f t="shared" si="94"/>
        <v>3994.7020913119072</v>
      </c>
      <c r="L140" s="115">
        <f t="shared" si="94"/>
        <v>5184.9520698473425</v>
      </c>
      <c r="M140" s="154"/>
      <c r="N140" s="154"/>
      <c r="O140" s="154"/>
      <c r="P140" s="154"/>
      <c r="Q140" s="154"/>
      <c r="R140" s="154"/>
      <c r="S140" s="154"/>
      <c r="U140" s="115">
        <f>SUM(U137:U139)</f>
        <v>6626.7778899999994</v>
      </c>
      <c r="V140" s="115" t="e">
        <f t="shared" ref="V140" si="95">SUM(V137:V139)</f>
        <v>#N/A</v>
      </c>
    </row>
    <row r="141" spans="2:22" outlineLevel="1" x14ac:dyDescent="0.2">
      <c r="B141" s="20"/>
      <c r="C141" s="137"/>
      <c r="F141" s="109"/>
      <c r="H141" s="25"/>
      <c r="I141" s="25"/>
      <c r="J141" s="25"/>
      <c r="K141" s="25"/>
      <c r="L141" s="25"/>
      <c r="M141" s="161"/>
      <c r="N141" s="161"/>
      <c r="O141" s="161"/>
      <c r="P141" s="161"/>
      <c r="Q141" s="161"/>
      <c r="R141" s="161"/>
      <c r="S141" s="161"/>
      <c r="U141" s="25"/>
      <c r="V141" s="25"/>
    </row>
    <row r="142" spans="2:22" ht="16" outlineLevel="1" thickBot="1" x14ac:dyDescent="0.25">
      <c r="C142" s="140" t="s">
        <v>169</v>
      </c>
      <c r="D142" s="104" t="s">
        <v>92</v>
      </c>
      <c r="E142" s="103"/>
      <c r="F142" s="111">
        <f>SUM(H142:S142)</f>
        <v>-109590.06667223037</v>
      </c>
      <c r="G142" s="103"/>
      <c r="H142" s="116">
        <f>H134-H140</f>
        <v>-14622.675609999998</v>
      </c>
      <c r="I142" s="116">
        <f>I134-I140</f>
        <v>-14819.761539999998</v>
      </c>
      <c r="J142" s="116">
        <f>J134-J140</f>
        <v>-19015.785714285714</v>
      </c>
      <c r="K142" s="116">
        <f>K134-K140</f>
        <v>-26566.780354160685</v>
      </c>
      <c r="L142" s="116">
        <f>L134-L140</f>
        <v>-34565.06345378398</v>
      </c>
      <c r="M142" s="154"/>
      <c r="N142" s="154"/>
      <c r="O142" s="154"/>
      <c r="P142" s="154"/>
      <c r="Q142" s="154"/>
      <c r="R142" s="154"/>
      <c r="S142" s="154"/>
      <c r="U142" s="116" t="e">
        <f>U134-U140</f>
        <v>#REF!</v>
      </c>
      <c r="V142" s="116" t="e">
        <f>V134-V140</f>
        <v>#REF!</v>
      </c>
    </row>
    <row r="143" spans="2:22" outlineLevel="1" x14ac:dyDescent="0.2">
      <c r="C143" s="137"/>
      <c r="F143" s="27"/>
      <c r="H143" s="119"/>
      <c r="I143" s="119"/>
      <c r="J143" s="119"/>
      <c r="K143" s="119"/>
      <c r="L143" s="119"/>
      <c r="M143" s="162"/>
      <c r="N143" s="162"/>
      <c r="O143" s="162"/>
      <c r="P143" s="162"/>
      <c r="Q143" s="162"/>
      <c r="R143" s="162"/>
      <c r="S143" s="162"/>
      <c r="U143" s="119"/>
      <c r="V143" s="119"/>
    </row>
    <row r="144" spans="2:22" outlineLevel="1" x14ac:dyDescent="0.2">
      <c r="B144" s="20" t="s">
        <v>123</v>
      </c>
      <c r="C144" s="137"/>
      <c r="F144" s="109"/>
      <c r="H144" s="113"/>
      <c r="I144" s="113"/>
      <c r="J144" s="113"/>
      <c r="K144" s="113"/>
      <c r="L144" s="113"/>
      <c r="M144" s="162"/>
      <c r="N144" s="162"/>
      <c r="O144" s="162"/>
      <c r="P144" s="162"/>
      <c r="Q144" s="162"/>
      <c r="R144" s="162"/>
      <c r="S144" s="162"/>
      <c r="U144" s="113"/>
      <c r="V144" s="113"/>
    </row>
    <row r="145" spans="1:22" outlineLevel="1" x14ac:dyDescent="0.2">
      <c r="C145" s="137" t="s">
        <v>124</v>
      </c>
      <c r="D145" s="23" t="s">
        <v>92</v>
      </c>
      <c r="E145" s="123"/>
      <c r="F145" s="107">
        <f t="shared" ref="F145:F150" si="96">SUM(H145:S145)</f>
        <v>200</v>
      </c>
      <c r="H145" s="160">
        <v>0</v>
      </c>
      <c r="I145" s="160">
        <v>0</v>
      </c>
      <c r="J145" s="118">
        <f>SUMIFS(INDEX(_STForecast_M_Data,MATCH('Consolidated Forecast (A)'!$C145,_STForecast_M_Labels,0),0),_STForecast_M_YearEnd,'Consolidated Forecast (A)'!J$5)</f>
        <v>200</v>
      </c>
      <c r="K145" s="160">
        <v>0</v>
      </c>
      <c r="L145" s="160">
        <v>0</v>
      </c>
      <c r="M145" s="145"/>
      <c r="N145" s="145"/>
      <c r="O145" s="145"/>
      <c r="P145" s="145"/>
      <c r="Q145" s="145"/>
      <c r="R145" s="145"/>
      <c r="S145" s="145"/>
      <c r="U145" s="118" t="e">
        <f>SUMIFS(INDEX(_Hist_M_Data,MATCH('Consolidated Forecast (A)'!$C145,_Hist_M_Labels,0),0),_Hist_M_YearEnd,'Consolidated Forecast (A)'!U$5)</f>
        <v>#N/A</v>
      </c>
      <c r="V145" s="118">
        <f>SUMIFS(INDEX(_STForecast_M_Data,MATCH('Consolidated Forecast (A)'!$C145,_STForecast_M_Labels,0),0),_STForecast_M_YearEnd,'Consolidated Forecast (A)'!V$5)</f>
        <v>0</v>
      </c>
    </row>
    <row r="146" spans="1:22" outlineLevel="1" x14ac:dyDescent="0.2">
      <c r="C146" s="137" t="s">
        <v>125</v>
      </c>
      <c r="D146" s="23" t="s">
        <v>92</v>
      </c>
      <c r="E146" s="123"/>
      <c r="F146" s="107">
        <f t="shared" si="96"/>
        <v>300</v>
      </c>
      <c r="H146" s="160">
        <v>0</v>
      </c>
      <c r="I146" s="160">
        <v>0</v>
      </c>
      <c r="J146" s="118">
        <f>SUMIFS(INDEX(_STForecast_M_Data,MATCH('Consolidated Forecast (A)'!$C146,_STForecast_M_Labels,0),0),_STForecast_M_YearEnd,'Consolidated Forecast (A)'!J$5)</f>
        <v>300</v>
      </c>
      <c r="K146" s="160">
        <v>0</v>
      </c>
      <c r="L146" s="160">
        <v>0</v>
      </c>
      <c r="M146" s="145"/>
      <c r="N146" s="145"/>
      <c r="O146" s="145"/>
      <c r="P146" s="145"/>
      <c r="Q146" s="145"/>
      <c r="R146" s="145"/>
      <c r="S146" s="145"/>
      <c r="U146" s="118" t="e">
        <f>SUMIFS(INDEX(_Hist_M_Data,MATCH('Consolidated Forecast (A)'!$C146,_Hist_M_Labels,0),0),_Hist_M_YearEnd,'Consolidated Forecast (A)'!U$5)</f>
        <v>#N/A</v>
      </c>
      <c r="V146" s="118">
        <f>SUMIFS(INDEX(_STForecast_M_Data,MATCH('Consolidated Forecast (A)'!$C146,_STForecast_M_Labels,0),0),_STForecast_M_YearEnd,'Consolidated Forecast (A)'!V$5)</f>
        <v>0</v>
      </c>
    </row>
    <row r="147" spans="1:22" outlineLevel="1" x14ac:dyDescent="0.2">
      <c r="C147" s="137" t="s">
        <v>126</v>
      </c>
      <c r="D147" s="23" t="s">
        <v>92</v>
      </c>
      <c r="E147" s="123"/>
      <c r="F147" s="107">
        <f t="shared" si="96"/>
        <v>2101.7353000000003</v>
      </c>
      <c r="H147" s="118">
        <f>SUMIFS(INDEX(_Hist_M_Data,MATCH('Consolidated Forecast (A)'!$C147,_Hist_M_Labels,0),0),_Hist_M_YearEnd,'Consolidated Forecast (A)'!H$5)</f>
        <v>8.7803000000000004</v>
      </c>
      <c r="I147" s="118">
        <f>SUMIFS(INDEX(_Hist_M_Data,MATCH('Consolidated Forecast (A)'!$C147,_Hist_M_Labels,0),0),_Hist_M_YearEnd,'Consolidated Forecast (A)'!I$5)</f>
        <v>424.95500000000004</v>
      </c>
      <c r="J147" s="118">
        <f>SUMIFS(INDEX(_STForecast_M_Data,MATCH('Consolidated Forecast (A)'!$C147,_STForecast_M_Labels,0),0),_STForecast_M_YearEnd,'Consolidated Forecast (A)'!J$5)</f>
        <v>1668</v>
      </c>
      <c r="K147" s="160">
        <v>0</v>
      </c>
      <c r="L147" s="160">
        <v>0</v>
      </c>
      <c r="M147" s="145"/>
      <c r="N147" s="145"/>
      <c r="O147" s="145"/>
      <c r="P147" s="145"/>
      <c r="Q147" s="145"/>
      <c r="R147" s="145"/>
      <c r="S147" s="145"/>
      <c r="U147" s="160">
        <v>0</v>
      </c>
      <c r="V147" s="118">
        <f>SUMIFS(INDEX(_STForecast_M_Data,MATCH('Consolidated Forecast (A)'!$C147,_STForecast_M_Labels,0),0),_STForecast_M_YearEnd,'Consolidated Forecast (A)'!V$5)</f>
        <v>0</v>
      </c>
    </row>
    <row r="148" spans="1:22" outlineLevel="1" x14ac:dyDescent="0.2">
      <c r="C148" s="137" t="s">
        <v>127</v>
      </c>
      <c r="D148" s="23" t="s">
        <v>92</v>
      </c>
      <c r="E148" s="123"/>
      <c r="F148" s="107">
        <f t="shared" si="96"/>
        <v>1781.4133333333334</v>
      </c>
      <c r="H148" s="118">
        <f>SUMIFS(INDEX(_Hist_M_Data,MATCH('Consolidated Forecast (A)'!$C148,_Hist_M_Labels,0),0),_Hist_M_YearEnd,'Consolidated Forecast (A)'!H$5)</f>
        <v>47.080000000000005</v>
      </c>
      <c r="I148" s="118">
        <f>SUMIFS(INDEX(_Hist_M_Data,MATCH('Consolidated Forecast (A)'!$C148,_Hist_M_Labels,0),0),_Hist_M_YearEnd,'Consolidated Forecast (A)'!I$5)</f>
        <v>0</v>
      </c>
      <c r="J148" s="118">
        <f>SUMIFS(INDEX(_STForecast_M_Data,MATCH('Consolidated Forecast (A)'!$C148,_STForecast_M_Labels,0),0),_STForecast_M_YearEnd,'Consolidated Forecast (A)'!J$5)</f>
        <v>1734.3333333333335</v>
      </c>
      <c r="K148" s="160">
        <v>0</v>
      </c>
      <c r="L148" s="160">
        <v>0</v>
      </c>
      <c r="M148" s="145"/>
      <c r="N148" s="145"/>
      <c r="O148" s="145"/>
      <c r="P148" s="145"/>
      <c r="Q148" s="145"/>
      <c r="R148" s="145"/>
      <c r="S148" s="145"/>
      <c r="U148" s="160">
        <v>0</v>
      </c>
      <c r="V148" s="118">
        <f>SUMIFS(INDEX(_STForecast_M_Data,MATCH('Consolidated Forecast (A)'!$C148,_STForecast_M_Labels,0),0),_STForecast_M_YearEnd,'Consolidated Forecast (A)'!V$5)</f>
        <v>0</v>
      </c>
    </row>
    <row r="149" spans="1:22" outlineLevel="1" x14ac:dyDescent="0.2">
      <c r="C149" s="137" t="s">
        <v>128</v>
      </c>
      <c r="D149" s="23"/>
      <c r="E149" s="123"/>
      <c r="F149" s="107">
        <f t="shared" si="96"/>
        <v>800</v>
      </c>
      <c r="H149" s="160">
        <v>0</v>
      </c>
      <c r="I149" s="160">
        <v>0</v>
      </c>
      <c r="J149" s="118">
        <f>SUMIFS(INDEX(_STForecast_M_Data,MATCH('Consolidated Forecast (A)'!$C149,_STForecast_M_Labels,0),0),_STForecast_M_YearEnd,'Consolidated Forecast (A)'!J$5)</f>
        <v>800</v>
      </c>
      <c r="K149" s="160">
        <v>0</v>
      </c>
      <c r="L149" s="160">
        <v>0</v>
      </c>
      <c r="M149" s="145"/>
      <c r="N149" s="145"/>
      <c r="O149" s="145"/>
      <c r="P149" s="145"/>
      <c r="Q149" s="145"/>
      <c r="R149" s="145"/>
      <c r="S149" s="145"/>
      <c r="U149" s="160"/>
      <c r="V149" s="118"/>
    </row>
    <row r="150" spans="1:22" outlineLevel="1" x14ac:dyDescent="0.2">
      <c r="C150" s="138" t="s">
        <v>170</v>
      </c>
      <c r="D150" s="43" t="s">
        <v>92</v>
      </c>
      <c r="E150" s="42"/>
      <c r="F150" s="108">
        <f t="shared" si="96"/>
        <v>5183.1486333333341</v>
      </c>
      <c r="G150" s="42"/>
      <c r="H150" s="115">
        <f>SUM(H145:H149)</f>
        <v>55.860300000000009</v>
      </c>
      <c r="I150" s="115">
        <f t="shared" ref="I150:J150" si="97">SUM(I145:I149)</f>
        <v>424.95500000000004</v>
      </c>
      <c r="J150" s="115">
        <f t="shared" si="97"/>
        <v>4702.3333333333339</v>
      </c>
      <c r="K150" s="189">
        <v>0</v>
      </c>
      <c r="L150" s="189">
        <v>0</v>
      </c>
      <c r="M150" s="145"/>
      <c r="N150" s="145"/>
      <c r="O150" s="145"/>
      <c r="P150" s="145"/>
      <c r="Q150" s="145"/>
      <c r="R150" s="145"/>
      <c r="S150" s="145"/>
      <c r="U150" s="115" t="e">
        <f>SUM(U145:U148)</f>
        <v>#N/A</v>
      </c>
      <c r="V150" s="115">
        <f>SUM(V145:V148)</f>
        <v>0</v>
      </c>
    </row>
    <row r="151" spans="1:22" outlineLevel="1" x14ac:dyDescent="0.2">
      <c r="F151" s="107"/>
      <c r="H151" s="118"/>
      <c r="I151" s="118"/>
      <c r="J151" s="118"/>
      <c r="K151" s="118"/>
      <c r="L151" s="118"/>
      <c r="M151" s="154"/>
      <c r="N151" s="154"/>
      <c r="O151" s="154"/>
      <c r="P151" s="154"/>
      <c r="Q151" s="154"/>
      <c r="R151" s="154"/>
      <c r="S151" s="154"/>
      <c r="U151" s="154"/>
      <c r="V151" s="154"/>
    </row>
    <row r="152" spans="1:22" ht="16" outlineLevel="1" thickBot="1" x14ac:dyDescent="0.25">
      <c r="C152" s="142" t="s">
        <v>171</v>
      </c>
      <c r="D152" s="130" t="s">
        <v>92</v>
      </c>
      <c r="E152" s="129"/>
      <c r="F152" s="131">
        <f>SUM(H152:S152)</f>
        <v>-114773.2153055637</v>
      </c>
      <c r="G152" s="129"/>
      <c r="H152" s="134">
        <f>H142-H150</f>
        <v>-14678.535909999999</v>
      </c>
      <c r="I152" s="134">
        <f t="shared" ref="I152:L152" si="98">I142-I150</f>
        <v>-15244.716539999998</v>
      </c>
      <c r="J152" s="134">
        <f t="shared" si="98"/>
        <v>-23718.119047619046</v>
      </c>
      <c r="K152" s="134">
        <f t="shared" si="98"/>
        <v>-26566.780354160685</v>
      </c>
      <c r="L152" s="134">
        <f t="shared" si="98"/>
        <v>-34565.06345378398</v>
      </c>
      <c r="M152" s="106"/>
      <c r="N152" s="106"/>
      <c r="O152" s="106"/>
      <c r="P152" s="106"/>
      <c r="Q152" s="106"/>
      <c r="R152" s="106"/>
      <c r="S152" s="106"/>
      <c r="U152" s="134" t="e">
        <f>U142-U150-#REF!-#REF!</f>
        <v>#REF!</v>
      </c>
      <c r="V152" s="134" t="e">
        <f>V142-V150-#REF!-#REF!</f>
        <v>#REF!</v>
      </c>
    </row>
    <row r="153" spans="1:22" outlineLevel="1" x14ac:dyDescent="0.2">
      <c r="C153" s="137"/>
      <c r="F153" s="27"/>
      <c r="H153" s="119"/>
      <c r="I153" s="119"/>
      <c r="J153" s="119"/>
      <c r="K153" s="119"/>
      <c r="L153" s="119"/>
      <c r="M153" s="106"/>
      <c r="N153" s="106"/>
      <c r="O153" s="106"/>
      <c r="P153" s="106"/>
      <c r="Q153" s="106"/>
      <c r="R153" s="106"/>
      <c r="S153" s="106"/>
      <c r="U153" s="106"/>
      <c r="V153" s="106"/>
    </row>
    <row r="154" spans="1:22" outlineLevel="1" x14ac:dyDescent="0.2">
      <c r="C154" s="137"/>
      <c r="F154" s="27"/>
      <c r="H154" s="119"/>
      <c r="I154" s="119"/>
      <c r="J154" s="119"/>
      <c r="K154" s="119"/>
      <c r="L154" s="119"/>
      <c r="M154" s="106"/>
      <c r="N154" s="106"/>
      <c r="O154" s="106"/>
      <c r="P154" s="106"/>
      <c r="Q154" s="106"/>
      <c r="R154" s="106"/>
      <c r="S154" s="106"/>
      <c r="U154" s="106"/>
      <c r="V154" s="106"/>
    </row>
    <row r="155" spans="1:22" outlineLevel="1" x14ac:dyDescent="0.2">
      <c r="A155" s="15" t="s">
        <v>172</v>
      </c>
      <c r="B155" s="15"/>
      <c r="C155" s="141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U155" s="36"/>
      <c r="V155" s="36"/>
    </row>
    <row r="156" spans="1:22" outlineLevel="1" x14ac:dyDescent="0.2">
      <c r="F156" s="27"/>
      <c r="H156" s="124"/>
      <c r="I156" s="124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U156" s="160"/>
      <c r="V156" s="160"/>
    </row>
    <row r="157" spans="1:22" outlineLevel="1" x14ac:dyDescent="0.2">
      <c r="B157" s="20" t="s">
        <v>173</v>
      </c>
      <c r="F157" s="27"/>
      <c r="H157" s="124"/>
      <c r="I157" s="124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U157" s="160"/>
      <c r="V157" s="160"/>
    </row>
    <row r="158" spans="1:22" outlineLevel="1" x14ac:dyDescent="0.2">
      <c r="C158" t="s">
        <v>171</v>
      </c>
      <c r="D158" s="23" t="s">
        <v>92</v>
      </c>
      <c r="F158" s="107">
        <f t="shared" ref="F158" si="99">SUM(H158:S158)</f>
        <v>-29923.252449999996</v>
      </c>
      <c r="H158" s="114">
        <f>H152</f>
        <v>-14678.535909999999</v>
      </c>
      <c r="I158" s="114">
        <f>I152</f>
        <v>-15244.716539999998</v>
      </c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U158" s="160"/>
      <c r="V158" s="160"/>
    </row>
    <row r="159" spans="1:22" outlineLevel="1" x14ac:dyDescent="0.2">
      <c r="C159" t="s">
        <v>102</v>
      </c>
      <c r="D159" s="23" t="s">
        <v>92</v>
      </c>
      <c r="E159" s="123"/>
      <c r="F159" s="107">
        <f t="shared" ref="F159:F161" si="100">SUM(H159:S159)</f>
        <v>-212.35</v>
      </c>
      <c r="H159" s="118">
        <f>-SUMIFS(INDEX(_Hist_M_Data,MATCH('Consolidated Forecast (A)'!$C159,_Hist_M_Labels,0),0),_Hist_M_YearEnd,'Consolidated Forecast (A)'!H$5)</f>
        <v>0</v>
      </c>
      <c r="I159" s="118">
        <f>-SUMIFS(INDEX(_Hist_M_Data,MATCH('Consolidated Forecast (A)'!$C159,_Hist_M_Labels,0),0),_Hist_M_YearEnd,'Consolidated Forecast (A)'!I$5)</f>
        <v>-212.35</v>
      </c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U159" s="160"/>
      <c r="V159" s="160"/>
    </row>
    <row r="160" spans="1:22" outlineLevel="1" x14ac:dyDescent="0.2">
      <c r="C160" t="s">
        <v>174</v>
      </c>
      <c r="D160" s="23" t="s">
        <v>92</v>
      </c>
      <c r="E160" s="123"/>
      <c r="F160" s="107">
        <f t="shared" si="100"/>
        <v>908.94193999999993</v>
      </c>
      <c r="H160" s="118">
        <f>SUMIFS(INDEX(_Hist_M_Data,MATCH('Consolidated Forecast (A)'!$C160,_Hist_M_Labels,0),0),_Hist_M_YearEnd,'Consolidated Forecast (A)'!H$5)</f>
        <v>638.36546999999996</v>
      </c>
      <c r="I160" s="118">
        <f>SUMIFS(INDEX(_Hist_M_Data,MATCH('Consolidated Forecast (A)'!$C160,_Hist_M_Labels,0),0),_Hist_M_YearEnd,'Consolidated Forecast (A)'!I$5)</f>
        <v>270.57647000000003</v>
      </c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U160" s="160"/>
      <c r="V160" s="160"/>
    </row>
    <row r="161" spans="2:22" outlineLevel="1" x14ac:dyDescent="0.2">
      <c r="C161" s="137" t="s">
        <v>175</v>
      </c>
      <c r="D161" s="23" t="s">
        <v>92</v>
      </c>
      <c r="E161" s="123"/>
      <c r="F161" s="107">
        <f t="shared" si="100"/>
        <v>-32.604579999999999</v>
      </c>
      <c r="H161" s="118">
        <f>-SUMIFS(INDEX(_Hist_M_Data,MATCH('Consolidated Forecast (A)'!$C161,_Hist_M_Labels,0),0),_Hist_M_YearEnd,'Consolidated Forecast (A)'!H$5)</f>
        <v>-2.8914399999999998</v>
      </c>
      <c r="I161" s="118">
        <f>-SUMIFS(INDEX(_Hist_M_Data,MATCH('Consolidated Forecast (A)'!$C161,_Hist_M_Labels,0),0),_Hist_M_YearEnd,'Consolidated Forecast (A)'!I$5)</f>
        <v>-29.713139999999999</v>
      </c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U161" s="160"/>
      <c r="V161" s="160"/>
    </row>
    <row r="162" spans="2:22" outlineLevel="1" x14ac:dyDescent="0.2">
      <c r="C162" s="42" t="s">
        <v>173</v>
      </c>
      <c r="D162" s="43"/>
      <c r="E162" s="127"/>
      <c r="F162" s="108"/>
      <c r="G162" s="128"/>
      <c r="H162" s="115">
        <f>SUM(H158,H159:H161)</f>
        <v>-14043.061879999997</v>
      </c>
      <c r="I162" s="115">
        <f>SUM(I158,I159:I161)</f>
        <v>-15216.203209999998</v>
      </c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U162" s="160"/>
      <c r="V162" s="160"/>
    </row>
    <row r="163" spans="2:22" outlineLevel="1" x14ac:dyDescent="0.2">
      <c r="F163" s="27"/>
      <c r="H163" s="124"/>
      <c r="I163" s="124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U163" s="160"/>
      <c r="V163" s="160"/>
    </row>
    <row r="164" spans="2:22" outlineLevel="1" x14ac:dyDescent="0.2">
      <c r="B164" s="20" t="s">
        <v>172</v>
      </c>
      <c r="F164" s="27"/>
      <c r="H164" s="25"/>
      <c r="I164" s="204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U164" s="160"/>
      <c r="V164" s="160"/>
    </row>
    <row r="165" spans="2:22" outlineLevel="1" x14ac:dyDescent="0.2">
      <c r="C165" t="s">
        <v>176</v>
      </c>
      <c r="D165" s="23" t="s">
        <v>92</v>
      </c>
      <c r="E165" s="123"/>
      <c r="F165" s="107">
        <f t="shared" ref="F165" si="101">SUM(H165:S165)</f>
        <v>12632.695730000003</v>
      </c>
      <c r="H165" s="114">
        <f>G174</f>
        <v>3791.3040000000001</v>
      </c>
      <c r="I165" s="114">
        <f>H174</f>
        <v>8841.391730000003</v>
      </c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U165" s="160"/>
      <c r="V165" s="160"/>
    </row>
    <row r="166" spans="2:22" outlineLevel="1" x14ac:dyDescent="0.2">
      <c r="C166" t="s">
        <v>177</v>
      </c>
      <c r="D166" s="23" t="s">
        <v>92</v>
      </c>
      <c r="E166" s="123"/>
      <c r="F166" s="107">
        <f t="shared" ref="F166:F173" si="102">SUM(H166:S166)</f>
        <v>-29259.265089999994</v>
      </c>
      <c r="H166" s="114">
        <f>H162</f>
        <v>-14043.061879999997</v>
      </c>
      <c r="I166" s="114">
        <f>I162</f>
        <v>-15216.203209999998</v>
      </c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U166" s="160"/>
      <c r="V166" s="160"/>
    </row>
    <row r="167" spans="2:22" outlineLevel="1" x14ac:dyDescent="0.2">
      <c r="C167" t="s">
        <v>178</v>
      </c>
      <c r="D167" s="23" t="s">
        <v>92</v>
      </c>
      <c r="E167" s="123"/>
      <c r="F167" s="107">
        <f t="shared" si="102"/>
        <v>-6096.9479499999998</v>
      </c>
      <c r="H167" s="118">
        <f>SUMIFS(INDEX(_Hist_M_Data,MATCH('Consolidated Forecast (A)'!$C167,_Hist_M_Labels,0),0),_Hist_M_YearEnd,'Consolidated Forecast (A)'!H$5)</f>
        <v>-1016.4210299999997</v>
      </c>
      <c r="I167" s="118">
        <f>SUMIFS(INDEX(_Hist_M_Data,MATCH('Consolidated Forecast (A)'!$C167,_Hist_M_Labels,0),0),_Hist_M_YearEnd,'Consolidated Forecast (A)'!I$5)</f>
        <v>-5080.5269200000002</v>
      </c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U167" s="160"/>
      <c r="V167" s="160"/>
    </row>
    <row r="168" spans="2:22" outlineLevel="1" x14ac:dyDescent="0.2">
      <c r="C168" t="s">
        <v>179</v>
      </c>
      <c r="D168" s="23" t="s">
        <v>92</v>
      </c>
      <c r="E168" s="123"/>
      <c r="F168" s="107">
        <f t="shared" si="102"/>
        <v>-187.08036999999999</v>
      </c>
      <c r="H168" s="118">
        <f>SUMIFS(INDEX(_Hist_M_Data,MATCH('Consolidated Forecast (A)'!$C168,_Hist_M_Labels,0),0),_Hist_M_YearEnd,'Consolidated Forecast (A)'!H$5)</f>
        <v>-12.472969999999998</v>
      </c>
      <c r="I168" s="118">
        <f>SUMIFS(INDEX(_Hist_M_Data,MATCH('Consolidated Forecast (A)'!$C168,_Hist_M_Labels,0),0),_Hist_M_YearEnd,'Consolidated Forecast (A)'!I$5)</f>
        <v>-174.60739999999998</v>
      </c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U168" s="160"/>
      <c r="V168" s="160"/>
    </row>
    <row r="169" spans="2:22" outlineLevel="1" x14ac:dyDescent="0.2">
      <c r="C169" t="s">
        <v>180</v>
      </c>
      <c r="D169" s="23" t="s">
        <v>92</v>
      </c>
      <c r="E169" s="123"/>
      <c r="F169" s="107">
        <f t="shared" si="102"/>
        <v>-313.64940999999993</v>
      </c>
      <c r="H169" s="118">
        <f>SUMIFS(INDEX(_Hist_M_Data,MATCH('Consolidated Forecast (A)'!$C169,_Hist_M_Labels,0),0),_Hist_M_YearEnd,'Consolidated Forecast (A)'!H$5)</f>
        <v>-277.93004999999994</v>
      </c>
      <c r="I169" s="118">
        <f>SUMIFS(INDEX(_Hist_M_Data,MATCH('Consolidated Forecast (A)'!$C169,_Hist_M_Labels,0),0),_Hist_M_YearEnd,'Consolidated Forecast (A)'!I$5)</f>
        <v>-35.719359999999988</v>
      </c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U169" s="160"/>
      <c r="V169" s="160"/>
    </row>
    <row r="170" spans="2:22" outlineLevel="1" x14ac:dyDescent="0.2">
      <c r="C170" t="s">
        <v>181</v>
      </c>
      <c r="D170" s="23" t="s">
        <v>92</v>
      </c>
      <c r="E170" s="123"/>
      <c r="F170" s="107">
        <f>SUM(H170:S170)</f>
        <v>33717.498659999997</v>
      </c>
      <c r="H170" s="118">
        <f>SUMIFS(INDEX(_Hist_M_Data,MATCH('Consolidated Forecast (A)'!$C170,_Hist_M_Labels,0),0),_Hist_M_YearEnd,'Consolidated Forecast (A)'!H$5)</f>
        <v>20799.97366</v>
      </c>
      <c r="I170" s="118">
        <f>SUMIFS(INDEX(_Hist_M_Data,MATCH('Consolidated Forecast (A)'!$C170,_Hist_M_Labels,0),0),_Hist_M_YearEnd,'Consolidated Forecast (A)'!I$5)</f>
        <v>12917.525</v>
      </c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U170" s="160"/>
      <c r="V170" s="160"/>
    </row>
    <row r="171" spans="2:22" outlineLevel="1" x14ac:dyDescent="0.2">
      <c r="C171" t="s">
        <v>182</v>
      </c>
      <c r="D171" s="23" t="s">
        <v>92</v>
      </c>
      <c r="E171" s="123"/>
      <c r="F171" s="107">
        <f t="shared" si="102"/>
        <v>3750</v>
      </c>
      <c r="H171" s="118">
        <f>SUMIFS(INDEX(_Hist_M_Data,MATCH('Consolidated Forecast (A)'!$C171,_Hist_M_Labels,0),0),_Hist_M_YearEnd,'Consolidated Forecast (A)'!H$5)</f>
        <v>0</v>
      </c>
      <c r="I171" s="118">
        <f>SUMIFS(INDEX(_Hist_M_Data,MATCH('Consolidated Forecast (A)'!$C171,_Hist_M_Labels,0),0),_Hist_M_YearEnd,'Consolidated Forecast (A)'!I$5)</f>
        <v>3750</v>
      </c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U171" s="160"/>
      <c r="V171" s="160"/>
    </row>
    <row r="172" spans="2:22" outlineLevel="1" x14ac:dyDescent="0.2">
      <c r="C172" t="s">
        <v>183</v>
      </c>
      <c r="D172" s="23" t="s">
        <v>92</v>
      </c>
      <c r="E172" s="123"/>
      <c r="F172" s="107">
        <f t="shared" si="102"/>
        <v>-400</v>
      </c>
      <c r="H172" s="118">
        <f>SUMIFS(INDEX(_Hist_M_Data,MATCH('Consolidated Forecast (A)'!$C172,_Hist_M_Labels,0),0),_Hist_M_YearEnd,'Consolidated Forecast (A)'!H$5)</f>
        <v>-400</v>
      </c>
      <c r="I172" s="118">
        <f>SUMIFS(INDEX(_Hist_M_Data,MATCH('Consolidated Forecast (A)'!$C172,_Hist_M_Labels,0),0),_Hist_M_YearEnd,'Consolidated Forecast (A)'!I$5)</f>
        <v>0</v>
      </c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U172" s="160"/>
      <c r="V172" s="160"/>
    </row>
    <row r="173" spans="2:22" outlineLevel="1" x14ac:dyDescent="0.2">
      <c r="C173" t="s">
        <v>184</v>
      </c>
      <c r="D173" s="23" t="s">
        <v>92</v>
      </c>
      <c r="E173" s="123"/>
      <c r="F173" s="107">
        <f t="shared" si="102"/>
        <v>-227.35400000000001</v>
      </c>
      <c r="H173" s="118">
        <f>SUMIFS(INDEX(_Hist_M_Data,MATCH('Consolidated Forecast (A)'!$C173,_Hist_M_Labels,0),0),_Hist_M_YearEnd,'Consolidated Forecast (A)'!H$5)</f>
        <v>0</v>
      </c>
      <c r="I173" s="118">
        <f>SUMIFS(INDEX(_Hist_M_Data,MATCH('Consolidated Forecast (A)'!$C173,_Hist_M_Labels,0),0),_Hist_M_YearEnd,'Consolidated Forecast (A)'!I$5)</f>
        <v>-227.35400000000001</v>
      </c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U173" s="160"/>
      <c r="V173" s="160"/>
    </row>
    <row r="174" spans="2:22" outlineLevel="1" x14ac:dyDescent="0.2">
      <c r="C174" s="42" t="s">
        <v>185</v>
      </c>
      <c r="D174" s="43" t="s">
        <v>92</v>
      </c>
      <c r="E174" s="127"/>
      <c r="F174" s="108"/>
      <c r="G174" s="128">
        <f>3791304/1000</f>
        <v>3791.3040000000001</v>
      </c>
      <c r="H174" s="115">
        <f>SUM(H165:H173)</f>
        <v>8841.391730000003</v>
      </c>
      <c r="I174" s="115">
        <f>SUM(I165:I173)</f>
        <v>4774.5058400000044</v>
      </c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U174" s="154"/>
      <c r="V174" s="154"/>
    </row>
    <row r="175" spans="2:22" outlineLevel="1" x14ac:dyDescent="0.2">
      <c r="F175" s="27"/>
      <c r="H175" s="124"/>
      <c r="I175" s="124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U175" s="160"/>
      <c r="V175" s="160"/>
    </row>
    <row r="176" spans="2:22" outlineLevel="1" x14ac:dyDescent="0.2">
      <c r="B176" s="20" t="s">
        <v>186</v>
      </c>
      <c r="F176" s="27"/>
      <c r="H176" s="124"/>
      <c r="I176" s="124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U176" s="160"/>
      <c r="V176" s="160"/>
    </row>
    <row r="177" spans="2:22" outlineLevel="1" x14ac:dyDescent="0.2">
      <c r="C177" t="s">
        <v>187</v>
      </c>
      <c r="D177" s="23" t="s">
        <v>92</v>
      </c>
      <c r="E177" s="123"/>
      <c r="F177" s="107">
        <f>SUM(H177:S177)</f>
        <v>20799.97366</v>
      </c>
      <c r="H177" s="118">
        <f>SUMIFS(INDEX(_Hist_M_Data,MATCH('Consolidated Forecast (A)'!$C177,_Hist_M_Labels,0),0),_Hist_M_YearEnd,'Consolidated Forecast (A)'!H$5)</f>
        <v>20799.97366</v>
      </c>
      <c r="I177" s="118">
        <f>SUMIFS(INDEX(_Hist_M_Data,MATCH('Consolidated Forecast (A)'!$C177,_Hist_M_Labels,0),0),_Hist_M_YearEnd,'Consolidated Forecast (A)'!I$5)</f>
        <v>0</v>
      </c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U177" s="160"/>
      <c r="V177" s="160"/>
    </row>
    <row r="178" spans="2:22" outlineLevel="1" x14ac:dyDescent="0.2">
      <c r="C178" t="s">
        <v>188</v>
      </c>
      <c r="D178" s="23" t="s">
        <v>92</v>
      </c>
      <c r="E178" s="123"/>
      <c r="F178" s="107">
        <f t="shared" ref="F178" si="103">SUM(H178:S178)</f>
        <v>12917.525</v>
      </c>
      <c r="H178" s="118">
        <f>SUMIFS(INDEX(_Hist_M_Data,MATCH('Consolidated Forecast (A)'!$C178,_Hist_M_Labels,0),0),_Hist_M_YearEnd,'Consolidated Forecast (A)'!H$5)</f>
        <v>0</v>
      </c>
      <c r="I178" s="118">
        <f>SUMIFS(INDEX(_Hist_M_Data,MATCH('Consolidated Forecast (A)'!$C178,_Hist_M_Labels,0),0),_Hist_M_YearEnd,'Consolidated Forecast (A)'!I$5)</f>
        <v>12917.525</v>
      </c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U178" s="160"/>
      <c r="V178" s="160"/>
    </row>
    <row r="179" spans="2:22" outlineLevel="1" x14ac:dyDescent="0.2">
      <c r="C179" s="42" t="s">
        <v>189</v>
      </c>
      <c r="D179" s="43" t="s">
        <v>92</v>
      </c>
      <c r="E179" s="42"/>
      <c r="F179" s="126"/>
      <c r="G179" s="42"/>
      <c r="H179" s="125">
        <f>SUM(H177:H178)</f>
        <v>20799.97366</v>
      </c>
      <c r="I179" s="125">
        <f>SUM(I177:I178)</f>
        <v>12917.525</v>
      </c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U179" s="154"/>
      <c r="V179" s="154"/>
    </row>
    <row r="180" spans="2:22" outlineLevel="1" x14ac:dyDescent="0.2">
      <c r="F180" s="27"/>
      <c r="H180" s="25"/>
      <c r="I180" s="25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U180" s="160"/>
      <c r="V180" s="160"/>
    </row>
    <row r="181" spans="2:22" outlineLevel="1" x14ac:dyDescent="0.2">
      <c r="C181" t="s">
        <v>190</v>
      </c>
      <c r="D181" s="23" t="s">
        <v>92</v>
      </c>
      <c r="E181" s="123"/>
      <c r="F181" s="107">
        <f>SUM(H181:S181)</f>
        <v>383.98800000000006</v>
      </c>
      <c r="H181" s="118">
        <f>SUMIFS(INDEX(_Hist_M_Data,MATCH('Consolidated Forecast (A)'!$C181,_Hist_M_Labels,0),0),_Hist_M_YearEnd,'Consolidated Forecast (A)'!H$5)</f>
        <v>-400</v>
      </c>
      <c r="I181" s="118">
        <f>SUMIFS(INDEX(_Hist_M_Data,MATCH('Consolidated Forecast (A)'!$C181,_Hist_M_Labels,0),0),_Hist_M_YearEnd,'Consolidated Forecast (A)'!I$5)</f>
        <v>783.98800000000006</v>
      </c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U181" s="160"/>
      <c r="V181" s="160"/>
    </row>
    <row r="182" spans="2:22" outlineLevel="1" x14ac:dyDescent="0.2">
      <c r="F182" s="27"/>
      <c r="H182" s="25"/>
      <c r="I182" s="25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U182" s="160"/>
      <c r="V182" s="160"/>
    </row>
    <row r="183" spans="2:22" outlineLevel="1" x14ac:dyDescent="0.2">
      <c r="B183" s="20" t="s">
        <v>191</v>
      </c>
      <c r="F183" s="27"/>
      <c r="H183" s="25"/>
      <c r="I183" s="25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U183" s="160"/>
      <c r="V183" s="160"/>
    </row>
    <row r="184" spans="2:22" outlineLevel="1" x14ac:dyDescent="0.2">
      <c r="B184" s="20"/>
      <c r="C184" t="s">
        <v>192</v>
      </c>
      <c r="D184" s="23" t="s">
        <v>92</v>
      </c>
      <c r="E184" s="123"/>
      <c r="F184" s="107">
        <f>SUM(H184:S184)</f>
        <v>277.93004999999994</v>
      </c>
      <c r="H184" s="118">
        <f>SUMIFS(INDEX(_Hist_M_Data,MATCH('Consolidated Forecast (A)'!$C184,_Hist_M_Labels,0),0),_Hist_M_YearEnd,'Consolidated Forecast (A)'!H$5)</f>
        <v>277.93004999999994</v>
      </c>
      <c r="I184" s="118">
        <f>SUMIFS(INDEX(_Hist_M_Data,MATCH('Consolidated Forecast (A)'!$C184,_Hist_M_Labels,0),0),_Hist_M_YearEnd,'Consolidated Forecast (A)'!I$5)</f>
        <v>0</v>
      </c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U184" s="160"/>
      <c r="V184" s="160"/>
    </row>
    <row r="185" spans="2:22" outlineLevel="1" x14ac:dyDescent="0.2">
      <c r="C185" t="s">
        <v>193</v>
      </c>
      <c r="D185" s="23" t="s">
        <v>92</v>
      </c>
      <c r="E185" s="123"/>
      <c r="F185" s="107">
        <f>SUM(H185:S185)</f>
        <v>35.719359999999988</v>
      </c>
      <c r="H185" s="118">
        <f>SUMIFS(INDEX(_Hist_M_Data,MATCH('Consolidated Forecast (A)'!$C185,_Hist_M_Labels,0),0),_Hist_M_YearEnd,'Consolidated Forecast (A)'!H$5)</f>
        <v>0</v>
      </c>
      <c r="I185" s="118">
        <f>SUMIFS(INDEX(_Hist_M_Data,MATCH('Consolidated Forecast (A)'!$C185,_Hist_M_Labels,0),0),_Hist_M_YearEnd,'Consolidated Forecast (A)'!I$5)</f>
        <v>35.719359999999988</v>
      </c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U185" s="160"/>
      <c r="V185" s="160"/>
    </row>
    <row r="186" spans="2:22" outlineLevel="1" x14ac:dyDescent="0.2">
      <c r="C186" s="42" t="s">
        <v>194</v>
      </c>
      <c r="D186" s="43" t="s">
        <v>92</v>
      </c>
      <c r="E186" s="42"/>
      <c r="F186" s="108">
        <f>SUM(H186:S186)</f>
        <v>313.64940999999993</v>
      </c>
      <c r="G186" s="42"/>
      <c r="H186" s="125">
        <f>SUM(H184:H185)</f>
        <v>277.93004999999994</v>
      </c>
      <c r="I186" s="125">
        <f>SUM(I184:I185)</f>
        <v>35.719359999999988</v>
      </c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U186" s="160"/>
      <c r="V186" s="160"/>
    </row>
    <row r="187" spans="2:22" x14ac:dyDescent="0.2">
      <c r="F187" s="27"/>
      <c r="H187" s="25"/>
      <c r="I187" s="25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</row>
    <row r="188" spans="2:22" x14ac:dyDescent="0.2">
      <c r="B188" s="20" t="s">
        <v>76</v>
      </c>
      <c r="E188" s="152"/>
      <c r="F188" s="27"/>
      <c r="H188" s="239"/>
      <c r="I188" s="239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</row>
    <row r="189" spans="2:22" x14ac:dyDescent="0.2">
      <c r="C189" t="s">
        <v>134</v>
      </c>
      <c r="D189" s="23" t="s">
        <v>92</v>
      </c>
      <c r="E189" s="123"/>
      <c r="F189" s="27"/>
      <c r="H189" s="114">
        <f>G191</f>
        <v>0</v>
      </c>
      <c r="I189" s="114">
        <f t="shared" ref="I189" si="104">H191</f>
        <v>0</v>
      </c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</row>
    <row r="190" spans="2:22" x14ac:dyDescent="0.2">
      <c r="C190" t="s">
        <v>195</v>
      </c>
      <c r="D190" s="23" t="s">
        <v>92</v>
      </c>
      <c r="E190" s="123"/>
      <c r="F190" s="107">
        <f>SUM(H190:AE190)</f>
        <v>3750</v>
      </c>
      <c r="H190" s="118">
        <f>SUMIFS(INDEX(_Hist_M_Data,MATCH('Consolidated Forecast (A)'!$C190,_Hist_M_Labels,0),0),_Hist_M_YearEnd,'Consolidated Forecast (A)'!H$5)</f>
        <v>0</v>
      </c>
      <c r="I190" s="118">
        <f>SUMIFS(INDEX(_Hist_M_Data,MATCH('Consolidated Forecast (A)'!$C190,_Hist_M_Labels,0),0),_Hist_M_YearEnd,'Consolidated Forecast (A)'!I$5)</f>
        <v>3750</v>
      </c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</row>
    <row r="191" spans="2:22" x14ac:dyDescent="0.2">
      <c r="C191" s="42" t="s">
        <v>137</v>
      </c>
      <c r="D191" s="43" t="s">
        <v>92</v>
      </c>
      <c r="E191" s="136"/>
      <c r="F191" s="126"/>
      <c r="G191" s="98"/>
      <c r="H191" s="125">
        <f>SUM(H189:H190)</f>
        <v>0</v>
      </c>
      <c r="I191" s="125">
        <f t="shared" ref="I191" si="105">SUM(I189:I190)</f>
        <v>3750</v>
      </c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0B7D-2B60-413F-9960-802DFCE22F7E}">
  <dimension ref="A2:BU67"/>
  <sheetViews>
    <sheetView showGridLines="0" topLeftCell="A62" workbookViewId="0">
      <selection activeCell="C71" sqref="C71"/>
    </sheetView>
  </sheetViews>
  <sheetFormatPr baseColWidth="10" defaultColWidth="0" defaultRowHeight="15" outlineLevelRow="1" outlineLevelCol="1" x14ac:dyDescent="0.2"/>
  <cols>
    <col min="1" max="2" width="2.5" customWidth="1"/>
    <col min="3" max="3" width="30.5" customWidth="1"/>
    <col min="4" max="4" width="9.1640625" customWidth="1"/>
    <col min="5" max="5" width="10.5" customWidth="1"/>
    <col min="6" max="6" width="11.1640625" customWidth="1"/>
    <col min="7" max="7" width="3" customWidth="1"/>
    <col min="8" max="21" width="12.5" customWidth="1" outlineLevel="1"/>
    <col min="22" max="43" width="12.5" customWidth="1"/>
    <col min="44" max="44" width="8.6640625" customWidth="1"/>
    <col min="45" max="73" width="0" hidden="1" customWidth="1"/>
    <col min="74" max="16384" width="8.6640625" hidden="1"/>
  </cols>
  <sheetData>
    <row r="2" spans="1:43" ht="20" x14ac:dyDescent="0.25">
      <c r="B2" s="203" t="s">
        <v>0</v>
      </c>
    </row>
    <row r="3" spans="1:43" ht="16" x14ac:dyDescent="0.2">
      <c r="B3" s="197" t="s">
        <v>196</v>
      </c>
    </row>
    <row r="5" spans="1:43" x14ac:dyDescent="0.2">
      <c r="B5" s="31" t="s">
        <v>84</v>
      </c>
      <c r="C5" s="31"/>
      <c r="D5" s="31"/>
      <c r="E5" s="207">
        <v>46022</v>
      </c>
      <c r="F5" s="31"/>
      <c r="G5" s="32">
        <f>E5</f>
        <v>46022</v>
      </c>
      <c r="H5" s="33">
        <f>EOMONTH(G5,1)</f>
        <v>46053</v>
      </c>
      <c r="I5" s="33">
        <f t="shared" ref="I5:N5" si="0">EOMONTH(H5,1)</f>
        <v>46081</v>
      </c>
      <c r="J5" s="33">
        <f t="shared" si="0"/>
        <v>46112</v>
      </c>
      <c r="K5" s="33">
        <f t="shared" si="0"/>
        <v>46142</v>
      </c>
      <c r="L5" s="33">
        <f>EOMONTH(K5,1)</f>
        <v>46173</v>
      </c>
      <c r="M5" s="33">
        <f t="shared" si="0"/>
        <v>46203</v>
      </c>
      <c r="N5" s="33">
        <f t="shared" si="0"/>
        <v>46234</v>
      </c>
      <c r="O5" s="33">
        <f t="shared" ref="O5" si="1">EOMONTH(N5,1)</f>
        <v>46265</v>
      </c>
      <c r="P5" s="33">
        <f t="shared" ref="P5" si="2">EOMONTH(O5,1)</f>
        <v>46295</v>
      </c>
      <c r="Q5" s="33">
        <f t="shared" ref="Q5:AQ5" si="3">EOMONTH(P5,1)</f>
        <v>46326</v>
      </c>
      <c r="R5" s="33">
        <f t="shared" si="3"/>
        <v>46356</v>
      </c>
      <c r="S5" s="33">
        <f t="shared" si="3"/>
        <v>46387</v>
      </c>
      <c r="T5" s="33">
        <f t="shared" si="3"/>
        <v>46418</v>
      </c>
      <c r="U5" s="33">
        <f t="shared" si="3"/>
        <v>46446</v>
      </c>
      <c r="V5" s="33">
        <f t="shared" si="3"/>
        <v>46477</v>
      </c>
      <c r="W5" s="33">
        <f t="shared" si="3"/>
        <v>46507</v>
      </c>
      <c r="X5" s="33">
        <f t="shared" si="3"/>
        <v>46538</v>
      </c>
      <c r="Y5" s="33">
        <f t="shared" si="3"/>
        <v>46568</v>
      </c>
      <c r="Z5" s="33">
        <f t="shared" si="3"/>
        <v>46599</v>
      </c>
      <c r="AA5" s="33">
        <f t="shared" si="3"/>
        <v>46630</v>
      </c>
      <c r="AB5" s="33">
        <f t="shared" si="3"/>
        <v>46660</v>
      </c>
      <c r="AC5" s="33">
        <f t="shared" si="3"/>
        <v>46691</v>
      </c>
      <c r="AD5" s="33">
        <f t="shared" si="3"/>
        <v>46721</v>
      </c>
      <c r="AE5" s="33">
        <f t="shared" si="3"/>
        <v>46752</v>
      </c>
      <c r="AF5" s="33">
        <f t="shared" si="3"/>
        <v>46783</v>
      </c>
      <c r="AG5" s="33">
        <f t="shared" si="3"/>
        <v>46812</v>
      </c>
      <c r="AH5" s="33">
        <f t="shared" si="3"/>
        <v>46843</v>
      </c>
      <c r="AI5" s="33">
        <f t="shared" si="3"/>
        <v>46873</v>
      </c>
      <c r="AJ5" s="33">
        <f t="shared" si="3"/>
        <v>46904</v>
      </c>
      <c r="AK5" s="33">
        <f t="shared" si="3"/>
        <v>46934</v>
      </c>
      <c r="AL5" s="33">
        <f t="shared" si="3"/>
        <v>46965</v>
      </c>
      <c r="AM5" s="33">
        <f t="shared" si="3"/>
        <v>46996</v>
      </c>
      <c r="AN5" s="33">
        <f t="shared" si="3"/>
        <v>47026</v>
      </c>
      <c r="AO5" s="33">
        <f t="shared" si="3"/>
        <v>47057</v>
      </c>
      <c r="AP5" s="33">
        <f t="shared" si="3"/>
        <v>47087</v>
      </c>
      <c r="AQ5" s="33">
        <f t="shared" si="3"/>
        <v>47118</v>
      </c>
    </row>
    <row r="6" spans="1:43" x14ac:dyDescent="0.2">
      <c r="B6" s="31" t="s">
        <v>85</v>
      </c>
      <c r="C6" s="31"/>
      <c r="D6" s="31"/>
      <c r="E6" s="31"/>
      <c r="F6" s="34">
        <f>SUM(G6:CE6)</f>
        <v>2.9944444444444454</v>
      </c>
      <c r="G6" s="35"/>
      <c r="H6" s="56">
        <f t="shared" ref="H6:K6" si="4">YEARFRAC(H5,G5)</f>
        <v>8.3333333333333329E-2</v>
      </c>
      <c r="I6" s="56">
        <f t="shared" si="4"/>
        <v>7.7777777777777779E-2</v>
      </c>
      <c r="J6" s="56">
        <f t="shared" si="4"/>
        <v>8.611111111111111E-2</v>
      </c>
      <c r="K6" s="56">
        <f t="shared" si="4"/>
        <v>8.3333333333333329E-2</v>
      </c>
      <c r="L6" s="56">
        <f>YEARFRAC(L5,K5)</f>
        <v>8.3333333333333329E-2</v>
      </c>
      <c r="M6" s="56">
        <f t="shared" ref="M6:N6" si="5">YEARFRAC(M5,L5)</f>
        <v>8.3333333333333329E-2</v>
      </c>
      <c r="N6" s="56">
        <f t="shared" si="5"/>
        <v>8.3333333333333329E-2</v>
      </c>
      <c r="O6" s="56">
        <f t="shared" ref="O6" si="6">YEARFRAC(O5,N5)</f>
        <v>8.3333333333333329E-2</v>
      </c>
      <c r="P6" s="56">
        <f t="shared" ref="P6" si="7">YEARFRAC(P5,O5)</f>
        <v>8.3333333333333329E-2</v>
      </c>
      <c r="Q6" s="56">
        <f t="shared" ref="Q6:AQ6" si="8">YEARFRAC(Q5,P5)</f>
        <v>8.3333333333333329E-2</v>
      </c>
      <c r="R6" s="56">
        <f t="shared" si="8"/>
        <v>8.3333333333333329E-2</v>
      </c>
      <c r="S6" s="56">
        <f t="shared" si="8"/>
        <v>8.3333333333333329E-2</v>
      </c>
      <c r="T6" s="56">
        <f t="shared" si="8"/>
        <v>8.3333333333333329E-2</v>
      </c>
      <c r="U6" s="56">
        <f t="shared" si="8"/>
        <v>7.7777777777777779E-2</v>
      </c>
      <c r="V6" s="56">
        <f t="shared" si="8"/>
        <v>8.611111111111111E-2</v>
      </c>
      <c r="W6" s="56">
        <f t="shared" si="8"/>
        <v>8.3333333333333329E-2</v>
      </c>
      <c r="X6" s="56">
        <f t="shared" si="8"/>
        <v>8.3333333333333329E-2</v>
      </c>
      <c r="Y6" s="56">
        <f t="shared" si="8"/>
        <v>8.3333333333333329E-2</v>
      </c>
      <c r="Z6" s="56">
        <f t="shared" si="8"/>
        <v>8.3333333333333329E-2</v>
      </c>
      <c r="AA6" s="56">
        <f t="shared" si="8"/>
        <v>8.3333333333333329E-2</v>
      </c>
      <c r="AB6" s="56">
        <f t="shared" si="8"/>
        <v>8.3333333333333329E-2</v>
      </c>
      <c r="AC6" s="56">
        <f t="shared" si="8"/>
        <v>8.3333333333333329E-2</v>
      </c>
      <c r="AD6" s="56">
        <f t="shared" si="8"/>
        <v>8.3333333333333329E-2</v>
      </c>
      <c r="AE6" s="56">
        <f t="shared" si="8"/>
        <v>8.3333333333333329E-2</v>
      </c>
      <c r="AF6" s="56">
        <f t="shared" si="8"/>
        <v>8.3333333333333329E-2</v>
      </c>
      <c r="AG6" s="56">
        <f t="shared" si="8"/>
        <v>8.0555555555555561E-2</v>
      </c>
      <c r="AH6" s="56">
        <f t="shared" si="8"/>
        <v>8.611111111111111E-2</v>
      </c>
      <c r="AI6" s="56">
        <f t="shared" si="8"/>
        <v>8.3333333333333329E-2</v>
      </c>
      <c r="AJ6" s="56">
        <f t="shared" si="8"/>
        <v>8.3333333333333329E-2</v>
      </c>
      <c r="AK6" s="56">
        <f t="shared" si="8"/>
        <v>8.3333333333333329E-2</v>
      </c>
      <c r="AL6" s="56">
        <f t="shared" si="8"/>
        <v>8.3333333333333329E-2</v>
      </c>
      <c r="AM6" s="56">
        <f t="shared" si="8"/>
        <v>8.3333333333333329E-2</v>
      </c>
      <c r="AN6" s="56">
        <f t="shared" si="8"/>
        <v>8.3333333333333329E-2</v>
      </c>
      <c r="AO6" s="56">
        <f t="shared" si="8"/>
        <v>8.3333333333333329E-2</v>
      </c>
      <c r="AP6" s="56">
        <f t="shared" si="8"/>
        <v>8.3333333333333329E-2</v>
      </c>
      <c r="AQ6" s="56">
        <f t="shared" si="8"/>
        <v>8.3333333333333329E-2</v>
      </c>
    </row>
    <row r="7" spans="1:43" x14ac:dyDescent="0.2">
      <c r="B7" s="31" t="s">
        <v>197</v>
      </c>
      <c r="C7" s="31"/>
      <c r="D7" s="31"/>
      <c r="E7" s="31"/>
      <c r="F7" s="34"/>
      <c r="G7" s="35"/>
      <c r="H7" s="112">
        <f t="shared" ref="H7:AQ7" si="9">DATE(YEAR(H5),12,31)</f>
        <v>46387</v>
      </c>
      <c r="I7" s="112">
        <f t="shared" si="9"/>
        <v>46387</v>
      </c>
      <c r="J7" s="112">
        <f t="shared" si="9"/>
        <v>46387</v>
      </c>
      <c r="K7" s="112">
        <f t="shared" si="9"/>
        <v>46387</v>
      </c>
      <c r="L7" s="112">
        <f t="shared" si="9"/>
        <v>46387</v>
      </c>
      <c r="M7" s="112">
        <f t="shared" si="9"/>
        <v>46387</v>
      </c>
      <c r="N7" s="112">
        <f t="shared" si="9"/>
        <v>46387</v>
      </c>
      <c r="O7" s="112">
        <f t="shared" si="9"/>
        <v>46387</v>
      </c>
      <c r="P7" s="112">
        <f t="shared" si="9"/>
        <v>46387</v>
      </c>
      <c r="Q7" s="112">
        <f t="shared" si="9"/>
        <v>46387</v>
      </c>
      <c r="R7" s="112">
        <f t="shared" si="9"/>
        <v>46387</v>
      </c>
      <c r="S7" s="112">
        <f t="shared" si="9"/>
        <v>46387</v>
      </c>
      <c r="T7" s="112">
        <f t="shared" si="9"/>
        <v>46752</v>
      </c>
      <c r="U7" s="112">
        <f t="shared" si="9"/>
        <v>46752</v>
      </c>
      <c r="V7" s="112">
        <f t="shared" si="9"/>
        <v>46752</v>
      </c>
      <c r="W7" s="112">
        <f t="shared" si="9"/>
        <v>46752</v>
      </c>
      <c r="X7" s="112">
        <f t="shared" si="9"/>
        <v>46752</v>
      </c>
      <c r="Y7" s="112">
        <f t="shared" si="9"/>
        <v>46752</v>
      </c>
      <c r="Z7" s="112">
        <f t="shared" si="9"/>
        <v>46752</v>
      </c>
      <c r="AA7" s="112">
        <f t="shared" si="9"/>
        <v>46752</v>
      </c>
      <c r="AB7" s="112">
        <f t="shared" si="9"/>
        <v>46752</v>
      </c>
      <c r="AC7" s="112">
        <f t="shared" si="9"/>
        <v>46752</v>
      </c>
      <c r="AD7" s="112">
        <f t="shared" si="9"/>
        <v>46752</v>
      </c>
      <c r="AE7" s="112">
        <f t="shared" si="9"/>
        <v>46752</v>
      </c>
      <c r="AF7" s="112">
        <f t="shared" si="9"/>
        <v>47118</v>
      </c>
      <c r="AG7" s="112">
        <f t="shared" si="9"/>
        <v>47118</v>
      </c>
      <c r="AH7" s="112">
        <f t="shared" si="9"/>
        <v>47118</v>
      </c>
      <c r="AI7" s="112">
        <f t="shared" si="9"/>
        <v>47118</v>
      </c>
      <c r="AJ7" s="112">
        <f t="shared" si="9"/>
        <v>47118</v>
      </c>
      <c r="AK7" s="112">
        <f t="shared" si="9"/>
        <v>47118</v>
      </c>
      <c r="AL7" s="112">
        <f t="shared" si="9"/>
        <v>47118</v>
      </c>
      <c r="AM7" s="112">
        <f t="shared" si="9"/>
        <v>47118</v>
      </c>
      <c r="AN7" s="112">
        <f t="shared" si="9"/>
        <v>47118</v>
      </c>
      <c r="AO7" s="112">
        <f t="shared" si="9"/>
        <v>47118</v>
      </c>
      <c r="AP7" s="112">
        <f t="shared" si="9"/>
        <v>47118</v>
      </c>
      <c r="AQ7" s="112">
        <f t="shared" si="9"/>
        <v>47118</v>
      </c>
    </row>
    <row r="8" spans="1:43" x14ac:dyDescent="0.2">
      <c r="AI8" s="28"/>
    </row>
    <row r="9" spans="1:43" x14ac:dyDescent="0.2">
      <c r="A9" s="15" t="s">
        <v>198</v>
      </c>
      <c r="B9" s="15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</row>
    <row r="10" spans="1:43" x14ac:dyDescent="0.2">
      <c r="F10" s="27"/>
      <c r="H10" s="137"/>
      <c r="I10" s="137"/>
      <c r="J10" s="137"/>
      <c r="K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28"/>
      <c r="AJ10" s="137"/>
      <c r="AK10" s="137"/>
      <c r="AL10" s="137"/>
      <c r="AM10" s="137"/>
      <c r="AN10" s="137"/>
      <c r="AO10" s="137"/>
      <c r="AP10" s="137"/>
      <c r="AQ10" s="137"/>
    </row>
    <row r="11" spans="1:43" x14ac:dyDescent="0.2">
      <c r="B11" s="20" t="s">
        <v>139</v>
      </c>
      <c r="C11" s="137"/>
      <c r="F11" s="27"/>
      <c r="H11" s="28"/>
      <c r="I11" s="28"/>
      <c r="J11" s="28"/>
      <c r="K11" s="28"/>
      <c r="L11" s="19"/>
      <c r="M11" s="19"/>
      <c r="N11" s="19"/>
      <c r="O11" s="19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2">
      <c r="C12" s="137" t="s">
        <v>140</v>
      </c>
      <c r="D12" s="23" t="s">
        <v>50</v>
      </c>
      <c r="E12" s="123"/>
      <c r="F12" s="27"/>
      <c r="H12" s="21">
        <v>28</v>
      </c>
      <c r="I12" s="21">
        <v>28</v>
      </c>
      <c r="J12" s="21">
        <v>29</v>
      </c>
      <c r="K12" s="21">
        <v>30</v>
      </c>
      <c r="L12" s="21">
        <v>31</v>
      </c>
      <c r="M12" s="21">
        <v>32</v>
      </c>
      <c r="N12" s="21">
        <v>34</v>
      </c>
      <c r="O12" s="21">
        <v>36</v>
      </c>
      <c r="P12" s="21">
        <v>38</v>
      </c>
      <c r="Q12" s="21">
        <v>40</v>
      </c>
      <c r="R12" s="21">
        <v>42</v>
      </c>
      <c r="S12" s="21">
        <v>44</v>
      </c>
      <c r="T12" s="21">
        <f>S12+T13</f>
        <v>46</v>
      </c>
      <c r="U12" s="21">
        <f>T12+U13</f>
        <v>48</v>
      </c>
      <c r="V12" s="21">
        <v>50</v>
      </c>
      <c r="W12" s="21">
        <v>51</v>
      </c>
      <c r="X12" s="21">
        <v>52</v>
      </c>
      <c r="Y12" s="21">
        <v>53</v>
      </c>
      <c r="Z12" s="21">
        <v>54</v>
      </c>
      <c r="AA12" s="21">
        <v>55</v>
      </c>
      <c r="AB12" s="21">
        <v>56</v>
      </c>
      <c r="AC12" s="21">
        <v>58</v>
      </c>
      <c r="AD12" s="21">
        <v>59</v>
      </c>
      <c r="AE12" s="21">
        <v>60</v>
      </c>
      <c r="AF12" s="21">
        <v>62</v>
      </c>
      <c r="AG12" s="21">
        <v>63</v>
      </c>
      <c r="AH12" s="21">
        <v>64</v>
      </c>
      <c r="AI12" s="21">
        <v>66</v>
      </c>
      <c r="AJ12" s="21">
        <v>67</v>
      </c>
      <c r="AK12" s="21">
        <v>69</v>
      </c>
      <c r="AL12" s="21">
        <v>70</v>
      </c>
      <c r="AM12" s="21">
        <v>72</v>
      </c>
      <c r="AN12" s="21">
        <v>73</v>
      </c>
      <c r="AO12" s="21">
        <v>75</v>
      </c>
      <c r="AP12" s="21">
        <v>77</v>
      </c>
      <c r="AQ12" s="21">
        <v>78</v>
      </c>
    </row>
    <row r="13" spans="1:43" x14ac:dyDescent="0.2">
      <c r="C13" s="137" t="s">
        <v>141</v>
      </c>
      <c r="D13" s="23" t="s">
        <v>50</v>
      </c>
      <c r="E13" s="123"/>
      <c r="F13" s="107">
        <f>SUM(H13:AQ13)</f>
        <v>50</v>
      </c>
      <c r="H13" s="21">
        <v>0</v>
      </c>
      <c r="I13" s="21">
        <v>0</v>
      </c>
      <c r="J13" s="21">
        <v>1</v>
      </c>
      <c r="K13" s="21">
        <v>1</v>
      </c>
      <c r="L13" s="21">
        <v>1</v>
      </c>
      <c r="M13" s="21">
        <v>1</v>
      </c>
      <c r="N13" s="21">
        <v>2</v>
      </c>
      <c r="O13" s="21">
        <v>2</v>
      </c>
      <c r="P13" s="21">
        <v>2</v>
      </c>
      <c r="Q13" s="21">
        <v>2</v>
      </c>
      <c r="R13" s="21">
        <v>2</v>
      </c>
      <c r="S13" s="21">
        <v>2</v>
      </c>
      <c r="T13" s="21">
        <v>2</v>
      </c>
      <c r="U13" s="21">
        <v>2</v>
      </c>
      <c r="V13" s="21">
        <v>2</v>
      </c>
      <c r="W13" s="21">
        <v>1</v>
      </c>
      <c r="X13" s="21">
        <v>1</v>
      </c>
      <c r="Y13" s="21">
        <v>1</v>
      </c>
      <c r="Z13" s="21">
        <v>1</v>
      </c>
      <c r="AA13" s="21">
        <v>1</v>
      </c>
      <c r="AB13" s="21">
        <v>1</v>
      </c>
      <c r="AC13" s="21">
        <v>2</v>
      </c>
      <c r="AD13" s="21">
        <v>1</v>
      </c>
      <c r="AE13" s="21">
        <v>1</v>
      </c>
      <c r="AF13" s="21">
        <v>2</v>
      </c>
      <c r="AG13" s="21">
        <v>1</v>
      </c>
      <c r="AH13" s="21">
        <v>1</v>
      </c>
      <c r="AI13" s="21">
        <v>2</v>
      </c>
      <c r="AJ13" s="21">
        <v>1</v>
      </c>
      <c r="AK13" s="21">
        <v>2</v>
      </c>
      <c r="AL13" s="21">
        <v>1</v>
      </c>
      <c r="AM13" s="21">
        <v>2</v>
      </c>
      <c r="AN13" s="21">
        <v>1</v>
      </c>
      <c r="AO13" s="21">
        <v>2</v>
      </c>
      <c r="AP13" s="21">
        <v>2</v>
      </c>
      <c r="AQ13" s="21">
        <v>1</v>
      </c>
    </row>
    <row r="14" spans="1:43" x14ac:dyDescent="0.2">
      <c r="C14" s="137"/>
      <c r="F14" s="27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</row>
    <row r="15" spans="1:43" x14ac:dyDescent="0.2">
      <c r="B15" s="20" t="s">
        <v>142</v>
      </c>
      <c r="C15" s="137"/>
      <c r="F15" s="27"/>
      <c r="H15" s="2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</row>
    <row r="16" spans="1:43" x14ac:dyDescent="0.2">
      <c r="C16" s="137" t="s">
        <v>116</v>
      </c>
      <c r="D16" s="23" t="s">
        <v>92</v>
      </c>
      <c r="E16" s="123"/>
      <c r="F16" s="107">
        <f>SUM(H16:AQ16)</f>
        <v>32864.760117847094</v>
      </c>
      <c r="H16" s="21">
        <v>490</v>
      </c>
      <c r="I16" s="21">
        <v>490</v>
      </c>
      <c r="J16" s="21">
        <v>508</v>
      </c>
      <c r="K16" s="21">
        <v>525</v>
      </c>
      <c r="L16" s="21">
        <v>543</v>
      </c>
      <c r="M16" s="21">
        <v>560</v>
      </c>
      <c r="N16" s="21">
        <v>595</v>
      </c>
      <c r="O16" s="21">
        <v>630</v>
      </c>
      <c r="P16" s="21">
        <v>665</v>
      </c>
      <c r="Q16" s="21">
        <v>700</v>
      </c>
      <c r="R16" s="21">
        <v>735</v>
      </c>
      <c r="S16" s="21">
        <v>770</v>
      </c>
      <c r="T16" s="21">
        <v>805</v>
      </c>
      <c r="U16" s="21">
        <v>840</v>
      </c>
      <c r="V16" s="99">
        <f>U16*(1+Inputs!$F$40)^V$6</f>
        <v>859.19368182033872</v>
      </c>
      <c r="W16" s="99">
        <f>V16*(1+Inputs!$F$40)^W$6</f>
        <v>878.18568611048329</v>
      </c>
      <c r="X16" s="99">
        <f>W16*(1+Inputs!$F$40)^X$6</f>
        <v>897.59749822113315</v>
      </c>
      <c r="Y16" s="99">
        <f>X16*(1+Inputs!$F$40)^Y$6</f>
        <v>917.43839777351536</v>
      </c>
      <c r="Z16" s="99">
        <f>Y16*(1+Inputs!$F$40)^Z$6</f>
        <v>937.71786950978617</v>
      </c>
      <c r="AA16" s="99">
        <f>Z16*(1+Inputs!$F$40)^AA$6</f>
        <v>958.44560782711596</v>
      </c>
      <c r="AB16" s="99">
        <f>AA16*(1+Inputs!$F$40)^AB$6</f>
        <v>979.63152141199862</v>
      </c>
      <c r="AC16" s="99">
        <f>AB16*(1+Inputs!$F$40)^AC$6</f>
        <v>1001.2857379769989</v>
      </c>
      <c r="AD16" s="99">
        <f>AC16*(1+Inputs!$F$40)^AD$6</f>
        <v>1023.4186091022037</v>
      </c>
      <c r="AE16" s="99">
        <f>AD16*(1+Inputs!$F$40)^AE$6</f>
        <v>1046.0407151836905</v>
      </c>
      <c r="AF16" s="99">
        <f>AE16*(1+Inputs!$F$40)^AF$6</f>
        <v>1069.162870491379</v>
      </c>
      <c r="AG16" s="99">
        <f>AF16*(1+Inputs!$F$40)^AG$6</f>
        <v>1092.0000000000007</v>
      </c>
      <c r="AH16" s="99">
        <f>AG16*(1+Inputs!$F$40)^AH$6</f>
        <v>1116.951786366441</v>
      </c>
      <c r="AI16" s="99">
        <f>AH16*(1+Inputs!$F$40)^AI$6</f>
        <v>1141.6413919436288</v>
      </c>
      <c r="AJ16" s="99">
        <f>AI16*(1+Inputs!$F$40)^AJ$6</f>
        <v>1166.8767476874737</v>
      </c>
      <c r="AK16" s="99">
        <f>AJ16*(1+Inputs!$F$40)^AK$6</f>
        <v>1192.6699171055707</v>
      </c>
      <c r="AL16" s="99">
        <f>AK16*(1+Inputs!$F$40)^AL$6</f>
        <v>1219.0332303627226</v>
      </c>
      <c r="AM16" s="99">
        <f>AL16*(1+Inputs!$F$40)^AM$6</f>
        <v>1245.9792901752514</v>
      </c>
      <c r="AN16" s="99">
        <f>AM16*(1+Inputs!$F$40)^AN$6</f>
        <v>1273.5209778355988</v>
      </c>
      <c r="AO16" s="99">
        <f>AN16*(1+Inputs!$F$40)^AO$6</f>
        <v>1301.6714593700992</v>
      </c>
      <c r="AP16" s="99">
        <f>AO16*(1+Inputs!$F$40)^AP$6</f>
        <v>1330.4441918328655</v>
      </c>
      <c r="AQ16" s="99">
        <f>AP16*(1+Inputs!$F$40)^AQ$6</f>
        <v>1359.8529297387984</v>
      </c>
    </row>
    <row r="17" spans="3:43" x14ac:dyDescent="0.2">
      <c r="C17" s="137" t="s">
        <v>117</v>
      </c>
      <c r="D17" s="23" t="s">
        <v>92</v>
      </c>
      <c r="E17" s="123"/>
      <c r="F17" s="107">
        <f>SUM(H17:AQ17)</f>
        <v>7237.643597382993</v>
      </c>
      <c r="H17" s="21">
        <v>108</v>
      </c>
      <c r="I17" s="21">
        <v>108</v>
      </c>
      <c r="J17" s="21">
        <v>112</v>
      </c>
      <c r="K17" s="21">
        <v>116</v>
      </c>
      <c r="L17" s="21">
        <v>119</v>
      </c>
      <c r="M17" s="21">
        <v>123</v>
      </c>
      <c r="N17" s="21">
        <v>131</v>
      </c>
      <c r="O17" s="21">
        <v>139</v>
      </c>
      <c r="P17" s="21">
        <v>146</v>
      </c>
      <c r="Q17" s="21">
        <v>154</v>
      </c>
      <c r="R17" s="21">
        <v>162</v>
      </c>
      <c r="S17" s="21">
        <v>169</v>
      </c>
      <c r="T17" s="21">
        <v>178</v>
      </c>
      <c r="U17" s="21">
        <v>185</v>
      </c>
      <c r="V17" s="99">
        <f>U17*(1+Inputs!$F$40)^V$6</f>
        <v>189.22717992471746</v>
      </c>
      <c r="W17" s="99">
        <f>V17*(1+Inputs!$F$40)^W$6</f>
        <v>193.40994277433265</v>
      </c>
      <c r="X17" s="99">
        <f>W17*(1+Inputs!$F$40)^X$6</f>
        <v>197.68516329870195</v>
      </c>
      <c r="Y17" s="99">
        <f>X17*(1+Inputs!$F$40)^Y$6</f>
        <v>202.05488522392901</v>
      </c>
      <c r="Z17" s="99">
        <f>Y17*(1+Inputs!$F$40)^Z$6</f>
        <v>206.52119745156008</v>
      </c>
      <c r="AA17" s="99">
        <f>Z17*(1+Inputs!$F$40)^AA$6</f>
        <v>211.0862350571625</v>
      </c>
      <c r="AB17" s="99">
        <f>AA17*(1+Inputs!$F$40)^AB$6</f>
        <v>215.75218031097594</v>
      </c>
      <c r="AC17" s="99">
        <f>AB17*(1+Inputs!$F$40)^AC$6</f>
        <v>220.52126372112482</v>
      </c>
      <c r="AD17" s="99">
        <f>AC17*(1+Inputs!$F$40)^AD$6</f>
        <v>225.39576509989016</v>
      </c>
      <c r="AE17" s="99">
        <f>AD17*(1+Inputs!$F$40)^AE$6</f>
        <v>230.37801465355093</v>
      </c>
      <c r="AF17" s="99">
        <f>AE17*(1+Inputs!$F$40)^AF$6</f>
        <v>235.47039409631566</v>
      </c>
      <c r="AG17" s="99">
        <f>AF17*(1+Inputs!$F$40)^AG$6</f>
        <v>240.50000000000023</v>
      </c>
      <c r="AH17" s="99">
        <f>AG17*(1+Inputs!$F$40)^AH$6</f>
        <v>245.99533390213293</v>
      </c>
      <c r="AI17" s="99">
        <f>AH17*(1+Inputs!$F$40)^AI$6</f>
        <v>251.43292560663266</v>
      </c>
      <c r="AJ17" s="99">
        <f>AI17*(1+Inputs!$F$40)^AJ$6</f>
        <v>256.99071228831275</v>
      </c>
      <c r="AK17" s="99">
        <f>AJ17*(1+Inputs!$F$40)^AK$6</f>
        <v>262.6713507911079</v>
      </c>
      <c r="AL17" s="99">
        <f>AK17*(1+Inputs!$F$40)^AL$6</f>
        <v>268.47755668702831</v>
      </c>
      <c r="AM17" s="99">
        <f>AL17*(1+Inputs!$F$40)^AM$6</f>
        <v>274.41210557431145</v>
      </c>
      <c r="AN17" s="99">
        <f>AM17*(1+Inputs!$F$40)^AN$6</f>
        <v>280.47783440426895</v>
      </c>
      <c r="AO17" s="99">
        <f>AN17*(1+Inputs!$F$40)^AO$6</f>
        <v>286.67764283746249</v>
      </c>
      <c r="AP17" s="99">
        <f>AO17*(1+Inputs!$F$40)^AP$6</f>
        <v>293.01449462985744</v>
      </c>
      <c r="AQ17" s="99">
        <f>AP17*(1+Inputs!$F$40)^AQ$6</f>
        <v>299.49141904961647</v>
      </c>
    </row>
    <row r="18" spans="3:43" outlineLevel="1" x14ac:dyDescent="0.2">
      <c r="C18" s="137"/>
      <c r="F18" s="107"/>
      <c r="H18" s="28"/>
      <c r="I18" s="28"/>
      <c r="J18" s="28"/>
      <c r="K18" s="28"/>
      <c r="L18" s="19"/>
      <c r="M18" s="19"/>
      <c r="N18" s="19"/>
      <c r="O18" s="19"/>
      <c r="P18" s="21"/>
      <c r="Q18" s="21"/>
      <c r="R18" s="21"/>
      <c r="S18" s="21"/>
      <c r="T18" s="21"/>
      <c r="U18" s="21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3:43" outlineLevel="1" x14ac:dyDescent="0.2">
      <c r="C19" s="137" t="s">
        <v>143</v>
      </c>
      <c r="D19" s="23" t="s">
        <v>92</v>
      </c>
      <c r="E19" s="242"/>
      <c r="F19" s="107">
        <f t="shared" ref="F19:F25" si="10">SUM(H19:AQ19)</f>
        <v>1096</v>
      </c>
      <c r="H19" s="21">
        <v>62</v>
      </c>
      <c r="I19" s="21">
        <v>62</v>
      </c>
      <c r="J19" s="21">
        <v>64</v>
      </c>
      <c r="K19" s="21">
        <v>66</v>
      </c>
      <c r="L19" s="21">
        <v>68</v>
      </c>
      <c r="M19" s="21">
        <v>70</v>
      </c>
      <c r="N19" s="21">
        <v>74</v>
      </c>
      <c r="O19" s="21">
        <v>78</v>
      </c>
      <c r="P19" s="21">
        <v>82</v>
      </c>
      <c r="Q19" s="21">
        <v>86</v>
      </c>
      <c r="R19" s="21">
        <v>90</v>
      </c>
      <c r="S19" s="21">
        <v>94</v>
      </c>
      <c r="T19" s="21">
        <v>98</v>
      </c>
      <c r="U19" s="21">
        <v>102</v>
      </c>
      <c r="V19" s="160">
        <v>0</v>
      </c>
      <c r="W19" s="160">
        <v>0</v>
      </c>
      <c r="X19" s="160">
        <v>0</v>
      </c>
      <c r="Y19" s="160">
        <v>0</v>
      </c>
      <c r="Z19" s="160">
        <v>0</v>
      </c>
      <c r="AA19" s="160">
        <v>0</v>
      </c>
      <c r="AB19" s="160">
        <v>0</v>
      </c>
      <c r="AC19" s="160">
        <v>0</v>
      </c>
      <c r="AD19" s="160">
        <v>0</v>
      </c>
      <c r="AE19" s="160">
        <v>0</v>
      </c>
      <c r="AF19" s="160">
        <v>0</v>
      </c>
      <c r="AG19" s="160">
        <v>0</v>
      </c>
      <c r="AH19" s="160">
        <v>0</v>
      </c>
      <c r="AI19" s="160">
        <v>0</v>
      </c>
      <c r="AJ19" s="160">
        <v>0</v>
      </c>
      <c r="AK19" s="160">
        <v>0</v>
      </c>
      <c r="AL19" s="160">
        <v>0</v>
      </c>
      <c r="AM19" s="160">
        <v>0</v>
      </c>
      <c r="AN19" s="160">
        <v>0</v>
      </c>
      <c r="AO19" s="160">
        <v>0</v>
      </c>
      <c r="AP19" s="160">
        <v>0</v>
      </c>
      <c r="AQ19" s="160">
        <v>0</v>
      </c>
    </row>
    <row r="20" spans="3:43" outlineLevel="1" x14ac:dyDescent="0.2">
      <c r="C20" s="137" t="s">
        <v>144</v>
      </c>
      <c r="D20" s="23" t="s">
        <v>92</v>
      </c>
      <c r="E20" s="242"/>
      <c r="F20" s="107">
        <f t="shared" si="10"/>
        <v>112</v>
      </c>
      <c r="H20" s="21">
        <v>6</v>
      </c>
      <c r="I20" s="21">
        <v>6</v>
      </c>
      <c r="J20" s="21">
        <v>6</v>
      </c>
      <c r="K20" s="21">
        <v>15</v>
      </c>
      <c r="L20" s="21">
        <v>6</v>
      </c>
      <c r="M20" s="21">
        <v>26</v>
      </c>
      <c r="N20" s="224">
        <v>10</v>
      </c>
      <c r="O20" s="224">
        <v>1</v>
      </c>
      <c r="P20" s="224">
        <v>6</v>
      </c>
      <c r="Q20" s="224">
        <v>10</v>
      </c>
      <c r="R20" s="224">
        <v>5</v>
      </c>
      <c r="S20" s="224">
        <v>5</v>
      </c>
      <c r="T20" s="224">
        <v>5</v>
      </c>
      <c r="U20" s="224">
        <v>5</v>
      </c>
      <c r="V20" s="160">
        <v>0</v>
      </c>
      <c r="W20" s="160">
        <v>0</v>
      </c>
      <c r="X20" s="160">
        <v>0</v>
      </c>
      <c r="Y20" s="160">
        <v>0</v>
      </c>
      <c r="Z20" s="160">
        <v>0</v>
      </c>
      <c r="AA20" s="160">
        <v>0</v>
      </c>
      <c r="AB20" s="160">
        <v>0</v>
      </c>
      <c r="AC20" s="160">
        <v>0</v>
      </c>
      <c r="AD20" s="160">
        <v>0</v>
      </c>
      <c r="AE20" s="160">
        <v>0</v>
      </c>
      <c r="AF20" s="160">
        <v>0</v>
      </c>
      <c r="AG20" s="160">
        <v>0</v>
      </c>
      <c r="AH20" s="160">
        <v>0</v>
      </c>
      <c r="AI20" s="160">
        <v>0</v>
      </c>
      <c r="AJ20" s="160">
        <v>0</v>
      </c>
      <c r="AK20" s="160">
        <v>0</v>
      </c>
      <c r="AL20" s="160">
        <v>0</v>
      </c>
      <c r="AM20" s="160">
        <v>0</v>
      </c>
      <c r="AN20" s="160">
        <v>0</v>
      </c>
      <c r="AO20" s="160">
        <v>0</v>
      </c>
      <c r="AP20" s="160">
        <v>0</v>
      </c>
      <c r="AQ20" s="160">
        <v>0</v>
      </c>
    </row>
    <row r="21" spans="3:43" outlineLevel="1" x14ac:dyDescent="0.2">
      <c r="C21" s="137" t="s">
        <v>146</v>
      </c>
      <c r="D21" s="23" t="s">
        <v>92</v>
      </c>
      <c r="E21" s="242"/>
      <c r="F21" s="107">
        <f t="shared" si="10"/>
        <v>122.5</v>
      </c>
      <c r="H21" s="21">
        <v>7</v>
      </c>
      <c r="I21" s="21">
        <v>12.5</v>
      </c>
      <c r="J21" s="21">
        <v>12.5</v>
      </c>
      <c r="K21" s="21">
        <v>12.5</v>
      </c>
      <c r="L21" s="21">
        <v>15.5</v>
      </c>
      <c r="M21" s="21">
        <v>15.5</v>
      </c>
      <c r="N21" s="224">
        <v>0</v>
      </c>
      <c r="O21" s="224">
        <v>0</v>
      </c>
      <c r="P21" s="224">
        <v>0</v>
      </c>
      <c r="Q21" s="224">
        <v>0</v>
      </c>
      <c r="R21" s="224">
        <v>0</v>
      </c>
      <c r="S21" s="224">
        <v>7</v>
      </c>
      <c r="T21" s="224">
        <v>20</v>
      </c>
      <c r="U21" s="224">
        <v>20</v>
      </c>
      <c r="V21" s="160">
        <v>0</v>
      </c>
      <c r="W21" s="160">
        <v>0</v>
      </c>
      <c r="X21" s="160">
        <v>0</v>
      </c>
      <c r="Y21" s="160">
        <v>0</v>
      </c>
      <c r="Z21" s="160">
        <v>0</v>
      </c>
      <c r="AA21" s="160">
        <v>0</v>
      </c>
      <c r="AB21" s="160">
        <v>0</v>
      </c>
      <c r="AC21" s="160">
        <v>0</v>
      </c>
      <c r="AD21" s="160">
        <v>0</v>
      </c>
      <c r="AE21" s="160">
        <v>0</v>
      </c>
      <c r="AF21" s="160">
        <v>0</v>
      </c>
      <c r="AG21" s="160">
        <v>0</v>
      </c>
      <c r="AH21" s="160">
        <v>0</v>
      </c>
      <c r="AI21" s="160">
        <v>0</v>
      </c>
      <c r="AJ21" s="160">
        <v>0</v>
      </c>
      <c r="AK21" s="160">
        <v>0</v>
      </c>
      <c r="AL21" s="160">
        <v>0</v>
      </c>
      <c r="AM21" s="160">
        <v>0</v>
      </c>
      <c r="AN21" s="160">
        <v>0</v>
      </c>
      <c r="AO21" s="160">
        <v>0</v>
      </c>
      <c r="AP21" s="160">
        <v>0</v>
      </c>
      <c r="AQ21" s="160">
        <v>0</v>
      </c>
    </row>
    <row r="22" spans="3:43" outlineLevel="1" x14ac:dyDescent="0.2">
      <c r="C22" s="137" t="s">
        <v>147</v>
      </c>
      <c r="D22" s="23" t="s">
        <v>92</v>
      </c>
      <c r="E22" s="242"/>
      <c r="F22" s="107">
        <f t="shared" si="10"/>
        <v>102.5</v>
      </c>
      <c r="H22" s="21">
        <v>0</v>
      </c>
      <c r="I22" s="21">
        <v>7.5</v>
      </c>
      <c r="J22" s="21">
        <v>12</v>
      </c>
      <c r="K22" s="21">
        <v>0</v>
      </c>
      <c r="L22" s="21">
        <v>7.5</v>
      </c>
      <c r="M22" s="21">
        <v>12</v>
      </c>
      <c r="N22" s="224">
        <v>0</v>
      </c>
      <c r="O22" s="224">
        <v>15</v>
      </c>
      <c r="P22" s="224">
        <v>0</v>
      </c>
      <c r="Q22" s="224">
        <v>13</v>
      </c>
      <c r="R22" s="224">
        <v>13</v>
      </c>
      <c r="S22" s="224">
        <v>0</v>
      </c>
      <c r="T22" s="224">
        <v>7.5</v>
      </c>
      <c r="U22" s="224">
        <v>15</v>
      </c>
      <c r="V22" s="160">
        <v>0</v>
      </c>
      <c r="W22" s="160">
        <v>0</v>
      </c>
      <c r="X22" s="160">
        <v>0</v>
      </c>
      <c r="Y22" s="160">
        <v>0</v>
      </c>
      <c r="Z22" s="160">
        <v>0</v>
      </c>
      <c r="AA22" s="160">
        <v>0</v>
      </c>
      <c r="AB22" s="160">
        <v>0</v>
      </c>
      <c r="AC22" s="160">
        <v>0</v>
      </c>
      <c r="AD22" s="160">
        <v>0</v>
      </c>
      <c r="AE22" s="160">
        <v>0</v>
      </c>
      <c r="AF22" s="160">
        <v>0</v>
      </c>
      <c r="AG22" s="160">
        <v>0</v>
      </c>
      <c r="AH22" s="160">
        <v>0</v>
      </c>
      <c r="AI22" s="160">
        <v>0</v>
      </c>
      <c r="AJ22" s="160">
        <v>0</v>
      </c>
      <c r="AK22" s="160">
        <v>0</v>
      </c>
      <c r="AL22" s="160">
        <v>0</v>
      </c>
      <c r="AM22" s="160">
        <v>0</v>
      </c>
      <c r="AN22" s="160">
        <v>0</v>
      </c>
      <c r="AO22" s="160">
        <v>0</v>
      </c>
      <c r="AP22" s="160">
        <v>0</v>
      </c>
      <c r="AQ22" s="160">
        <v>0</v>
      </c>
    </row>
    <row r="23" spans="3:43" outlineLevel="1" x14ac:dyDescent="0.2">
      <c r="C23" s="137" t="s">
        <v>148</v>
      </c>
      <c r="D23" s="23" t="s">
        <v>92</v>
      </c>
      <c r="E23" s="242"/>
      <c r="F23" s="107">
        <f t="shared" si="10"/>
        <v>234</v>
      </c>
      <c r="H23" s="21">
        <v>10</v>
      </c>
      <c r="I23" s="21">
        <v>10</v>
      </c>
      <c r="J23" s="21">
        <v>10</v>
      </c>
      <c r="K23" s="21">
        <v>11</v>
      </c>
      <c r="L23" s="21">
        <v>12</v>
      </c>
      <c r="M23" s="21">
        <v>13</v>
      </c>
      <c r="N23" s="21">
        <v>14</v>
      </c>
      <c r="O23" s="21">
        <v>16</v>
      </c>
      <c r="P23" s="21">
        <v>18</v>
      </c>
      <c r="Q23" s="21">
        <v>20</v>
      </c>
      <c r="R23" s="21">
        <v>22</v>
      </c>
      <c r="S23" s="21">
        <v>24</v>
      </c>
      <c r="T23" s="21">
        <v>26</v>
      </c>
      <c r="U23" s="21">
        <v>28</v>
      </c>
      <c r="V23" s="160">
        <v>0</v>
      </c>
      <c r="W23" s="160">
        <v>0</v>
      </c>
      <c r="X23" s="160">
        <v>0</v>
      </c>
      <c r="Y23" s="160">
        <v>0</v>
      </c>
      <c r="Z23" s="160">
        <v>0</v>
      </c>
      <c r="AA23" s="160">
        <v>0</v>
      </c>
      <c r="AB23" s="160">
        <v>0</v>
      </c>
      <c r="AC23" s="160">
        <v>0</v>
      </c>
      <c r="AD23" s="160">
        <v>0</v>
      </c>
      <c r="AE23" s="160">
        <v>0</v>
      </c>
      <c r="AF23" s="160">
        <v>0</v>
      </c>
      <c r="AG23" s="160">
        <v>0</v>
      </c>
      <c r="AH23" s="160">
        <v>0</v>
      </c>
      <c r="AI23" s="160">
        <v>0</v>
      </c>
      <c r="AJ23" s="160">
        <v>0</v>
      </c>
      <c r="AK23" s="160">
        <v>0</v>
      </c>
      <c r="AL23" s="160">
        <v>0</v>
      </c>
      <c r="AM23" s="160">
        <v>0</v>
      </c>
      <c r="AN23" s="160">
        <v>0</v>
      </c>
      <c r="AO23" s="160">
        <v>0</v>
      </c>
      <c r="AP23" s="160">
        <v>0</v>
      </c>
      <c r="AQ23" s="160">
        <v>0</v>
      </c>
    </row>
    <row r="24" spans="3:43" outlineLevel="1" x14ac:dyDescent="0.2">
      <c r="C24" s="137" t="s">
        <v>149</v>
      </c>
      <c r="D24" s="23" t="s">
        <v>92</v>
      </c>
      <c r="E24" s="242"/>
      <c r="F24" s="107">
        <f t="shared" si="10"/>
        <v>320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40</v>
      </c>
      <c r="O24" s="21">
        <v>40</v>
      </c>
      <c r="P24" s="21">
        <v>40</v>
      </c>
      <c r="Q24" s="21">
        <v>40</v>
      </c>
      <c r="R24" s="21">
        <v>40</v>
      </c>
      <c r="S24" s="21">
        <v>40</v>
      </c>
      <c r="T24" s="21">
        <v>40</v>
      </c>
      <c r="U24" s="21">
        <v>40</v>
      </c>
      <c r="V24" s="160">
        <v>0</v>
      </c>
      <c r="W24" s="160">
        <v>0</v>
      </c>
      <c r="X24" s="160">
        <v>0</v>
      </c>
      <c r="Y24" s="160">
        <v>0</v>
      </c>
      <c r="Z24" s="160">
        <v>0</v>
      </c>
      <c r="AA24" s="160">
        <v>0</v>
      </c>
      <c r="AB24" s="160">
        <v>0</v>
      </c>
      <c r="AC24" s="160">
        <v>0</v>
      </c>
      <c r="AD24" s="160">
        <v>0</v>
      </c>
      <c r="AE24" s="160">
        <v>0</v>
      </c>
      <c r="AF24" s="160">
        <v>0</v>
      </c>
      <c r="AG24" s="160">
        <v>0</v>
      </c>
      <c r="AH24" s="160">
        <v>0</v>
      </c>
      <c r="AI24" s="160">
        <v>0</v>
      </c>
      <c r="AJ24" s="160">
        <v>0</v>
      </c>
      <c r="AK24" s="160">
        <v>0</v>
      </c>
      <c r="AL24" s="160">
        <v>0</v>
      </c>
      <c r="AM24" s="160">
        <v>0</v>
      </c>
      <c r="AN24" s="160">
        <v>0</v>
      </c>
      <c r="AO24" s="160">
        <v>0</v>
      </c>
      <c r="AP24" s="160">
        <v>0</v>
      </c>
      <c r="AQ24" s="160">
        <v>0</v>
      </c>
    </row>
    <row r="25" spans="3:43" x14ac:dyDescent="0.2">
      <c r="C25" s="138" t="s">
        <v>118</v>
      </c>
      <c r="D25" s="43" t="s">
        <v>92</v>
      </c>
      <c r="E25" s="245"/>
      <c r="F25" s="108">
        <f t="shared" si="10"/>
        <v>7989.1900294617735</v>
      </c>
      <c r="G25" s="42"/>
      <c r="H25" s="143">
        <f>SUM(H19:H24)</f>
        <v>85</v>
      </c>
      <c r="I25" s="143">
        <f t="shared" ref="I25:U25" si="11">SUM(I19:I24)</f>
        <v>98</v>
      </c>
      <c r="J25" s="143">
        <f t="shared" si="11"/>
        <v>104.5</v>
      </c>
      <c r="K25" s="143">
        <f t="shared" si="11"/>
        <v>104.5</v>
      </c>
      <c r="L25" s="143">
        <f t="shared" si="11"/>
        <v>109</v>
      </c>
      <c r="M25" s="143">
        <f t="shared" si="11"/>
        <v>136.5</v>
      </c>
      <c r="N25" s="143">
        <f t="shared" si="11"/>
        <v>138</v>
      </c>
      <c r="O25" s="143">
        <f t="shared" si="11"/>
        <v>150</v>
      </c>
      <c r="P25" s="143">
        <f t="shared" si="11"/>
        <v>146</v>
      </c>
      <c r="Q25" s="143">
        <f t="shared" si="11"/>
        <v>169</v>
      </c>
      <c r="R25" s="143">
        <f t="shared" si="11"/>
        <v>170</v>
      </c>
      <c r="S25" s="143">
        <f t="shared" si="11"/>
        <v>170</v>
      </c>
      <c r="T25" s="143">
        <f t="shared" si="11"/>
        <v>196.5</v>
      </c>
      <c r="U25" s="143">
        <f t="shared" si="11"/>
        <v>210</v>
      </c>
      <c r="V25" s="192">
        <f>U25*(1+Inputs!$F$41)^V$6</f>
        <v>214.79842045508468</v>
      </c>
      <c r="W25" s="192">
        <f>V25*(1+Inputs!$F$41)^W$6</f>
        <v>219.54642152762082</v>
      </c>
      <c r="X25" s="192">
        <f>W25*(1+Inputs!$F$41)^X$6</f>
        <v>224.39937455528329</v>
      </c>
      <c r="Y25" s="192">
        <f>X25*(1+Inputs!$F$41)^Y$6</f>
        <v>229.35959944337884</v>
      </c>
      <c r="Z25" s="192">
        <f>Y25*(1+Inputs!$F$41)^Z$6</f>
        <v>234.42946737744654</v>
      </c>
      <c r="AA25" s="192">
        <f>Z25*(1+Inputs!$F$41)^AA$6</f>
        <v>239.61140195677899</v>
      </c>
      <c r="AB25" s="192">
        <f>AA25*(1+Inputs!$F$41)^AB$6</f>
        <v>244.90788035299965</v>
      </c>
      <c r="AC25" s="192">
        <f>AB25*(1+Inputs!$F$41)^AC$6</f>
        <v>250.32143449424973</v>
      </c>
      <c r="AD25" s="192">
        <f>AC25*(1+Inputs!$F$41)^AD$6</f>
        <v>255.85465227555093</v>
      </c>
      <c r="AE25" s="192">
        <f>AD25*(1+Inputs!$F$41)^AE$6</f>
        <v>261.51017879592263</v>
      </c>
      <c r="AF25" s="192">
        <f>AE25*(1+Inputs!$F$41)^AF$6</f>
        <v>267.29071762284474</v>
      </c>
      <c r="AG25" s="192">
        <f>AF25*(1+Inputs!$F$41)^AG$6</f>
        <v>273.00000000000017</v>
      </c>
      <c r="AH25" s="192">
        <f>AG25*(1+Inputs!$F$41)^AH$6</f>
        <v>279.23794659161024</v>
      </c>
      <c r="AI25" s="192">
        <f>AH25*(1+Inputs!$F$41)^AI$6</f>
        <v>285.41034798590721</v>
      </c>
      <c r="AJ25" s="192">
        <f>AI25*(1+Inputs!$F$41)^AJ$6</f>
        <v>291.71918692186841</v>
      </c>
      <c r="AK25" s="192">
        <f>AJ25*(1+Inputs!$F$41)^AK$6</f>
        <v>298.16747927639267</v>
      </c>
      <c r="AL25" s="192">
        <f>AK25*(1+Inputs!$F$41)^AL$6</f>
        <v>304.75830759068066</v>
      </c>
      <c r="AM25" s="192">
        <f>AL25*(1+Inputs!$F$41)^AM$6</f>
        <v>311.49482254381286</v>
      </c>
      <c r="AN25" s="192">
        <f>AM25*(1+Inputs!$F$41)^AN$6</f>
        <v>318.38024445889971</v>
      </c>
      <c r="AO25" s="192">
        <f>AN25*(1+Inputs!$F$41)^AO$6</f>
        <v>325.41786484252481</v>
      </c>
      <c r="AP25" s="192">
        <f>AO25*(1+Inputs!$F$41)^AP$6</f>
        <v>332.61104795821637</v>
      </c>
      <c r="AQ25" s="192">
        <f>AP25*(1+Inputs!$F$41)^AQ$6</f>
        <v>339.96323243469959</v>
      </c>
    </row>
    <row r="26" spans="3:43" outlineLevel="1" x14ac:dyDescent="0.2">
      <c r="C26" s="137"/>
      <c r="F26" s="109"/>
      <c r="H26" s="28"/>
      <c r="I26" s="28"/>
      <c r="J26" s="28"/>
      <c r="K26" s="28"/>
      <c r="L26" s="19"/>
      <c r="M26" s="19"/>
      <c r="N26" s="19"/>
      <c r="O26" s="19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99"/>
      <c r="AJ26" s="99"/>
      <c r="AK26" s="99"/>
      <c r="AL26" s="99"/>
      <c r="AM26" s="99"/>
      <c r="AN26" s="99"/>
      <c r="AO26" s="99"/>
      <c r="AP26" s="99"/>
      <c r="AQ26" s="99"/>
    </row>
    <row r="27" spans="3:43" outlineLevel="1" x14ac:dyDescent="0.2">
      <c r="C27" s="137" t="s">
        <v>153</v>
      </c>
      <c r="D27" s="23" t="s">
        <v>92</v>
      </c>
      <c r="E27" s="123"/>
      <c r="F27" s="107">
        <f>SUM(H27:AQ27)</f>
        <v>3484.725563526631</v>
      </c>
      <c r="H27" s="21">
        <v>51</v>
      </c>
      <c r="I27" s="21">
        <v>52</v>
      </c>
      <c r="J27" s="21">
        <v>52</v>
      </c>
      <c r="K27" s="21">
        <v>55.714285714285715</v>
      </c>
      <c r="L27" s="21">
        <v>57.571428571428569</v>
      </c>
      <c r="M27" s="21">
        <v>59.428571428571431</v>
      </c>
      <c r="N27" s="21">
        <v>63.142857142857146</v>
      </c>
      <c r="O27" s="21">
        <v>66.857142857142861</v>
      </c>
      <c r="P27" s="21">
        <v>70.571428571428569</v>
      </c>
      <c r="Q27" s="21">
        <v>74.285714285714292</v>
      </c>
      <c r="R27" s="21">
        <v>78</v>
      </c>
      <c r="S27" s="21">
        <v>81.714285714285708</v>
      </c>
      <c r="T27" s="21">
        <v>85.428571428571431</v>
      </c>
      <c r="U27" s="21">
        <v>89.142857142857139</v>
      </c>
      <c r="V27" s="99">
        <f>U27*(1+Inputs!$F$41)^V$6</f>
        <v>91.179737662566552</v>
      </c>
      <c r="W27" s="99">
        <f>V27*(1+Inputs!$F$41)^W$6</f>
        <v>93.195215668867604</v>
      </c>
      <c r="X27" s="99">
        <f>W27*(1+Inputs!$F$41)^X$6</f>
        <v>95.255244709181468</v>
      </c>
      <c r="Y27" s="99">
        <f>X27*(1+Inputs!$F$41)^Y$6</f>
        <v>97.360809559638355</v>
      </c>
      <c r="Z27" s="99">
        <f>Y27*(1+Inputs!$F$41)^Z$6</f>
        <v>99.512916764303824</v>
      </c>
      <c r="AA27" s="99">
        <f>Z27*(1+Inputs!$F$41)^AA$6</f>
        <v>101.71259511634699</v>
      </c>
      <c r="AB27" s="99">
        <f>AA27*(1+Inputs!$F$41)^AB$6</f>
        <v>103.96089614984474</v>
      </c>
      <c r="AC27" s="99">
        <f>AB27*(1+Inputs!$F$41)^AC$6</f>
        <v>106.25889464245702</v>
      </c>
      <c r="AD27" s="99">
        <f>AC27*(1+Inputs!$F$41)^AD$6</f>
        <v>108.60768912921345</v>
      </c>
      <c r="AE27" s="99">
        <f>AD27*(1+Inputs!$F$41)^AE$6</f>
        <v>111.00840242765695</v>
      </c>
      <c r="AF27" s="99">
        <f>AE27*(1+Inputs!$F$41)^AF$6</f>
        <v>113.46218217459531</v>
      </c>
      <c r="AG27" s="99">
        <f>AF27*(1+Inputs!$F$41)^AG$6</f>
        <v>115.88571428571436</v>
      </c>
      <c r="AH27" s="99">
        <f>AG27*(1+Inputs!$F$41)^AH$6</f>
        <v>118.5336589613366</v>
      </c>
      <c r="AI27" s="99">
        <f>AH27*(1+Inputs!$F$41)^AI$6</f>
        <v>121.15378036952798</v>
      </c>
      <c r="AJ27" s="99">
        <f>AI27*(1+Inputs!$F$41)^AJ$6</f>
        <v>123.831818121936</v>
      </c>
      <c r="AK27" s="99">
        <f>AJ27*(1+Inputs!$F$41)^AK$6</f>
        <v>126.56905242752995</v>
      </c>
      <c r="AL27" s="99">
        <f>AK27*(1+Inputs!$F$41)^AL$6</f>
        <v>129.36679179359507</v>
      </c>
      <c r="AM27" s="99">
        <f>AL27*(1+Inputs!$F$41)^AM$6</f>
        <v>132.22637365125118</v>
      </c>
      <c r="AN27" s="99">
        <f>AM27*(1+Inputs!$F$41)^AN$6</f>
        <v>135.14916499479824</v>
      </c>
      <c r="AO27" s="99">
        <f>AN27*(1+Inputs!$F$41)^AO$6</f>
        <v>138.1365630351942</v>
      </c>
      <c r="AP27" s="99">
        <f>AO27*(1+Inputs!$F$41)^AP$6</f>
        <v>141.18999586797756</v>
      </c>
      <c r="AQ27" s="99">
        <f>AP27*(1+Inputs!$F$41)^AQ$6</f>
        <v>144.3109231559541</v>
      </c>
    </row>
    <row r="28" spans="3:43" outlineLevel="1" x14ac:dyDescent="0.2">
      <c r="C28" s="137" t="s">
        <v>154</v>
      </c>
      <c r="D28" s="23" t="s">
        <v>92</v>
      </c>
      <c r="E28" s="123"/>
      <c r="F28" s="107">
        <f>SUM(H28:AQ28)</f>
        <v>2980.7300098205919</v>
      </c>
      <c r="H28" s="21">
        <v>70</v>
      </c>
      <c r="I28" s="21">
        <v>70</v>
      </c>
      <c r="J28" s="21">
        <v>70</v>
      </c>
      <c r="K28" s="21">
        <v>70</v>
      </c>
      <c r="L28" s="21">
        <v>70</v>
      </c>
      <c r="M28" s="21">
        <v>70</v>
      </c>
      <c r="N28" s="21">
        <v>70</v>
      </c>
      <c r="O28" s="21">
        <v>70</v>
      </c>
      <c r="P28" s="21">
        <v>70</v>
      </c>
      <c r="Q28" s="21">
        <v>70</v>
      </c>
      <c r="R28" s="21">
        <v>70</v>
      </c>
      <c r="S28" s="21">
        <v>70</v>
      </c>
      <c r="T28" s="21">
        <v>70</v>
      </c>
      <c r="U28" s="21">
        <v>70</v>
      </c>
      <c r="V28" s="99">
        <f>U28*(1+Inputs!$F$41)^V$6</f>
        <v>71.599473485028227</v>
      </c>
      <c r="W28" s="99">
        <f>V28*(1+Inputs!$F$41)^W$6</f>
        <v>73.182140509206945</v>
      </c>
      <c r="X28" s="99">
        <f>W28*(1+Inputs!$F$41)^X$6</f>
        <v>74.799791518427767</v>
      </c>
      <c r="Y28" s="99">
        <f>X28*(1+Inputs!$F$41)^Y$6</f>
        <v>76.453199814459623</v>
      </c>
      <c r="Z28" s="99">
        <f>Y28*(1+Inputs!$F$41)^Z$6</f>
        <v>78.14315579248219</v>
      </c>
      <c r="AA28" s="99">
        <f>Z28*(1+Inputs!$F$41)^AA$6</f>
        <v>79.870467318926345</v>
      </c>
      <c r="AB28" s="99">
        <f>AA28*(1+Inputs!$F$41)^AB$6</f>
        <v>81.635960117666556</v>
      </c>
      <c r="AC28" s="99">
        <f>AB28*(1+Inputs!$F$41)^AC$6</f>
        <v>83.440478164749919</v>
      </c>
      <c r="AD28" s="99">
        <f>AC28*(1+Inputs!$F$41)^AD$6</f>
        <v>85.284884091850316</v>
      </c>
      <c r="AE28" s="99">
        <f>AD28*(1+Inputs!$F$41)^AE$6</f>
        <v>87.170059598640876</v>
      </c>
      <c r="AF28" s="99">
        <f>AE28*(1+Inputs!$F$41)^AF$6</f>
        <v>89.096905874281589</v>
      </c>
      <c r="AG28" s="99">
        <f>AF28*(1+Inputs!$F$41)^AG$6</f>
        <v>91.000000000000071</v>
      </c>
      <c r="AH28" s="99">
        <f>AG28*(1+Inputs!$F$41)^AH$6</f>
        <v>93.079315530536761</v>
      </c>
      <c r="AI28" s="99">
        <f>AH28*(1+Inputs!$F$41)^AI$6</f>
        <v>95.136782661969093</v>
      </c>
      <c r="AJ28" s="99">
        <f>AI28*(1+Inputs!$F$41)^AJ$6</f>
        <v>97.239728973956161</v>
      </c>
      <c r="AK28" s="99">
        <f>AJ28*(1+Inputs!$F$41)^AK$6</f>
        <v>99.389159758797575</v>
      </c>
      <c r="AL28" s="99">
        <f>AK28*(1+Inputs!$F$41)^AL$6</f>
        <v>101.58610253022691</v>
      </c>
      <c r="AM28" s="99">
        <f>AL28*(1+Inputs!$F$41)^AM$6</f>
        <v>103.8316075146043</v>
      </c>
      <c r="AN28" s="99">
        <f>AM28*(1+Inputs!$F$41)^AN$6</f>
        <v>106.12674815296658</v>
      </c>
      <c r="AO28" s="99">
        <f>AN28*(1+Inputs!$F$41)^AO$6</f>
        <v>108.47262161417495</v>
      </c>
      <c r="AP28" s="99">
        <f>AO28*(1+Inputs!$F$41)^AP$6</f>
        <v>110.87034931940548</v>
      </c>
      <c r="AQ28" s="99">
        <f>AP28*(1+Inputs!$F$41)^AQ$6</f>
        <v>113.32107747823321</v>
      </c>
    </row>
    <row r="29" spans="3:43" outlineLevel="1" x14ac:dyDescent="0.2">
      <c r="C29" s="137" t="s">
        <v>155</v>
      </c>
      <c r="D29" s="23" t="s">
        <v>92</v>
      </c>
      <c r="E29" s="123"/>
      <c r="F29" s="107">
        <f>SUM(H29:AQ29)</f>
        <v>300</v>
      </c>
      <c r="H29" s="21">
        <v>0</v>
      </c>
      <c r="I29" s="21">
        <v>0</v>
      </c>
      <c r="J29" s="21">
        <v>300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f t="shared" ref="T29" si="12">U29</f>
        <v>0</v>
      </c>
      <c r="U29" s="21">
        <v>0</v>
      </c>
      <c r="V29" s="160">
        <v>0</v>
      </c>
      <c r="W29" s="160">
        <v>0</v>
      </c>
      <c r="X29" s="160">
        <v>0</v>
      </c>
      <c r="Y29" s="160">
        <v>0</v>
      </c>
      <c r="Z29" s="160">
        <v>0</v>
      </c>
      <c r="AA29" s="160">
        <v>0</v>
      </c>
      <c r="AB29" s="160">
        <v>0</v>
      </c>
      <c r="AC29" s="160">
        <v>0</v>
      </c>
      <c r="AD29" s="160">
        <v>0</v>
      </c>
      <c r="AE29" s="160">
        <v>0</v>
      </c>
      <c r="AF29" s="160">
        <v>0</v>
      </c>
      <c r="AG29" s="160">
        <v>0</v>
      </c>
      <c r="AH29" s="160">
        <v>0</v>
      </c>
      <c r="AI29" s="160">
        <v>0</v>
      </c>
      <c r="AJ29" s="160">
        <v>0</v>
      </c>
      <c r="AK29" s="160">
        <v>0</v>
      </c>
      <c r="AL29" s="160">
        <v>0</v>
      </c>
      <c r="AM29" s="160">
        <v>0</v>
      </c>
      <c r="AN29" s="160">
        <v>0</v>
      </c>
      <c r="AO29" s="160">
        <v>0</v>
      </c>
      <c r="AP29" s="160">
        <v>0</v>
      </c>
      <c r="AQ29" s="160">
        <v>0</v>
      </c>
    </row>
    <row r="30" spans="3:43" x14ac:dyDescent="0.2">
      <c r="C30" s="138" t="s">
        <v>156</v>
      </c>
      <c r="D30" s="43" t="s">
        <v>92</v>
      </c>
      <c r="E30" s="42"/>
      <c r="F30" s="108">
        <f>SUM(F27:F28)</f>
        <v>6465.4555733472225</v>
      </c>
      <c r="G30" s="42"/>
      <c r="H30" s="143">
        <f>SUM(H27:H29)</f>
        <v>121</v>
      </c>
      <c r="I30" s="143">
        <f t="shared" ref="I30:AQ30" si="13">SUM(I27:I29)</f>
        <v>122</v>
      </c>
      <c r="J30" s="143">
        <f t="shared" si="13"/>
        <v>422</v>
      </c>
      <c r="K30" s="143">
        <f t="shared" si="13"/>
        <v>125.71428571428572</v>
      </c>
      <c r="L30" s="143">
        <f t="shared" si="13"/>
        <v>127.57142857142857</v>
      </c>
      <c r="M30" s="143">
        <f t="shared" si="13"/>
        <v>129.42857142857144</v>
      </c>
      <c r="N30" s="143">
        <f t="shared" si="13"/>
        <v>133.14285714285714</v>
      </c>
      <c r="O30" s="143">
        <f t="shared" si="13"/>
        <v>136.85714285714286</v>
      </c>
      <c r="P30" s="143">
        <f t="shared" si="13"/>
        <v>140.57142857142856</v>
      </c>
      <c r="Q30" s="143">
        <f t="shared" si="13"/>
        <v>144.28571428571428</v>
      </c>
      <c r="R30" s="143">
        <f t="shared" si="13"/>
        <v>148</v>
      </c>
      <c r="S30" s="143">
        <f t="shared" si="13"/>
        <v>151.71428571428572</v>
      </c>
      <c r="T30" s="143">
        <f t="shared" si="13"/>
        <v>155.42857142857144</v>
      </c>
      <c r="U30" s="143">
        <f t="shared" si="13"/>
        <v>159.14285714285714</v>
      </c>
      <c r="V30" s="143">
        <f t="shared" ref="V30" si="14">SUM(V27:V29)</f>
        <v>162.77921114759476</v>
      </c>
      <c r="W30" s="143">
        <f t="shared" ref="W30" si="15">SUM(W27:W29)</f>
        <v>166.37735617807454</v>
      </c>
      <c r="X30" s="143">
        <f t="shared" ref="X30" si="16">SUM(X27:X29)</f>
        <v>170.05503622760924</v>
      </c>
      <c r="Y30" s="143">
        <f t="shared" ref="Y30" si="17">SUM(Y27:Y29)</f>
        <v>173.81400937409796</v>
      </c>
      <c r="Z30" s="143">
        <f t="shared" ref="Z30" si="18">SUM(Z27:Z29)</f>
        <v>177.656072556786</v>
      </c>
      <c r="AA30" s="143">
        <f t="shared" ref="AA30" si="19">SUM(AA27:AA29)</f>
        <v>181.58306243527335</v>
      </c>
      <c r="AB30" s="143">
        <f t="shared" ref="AB30" si="20">SUM(AB27:AB29)</f>
        <v>185.5968562675113</v>
      </c>
      <c r="AC30" s="143">
        <f t="shared" ref="AC30" si="21">SUM(AC27:AC29)</f>
        <v>189.69937280720694</v>
      </c>
      <c r="AD30" s="143">
        <f t="shared" ref="AD30" si="22">SUM(AD27:AD29)</f>
        <v>193.89257322106377</v>
      </c>
      <c r="AE30" s="143">
        <f t="shared" ref="AE30" si="23">SUM(AE27:AE29)</f>
        <v>198.17846202629784</v>
      </c>
      <c r="AF30" s="143">
        <f t="shared" ref="AF30" si="24">SUM(AF27:AF29)</f>
        <v>202.5590880488769</v>
      </c>
      <c r="AG30" s="143">
        <f t="shared" ref="AG30" si="25">SUM(AG27:AG29)</f>
        <v>206.88571428571441</v>
      </c>
      <c r="AH30" s="143">
        <f t="shared" ref="AH30" si="26">SUM(AH27:AH29)</f>
        <v>211.61297449187336</v>
      </c>
      <c r="AI30" s="143">
        <f t="shared" si="13"/>
        <v>216.29056303149707</v>
      </c>
      <c r="AJ30" s="143">
        <f t="shared" si="13"/>
        <v>221.07154709589216</v>
      </c>
      <c r="AK30" s="143">
        <f t="shared" si="13"/>
        <v>225.95821218632753</v>
      </c>
      <c r="AL30" s="143">
        <f t="shared" si="13"/>
        <v>230.95289432382197</v>
      </c>
      <c r="AM30" s="143">
        <f t="shared" si="13"/>
        <v>236.05798116585549</v>
      </c>
      <c r="AN30" s="143">
        <f t="shared" si="13"/>
        <v>241.27591314776481</v>
      </c>
      <c r="AO30" s="143">
        <f t="shared" si="13"/>
        <v>246.60918464936915</v>
      </c>
      <c r="AP30" s="143">
        <f t="shared" si="13"/>
        <v>252.06034518738304</v>
      </c>
      <c r="AQ30" s="143">
        <f t="shared" si="13"/>
        <v>257.63200063418731</v>
      </c>
    </row>
    <row r="31" spans="3:43" x14ac:dyDescent="0.2">
      <c r="C31" s="137"/>
      <c r="F31" s="109"/>
      <c r="L31" s="19"/>
      <c r="M31" s="19"/>
      <c r="N31" s="19"/>
      <c r="O31" s="19"/>
    </row>
    <row r="32" spans="3:43" x14ac:dyDescent="0.2">
      <c r="C32" s="137" t="s">
        <v>157</v>
      </c>
      <c r="D32" s="23" t="s">
        <v>92</v>
      </c>
      <c r="E32" s="123"/>
      <c r="F32" s="107">
        <f t="shared" ref="F32:F37" si="27">SUM(H32:AQ32)</f>
        <v>510.9822873978157</v>
      </c>
      <c r="H32" s="21">
        <v>12</v>
      </c>
      <c r="I32" s="21">
        <v>12</v>
      </c>
      <c r="J32" s="21">
        <v>12</v>
      </c>
      <c r="K32" s="21">
        <v>12</v>
      </c>
      <c r="L32" s="21">
        <v>12</v>
      </c>
      <c r="M32" s="21">
        <v>12</v>
      </c>
      <c r="N32" s="21">
        <v>12</v>
      </c>
      <c r="O32" s="21">
        <v>12</v>
      </c>
      <c r="P32" s="21">
        <v>12</v>
      </c>
      <c r="Q32" s="21">
        <v>12</v>
      </c>
      <c r="R32" s="21">
        <v>12</v>
      </c>
      <c r="S32" s="21">
        <v>12</v>
      </c>
      <c r="T32" s="21">
        <v>12</v>
      </c>
      <c r="U32" s="21">
        <v>12</v>
      </c>
      <c r="V32" s="99">
        <f>U32*(1+Inputs!$F$41)^V$6</f>
        <v>12.274195454576267</v>
      </c>
      <c r="W32" s="99">
        <f>V32*(1+Inputs!$F$41)^W$6</f>
        <v>12.545509801578334</v>
      </c>
      <c r="X32" s="99">
        <f>W32*(1+Inputs!$F$41)^X$6</f>
        <v>12.822821403159045</v>
      </c>
      <c r="Y32" s="99">
        <f>X32*(1+Inputs!$F$41)^Y$6</f>
        <v>13.106262825335934</v>
      </c>
      <c r="Z32" s="99">
        <f>Y32*(1+Inputs!$F$41)^Z$6</f>
        <v>13.395969564425517</v>
      </c>
      <c r="AA32" s="99">
        <f>Z32*(1+Inputs!$F$41)^AA$6</f>
        <v>13.692080111815942</v>
      </c>
      <c r="AB32" s="99">
        <f>AA32*(1+Inputs!$F$41)^AB$6</f>
        <v>13.994736020171407</v>
      </c>
      <c r="AC32" s="99">
        <f>AB32*(1+Inputs!$F$41)^AC$6</f>
        <v>14.304081971099983</v>
      </c>
      <c r="AD32" s="99">
        <f>AC32*(1+Inputs!$F$41)^AD$6</f>
        <v>14.620265844317194</v>
      </c>
      <c r="AE32" s="99">
        <f>AD32*(1+Inputs!$F$41)^AE$6</f>
        <v>14.943438788338433</v>
      </c>
      <c r="AF32" s="99">
        <f>AE32*(1+Inputs!$F$41)^AF$6</f>
        <v>15.273755292733982</v>
      </c>
      <c r="AG32" s="99">
        <f>AF32*(1+Inputs!$F$41)^AG$6</f>
        <v>15.600000000000009</v>
      </c>
      <c r="AH32" s="99">
        <f>AG32*(1+Inputs!$F$41)^AH$6</f>
        <v>15.956454090949157</v>
      </c>
      <c r="AI32" s="99">
        <f>AH32*(1+Inputs!$F$41)^AI$6</f>
        <v>16.309162742051843</v>
      </c>
      <c r="AJ32" s="99">
        <f>AI32*(1+Inputs!$F$41)^AJ$6</f>
        <v>16.669667824106767</v>
      </c>
      <c r="AK32" s="99">
        <f>AJ32*(1+Inputs!$F$41)^AK$6</f>
        <v>17.038141672936725</v>
      </c>
      <c r="AL32" s="99">
        <f>AK32*(1+Inputs!$F$41)^AL$6</f>
        <v>17.414760433753184</v>
      </c>
      <c r="AM32" s="99">
        <f>AL32*(1+Inputs!$F$41)^AM$6</f>
        <v>17.799704145360739</v>
      </c>
      <c r="AN32" s="99">
        <f>AM32*(1+Inputs!$F$41)^AN$6</f>
        <v>18.193156826222843</v>
      </c>
      <c r="AO32" s="99">
        <f>AN32*(1+Inputs!$F$41)^AO$6</f>
        <v>18.595306562429993</v>
      </c>
      <c r="AP32" s="99">
        <f>AO32*(1+Inputs!$F$41)^AP$6</f>
        <v>19.006345597612366</v>
      </c>
      <c r="AQ32" s="99">
        <f>AP32*(1+Inputs!$F$41)^AQ$6</f>
        <v>19.426470424839977</v>
      </c>
    </row>
    <row r="33" spans="2:43" x14ac:dyDescent="0.2">
      <c r="C33" s="137" t="s">
        <v>158</v>
      </c>
      <c r="D33" s="23" t="s">
        <v>92</v>
      </c>
      <c r="E33" s="123"/>
      <c r="F33" s="107">
        <f t="shared" si="27"/>
        <v>2554.9114369890776</v>
      </c>
      <c r="H33" s="21">
        <v>60</v>
      </c>
      <c r="I33" s="21">
        <v>60</v>
      </c>
      <c r="J33" s="21">
        <v>60</v>
      </c>
      <c r="K33" s="21">
        <v>60</v>
      </c>
      <c r="L33" s="21">
        <v>60</v>
      </c>
      <c r="M33" s="21">
        <v>60</v>
      </c>
      <c r="N33" s="21">
        <v>60</v>
      </c>
      <c r="O33" s="21">
        <v>60</v>
      </c>
      <c r="P33" s="21">
        <v>60</v>
      </c>
      <c r="Q33" s="21">
        <v>60</v>
      </c>
      <c r="R33" s="21">
        <v>60</v>
      </c>
      <c r="S33" s="21">
        <v>60</v>
      </c>
      <c r="T33" s="21">
        <v>60</v>
      </c>
      <c r="U33" s="21">
        <v>60</v>
      </c>
      <c r="V33" s="99">
        <f>U33*(1+Inputs!$F$41)^V$6</f>
        <v>61.370977272881333</v>
      </c>
      <c r="W33" s="99">
        <f>V33*(1+Inputs!$F$41)^W$6</f>
        <v>62.72754900789166</v>
      </c>
      <c r="X33" s="99">
        <f>W33*(1+Inputs!$F$41)^X$6</f>
        <v>64.114107015795227</v>
      </c>
      <c r="Y33" s="99">
        <f>X33*(1+Inputs!$F$41)^Y$6</f>
        <v>65.531314126679675</v>
      </c>
      <c r="Z33" s="99">
        <f>Y33*(1+Inputs!$F$41)^Z$6</f>
        <v>66.979847822127581</v>
      </c>
      <c r="AA33" s="99">
        <f>Z33*(1+Inputs!$F$41)^AA$6</f>
        <v>68.460400559079716</v>
      </c>
      <c r="AB33" s="99">
        <f>AA33*(1+Inputs!$F$41)^AB$6</f>
        <v>69.973680100857052</v>
      </c>
      <c r="AC33" s="99">
        <f>AB33*(1+Inputs!$F$41)^AC$6</f>
        <v>71.520409855499935</v>
      </c>
      <c r="AD33" s="99">
        <f>AC33*(1+Inputs!$F$41)^AD$6</f>
        <v>73.101329221585985</v>
      </c>
      <c r="AE33" s="99">
        <f>AD33*(1+Inputs!$F$41)^AE$6</f>
        <v>74.717193941692187</v>
      </c>
      <c r="AF33" s="99">
        <f>AE33*(1+Inputs!$F$41)^AF$6</f>
        <v>76.368776463669931</v>
      </c>
      <c r="AG33" s="99">
        <f>AF33*(1+Inputs!$F$41)^AG$6</f>
        <v>78.000000000000057</v>
      </c>
      <c r="AH33" s="99">
        <f>AG33*(1+Inputs!$F$41)^AH$6</f>
        <v>79.782270454745799</v>
      </c>
      <c r="AI33" s="99">
        <f>AH33*(1+Inputs!$F$41)^AI$6</f>
        <v>81.545813710259225</v>
      </c>
      <c r="AJ33" s="99">
        <f>AI33*(1+Inputs!$F$41)^AJ$6</f>
        <v>83.348339120533851</v>
      </c>
      <c r="AK33" s="99">
        <f>AJ33*(1+Inputs!$F$41)^AK$6</f>
        <v>85.19070836468363</v>
      </c>
      <c r="AL33" s="99">
        <f>AK33*(1+Inputs!$F$41)^AL$6</f>
        <v>87.073802168765923</v>
      </c>
      <c r="AM33" s="99">
        <f>AL33*(1+Inputs!$F$41)^AM$6</f>
        <v>88.99852072680369</v>
      </c>
      <c r="AN33" s="99">
        <f>AM33*(1+Inputs!$F$41)^AN$6</f>
        <v>90.965784131114219</v>
      </c>
      <c r="AO33" s="99">
        <f>AN33*(1+Inputs!$F$41)^AO$6</f>
        <v>92.976532812149955</v>
      </c>
      <c r="AP33" s="99">
        <f>AO33*(1+Inputs!$F$41)^AP$6</f>
        <v>95.031727988061832</v>
      </c>
      <c r="AQ33" s="99">
        <f>AP33*(1+Inputs!$F$41)^AQ$6</f>
        <v>97.132352124199883</v>
      </c>
    </row>
    <row r="34" spans="2:43" x14ac:dyDescent="0.2">
      <c r="C34" s="137" t="s">
        <v>159</v>
      </c>
      <c r="D34" s="23" t="s">
        <v>92</v>
      </c>
      <c r="E34" s="123"/>
      <c r="F34" s="107">
        <f t="shared" si="27"/>
        <v>3515.2034409173143</v>
      </c>
      <c r="H34" s="21">
        <v>56</v>
      </c>
      <c r="I34" s="21">
        <v>56</v>
      </c>
      <c r="J34" s="21">
        <v>58</v>
      </c>
      <c r="K34" s="21">
        <v>60</v>
      </c>
      <c r="L34" s="21">
        <v>62</v>
      </c>
      <c r="M34" s="21">
        <v>64</v>
      </c>
      <c r="N34" s="21">
        <v>68</v>
      </c>
      <c r="O34" s="21">
        <v>72</v>
      </c>
      <c r="P34" s="21">
        <v>76</v>
      </c>
      <c r="Q34" s="21">
        <v>80</v>
      </c>
      <c r="R34" s="21">
        <v>84</v>
      </c>
      <c r="S34" s="21">
        <v>88</v>
      </c>
      <c r="T34" s="21">
        <v>88</v>
      </c>
      <c r="U34" s="21">
        <v>88</v>
      </c>
      <c r="V34" s="99">
        <f>U34*(1+Inputs!$F$41)^V$6</f>
        <v>90.010766666892621</v>
      </c>
      <c r="W34" s="99">
        <f>V34*(1+Inputs!$F$41)^W$6</f>
        <v>92.000405211574432</v>
      </c>
      <c r="X34" s="99">
        <f>W34*(1+Inputs!$F$41)^X$6</f>
        <v>94.03402362316632</v>
      </c>
      <c r="Y34" s="99">
        <f>X34*(1+Inputs!$F$41)^Y$6</f>
        <v>96.112594052463507</v>
      </c>
      <c r="Z34" s="99">
        <f>Y34*(1+Inputs!$F$41)^Z$6</f>
        <v>98.237110139120446</v>
      </c>
      <c r="AA34" s="99">
        <f>Z34*(1+Inputs!$F$41)^AA$6</f>
        <v>100.40858748665023</v>
      </c>
      <c r="AB34" s="99">
        <f>AA34*(1+Inputs!$F$41)^AB$6</f>
        <v>102.62806414792365</v>
      </c>
      <c r="AC34" s="99">
        <f>AB34*(1+Inputs!$F$41)^AC$6</f>
        <v>104.89660112139987</v>
      </c>
      <c r="AD34" s="99">
        <f>AC34*(1+Inputs!$F$41)^AD$6</f>
        <v>107.21528285832608</v>
      </c>
      <c r="AE34" s="99">
        <f>AD34*(1+Inputs!$F$41)^AE$6</f>
        <v>109.5852177811485</v>
      </c>
      <c r="AF34" s="99">
        <f>AE34*(1+Inputs!$F$41)^AF$6</f>
        <v>112.00753881338254</v>
      </c>
      <c r="AG34" s="99">
        <f>AF34*(1+Inputs!$F$41)^AG$6</f>
        <v>114.40000000000006</v>
      </c>
      <c r="AH34" s="99">
        <f>AG34*(1+Inputs!$F$41)^AH$6</f>
        <v>117.01399666696048</v>
      </c>
      <c r="AI34" s="99">
        <f>AH34*(1+Inputs!$F$41)^AI$6</f>
        <v>119.60052677504684</v>
      </c>
      <c r="AJ34" s="99">
        <f>AI34*(1+Inputs!$F$41)^AJ$6</f>
        <v>122.2442307101163</v>
      </c>
      <c r="AK34" s="99">
        <f>AJ34*(1+Inputs!$F$41)^AK$6</f>
        <v>124.94637226820265</v>
      </c>
      <c r="AL34" s="99">
        <f>AK34*(1+Inputs!$F$41)^AL$6</f>
        <v>127.70824318085667</v>
      </c>
      <c r="AM34" s="99">
        <f>AL34*(1+Inputs!$F$41)^AM$6</f>
        <v>130.53116373264541</v>
      </c>
      <c r="AN34" s="99">
        <f>AM34*(1+Inputs!$F$41)^AN$6</f>
        <v>133.41648339230085</v>
      </c>
      <c r="AO34" s="99">
        <f>AN34*(1+Inputs!$F$41)^AO$6</f>
        <v>136.36558145781993</v>
      </c>
      <c r="AP34" s="99">
        <f>AO34*(1+Inputs!$F$41)^AP$6</f>
        <v>139.37986771582402</v>
      </c>
      <c r="AQ34" s="99">
        <f>AP34*(1+Inputs!$F$41)^AQ$6</f>
        <v>142.46078311549317</v>
      </c>
    </row>
    <row r="35" spans="2:43" x14ac:dyDescent="0.2">
      <c r="C35" s="137" t="s">
        <v>160</v>
      </c>
      <c r="D35" s="23" t="s">
        <v>92</v>
      </c>
      <c r="E35" s="123"/>
      <c r="F35" s="107">
        <f t="shared" si="27"/>
        <v>1787.4380058923548</v>
      </c>
      <c r="H35" s="21">
        <v>41</v>
      </c>
      <c r="I35" s="21">
        <v>42</v>
      </c>
      <c r="J35" s="21">
        <v>42</v>
      </c>
      <c r="K35" s="21">
        <v>42</v>
      </c>
      <c r="L35" s="21">
        <v>42</v>
      </c>
      <c r="M35" s="21">
        <v>42</v>
      </c>
      <c r="N35" s="21">
        <v>42</v>
      </c>
      <c r="O35" s="21">
        <v>42</v>
      </c>
      <c r="P35" s="21">
        <v>42</v>
      </c>
      <c r="Q35" s="21">
        <v>42</v>
      </c>
      <c r="R35" s="21">
        <v>42</v>
      </c>
      <c r="S35" s="21">
        <v>42</v>
      </c>
      <c r="T35" s="21">
        <v>42</v>
      </c>
      <c r="U35" s="21">
        <v>42</v>
      </c>
      <c r="V35" s="99">
        <f>U35*(1+Inputs!$F$41)^V$6</f>
        <v>42.959684091016932</v>
      </c>
      <c r="W35" s="99">
        <f>V35*(1+Inputs!$F$41)^W$6</f>
        <v>43.90928430552416</v>
      </c>
      <c r="X35" s="99">
        <f>W35*(1+Inputs!$F$41)^X$6</f>
        <v>44.879874911056653</v>
      </c>
      <c r="Y35" s="99">
        <f>X35*(1+Inputs!$F$41)^Y$6</f>
        <v>45.871919888675762</v>
      </c>
      <c r="Z35" s="99">
        <f>Y35*(1+Inputs!$F$41)^Z$6</f>
        <v>46.885893475489304</v>
      </c>
      <c r="AA35" s="99">
        <f>Z35*(1+Inputs!$F$41)^AA$6</f>
        <v>47.922280391355791</v>
      </c>
      <c r="AB35" s="99">
        <f>AA35*(1+Inputs!$F$41)^AB$6</f>
        <v>48.981576070599921</v>
      </c>
      <c r="AC35" s="99">
        <f>AB35*(1+Inputs!$F$41)^AC$6</f>
        <v>50.064286898849936</v>
      </c>
      <c r="AD35" s="99">
        <f>AC35*(1+Inputs!$F$41)^AD$6</f>
        <v>51.170930455110174</v>
      </c>
      <c r="AE35" s="99">
        <f>AD35*(1+Inputs!$F$41)^AE$6</f>
        <v>52.302035759184513</v>
      </c>
      <c r="AF35" s="99">
        <f>AE35*(1+Inputs!$F$41)^AF$6</f>
        <v>53.458143524568939</v>
      </c>
      <c r="AG35" s="99">
        <f>AF35*(1+Inputs!$F$41)^AG$6</f>
        <v>54.60000000000003</v>
      </c>
      <c r="AH35" s="99">
        <f>AG35*(1+Inputs!$F$41)^AH$6</f>
        <v>55.847589318322044</v>
      </c>
      <c r="AI35" s="99">
        <f>AH35*(1+Inputs!$F$41)^AI$6</f>
        <v>57.082069597181444</v>
      </c>
      <c r="AJ35" s="99">
        <f>AI35*(1+Inputs!$F$41)^AJ$6</f>
        <v>58.343837384373685</v>
      </c>
      <c r="AK35" s="99">
        <f>AJ35*(1+Inputs!$F$41)^AK$6</f>
        <v>59.633495855278532</v>
      </c>
      <c r="AL35" s="99">
        <f>AK35*(1+Inputs!$F$41)^AL$6</f>
        <v>60.951661518136135</v>
      </c>
      <c r="AM35" s="99">
        <f>AL35*(1+Inputs!$F$41)^AM$6</f>
        <v>62.298964508762573</v>
      </c>
      <c r="AN35" s="99">
        <f>AM35*(1+Inputs!$F$41)^AN$6</f>
        <v>63.676048891779942</v>
      </c>
      <c r="AO35" s="99">
        <f>AN35*(1+Inputs!$F$41)^AO$6</f>
        <v>65.083572968504967</v>
      </c>
      <c r="AP35" s="99">
        <f>AO35*(1+Inputs!$F$41)^AP$6</f>
        <v>66.522209591643275</v>
      </c>
      <c r="AQ35" s="99">
        <f>AP35*(1+Inputs!$F$41)^AQ$6</f>
        <v>67.992646486939918</v>
      </c>
    </row>
    <row r="36" spans="2:43" x14ac:dyDescent="0.2">
      <c r="C36" s="137" t="s">
        <v>161</v>
      </c>
      <c r="D36" s="23" t="s">
        <v>92</v>
      </c>
      <c r="E36" s="123"/>
      <c r="F36" s="107">
        <f t="shared" si="27"/>
        <v>4020.3908718354824</v>
      </c>
      <c r="H36" s="21">
        <v>41</v>
      </c>
      <c r="I36" s="21">
        <v>46</v>
      </c>
      <c r="J36" s="21">
        <v>51</v>
      </c>
      <c r="K36" s="21">
        <v>56</v>
      </c>
      <c r="L36" s="21">
        <v>61</v>
      </c>
      <c r="M36" s="21">
        <v>66</v>
      </c>
      <c r="N36" s="21">
        <v>71</v>
      </c>
      <c r="O36" s="21">
        <v>76</v>
      </c>
      <c r="P36" s="21">
        <v>81</v>
      </c>
      <c r="Q36" s="21">
        <v>86</v>
      </c>
      <c r="R36" s="21">
        <v>91</v>
      </c>
      <c r="S36" s="21">
        <v>96</v>
      </c>
      <c r="T36" s="21">
        <v>100.36363636363636</v>
      </c>
      <c r="U36" s="21">
        <v>104.72727272727273</v>
      </c>
      <c r="V36" s="99">
        <f>U36*(1+Inputs!$F$41)^V$6</f>
        <v>107.12025123993834</v>
      </c>
      <c r="W36" s="99">
        <f>V36*(1+Inputs!$F$41)^W$6</f>
        <v>109.48808554104728</v>
      </c>
      <c r="X36" s="99">
        <f>W36*(1+Inputs!$F$41)^X$6</f>
        <v>111.90825951847896</v>
      </c>
      <c r="Y36" s="99">
        <f>X36*(1+Inputs!$F$41)^Y$6</f>
        <v>114.38193011202272</v>
      </c>
      <c r="Z36" s="99">
        <f>Y36*(1+Inputs!$F$41)^Z$6</f>
        <v>116.91027983498634</v>
      </c>
      <c r="AA36" s="99">
        <f>Z36*(1+Inputs!$F$41)^AA$6</f>
        <v>119.4945173394846</v>
      </c>
      <c r="AB36" s="99">
        <f>AA36*(1+Inputs!$F$41)^AB$6</f>
        <v>122.13587799422322</v>
      </c>
      <c r="AC36" s="99">
        <f>AB36*(1+Inputs!$F$41)^AC$6</f>
        <v>124.83562447505443</v>
      </c>
      <c r="AD36" s="99">
        <f>AC36*(1+Inputs!$F$41)^AD$6</f>
        <v>127.59504736858645</v>
      </c>
      <c r="AE36" s="99">
        <f>AD36*(1+Inputs!$F$41)^AE$6</f>
        <v>130.41546578913545</v>
      </c>
      <c r="AF36" s="99">
        <f>AE36*(1+Inputs!$F$41)^AF$6</f>
        <v>133.29822800931481</v>
      </c>
      <c r="AG36" s="99">
        <f>AF36*(1+Inputs!$F$41)^AG$6</f>
        <v>136.14545454545467</v>
      </c>
      <c r="AH36" s="99">
        <f>AG36*(1+Inputs!$F$41)^AH$6</f>
        <v>139.25632661191995</v>
      </c>
      <c r="AI36" s="99">
        <f>AH36*(1+Inputs!$F$41)^AI$6</f>
        <v>142.33451120336156</v>
      </c>
      <c r="AJ36" s="99">
        <f>AI36*(1+Inputs!$F$41)^AJ$6</f>
        <v>145.48073737402274</v>
      </c>
      <c r="AK36" s="99">
        <f>AJ36*(1+Inputs!$F$41)^AK$6</f>
        <v>148.69650914562962</v>
      </c>
      <c r="AL36" s="99">
        <f>AK36*(1+Inputs!$F$41)^AL$6</f>
        <v>151.98336378548234</v>
      </c>
      <c r="AM36" s="99">
        <f>AL36*(1+Inputs!$F$41)^AM$6</f>
        <v>155.34287254133008</v>
      </c>
      <c r="AN36" s="99">
        <f>AM36*(1+Inputs!$F$41)^AN$6</f>
        <v>158.77664139249029</v>
      </c>
      <c r="AO36" s="99">
        <f>AN36*(1+Inputs!$F$41)^AO$6</f>
        <v>162.28631181757086</v>
      </c>
      <c r="AP36" s="99">
        <f>AO36*(1+Inputs!$F$41)^AP$6</f>
        <v>165.8735615791625</v>
      </c>
      <c r="AQ36" s="99">
        <f>AP36*(1+Inputs!$F$41)^AQ$6</f>
        <v>169.54010552587619</v>
      </c>
    </row>
    <row r="37" spans="2:43" x14ac:dyDescent="0.2">
      <c r="C37" s="138" t="s">
        <v>163</v>
      </c>
      <c r="D37" s="43" t="s">
        <v>92</v>
      </c>
      <c r="E37" s="42"/>
      <c r="F37" s="108">
        <f t="shared" si="27"/>
        <v>12388.926043032043</v>
      </c>
      <c r="G37" s="42"/>
      <c r="H37" s="143">
        <f>SUM(H32:H36)</f>
        <v>210</v>
      </c>
      <c r="I37" s="143">
        <f t="shared" ref="I37:AQ37" si="28">SUM(I32:I36)</f>
        <v>216</v>
      </c>
      <c r="J37" s="143">
        <f t="shared" si="28"/>
        <v>223</v>
      </c>
      <c r="K37" s="143">
        <f t="shared" si="28"/>
        <v>230</v>
      </c>
      <c r="L37" s="143">
        <f t="shared" si="28"/>
        <v>237</v>
      </c>
      <c r="M37" s="143">
        <f t="shared" si="28"/>
        <v>244</v>
      </c>
      <c r="N37" s="143">
        <f t="shared" si="28"/>
        <v>253</v>
      </c>
      <c r="O37" s="143">
        <f t="shared" si="28"/>
        <v>262</v>
      </c>
      <c r="P37" s="143">
        <f t="shared" si="28"/>
        <v>271</v>
      </c>
      <c r="Q37" s="143">
        <f t="shared" si="28"/>
        <v>280</v>
      </c>
      <c r="R37" s="143">
        <f t="shared" si="28"/>
        <v>289</v>
      </c>
      <c r="S37" s="143">
        <f t="shared" si="28"/>
        <v>298</v>
      </c>
      <c r="T37" s="143">
        <f t="shared" si="28"/>
        <v>302.36363636363637</v>
      </c>
      <c r="U37" s="143">
        <f t="shared" si="28"/>
        <v>306.72727272727275</v>
      </c>
      <c r="V37" s="143">
        <f t="shared" ref="V37" si="29">SUM(V32:V36)</f>
        <v>313.73587472530551</v>
      </c>
      <c r="W37" s="143">
        <f t="shared" ref="W37" si="30">SUM(W32:W36)</f>
        <v>320.6708338676159</v>
      </c>
      <c r="X37" s="143">
        <f t="shared" ref="X37" si="31">SUM(X32:X36)</f>
        <v>327.75908647165619</v>
      </c>
      <c r="Y37" s="143">
        <f t="shared" ref="Y37" si="32">SUM(Y32:Y36)</f>
        <v>335.00402100517761</v>
      </c>
      <c r="Z37" s="143">
        <f t="shared" ref="Z37" si="33">SUM(Z32:Z36)</f>
        <v>342.40910083614915</v>
      </c>
      <c r="AA37" s="143">
        <f t="shared" ref="AA37" si="34">SUM(AA32:AA36)</f>
        <v>349.9778658883863</v>
      </c>
      <c r="AB37" s="143">
        <f t="shared" ref="AB37" si="35">SUM(AB32:AB36)</f>
        <v>357.71393433377523</v>
      </c>
      <c r="AC37" s="143">
        <f t="shared" ref="AC37" si="36">SUM(AC32:AC36)</f>
        <v>365.62100432190414</v>
      </c>
      <c r="AD37" s="143">
        <f t="shared" ref="AD37" si="37">SUM(AD32:AD36)</f>
        <v>373.70285574792587</v>
      </c>
      <c r="AE37" s="143">
        <f t="shared" ref="AE37" si="38">SUM(AE32:AE36)</f>
        <v>381.96335205949913</v>
      </c>
      <c r="AF37" s="143">
        <f t="shared" ref="AF37" si="39">SUM(AF32:AF36)</f>
        <v>390.4064421036702</v>
      </c>
      <c r="AG37" s="143">
        <f t="shared" ref="AG37" si="40">SUM(AG32:AG36)</f>
        <v>398.74545454545478</v>
      </c>
      <c r="AH37" s="143">
        <f t="shared" ref="AH37" si="41">SUM(AH32:AH36)</f>
        <v>407.8566371428974</v>
      </c>
      <c r="AI37" s="143">
        <f t="shared" si="28"/>
        <v>416.87208402790088</v>
      </c>
      <c r="AJ37" s="143">
        <f t="shared" si="28"/>
        <v>426.08681241315332</v>
      </c>
      <c r="AK37" s="143">
        <f t="shared" si="28"/>
        <v>435.50522730673117</v>
      </c>
      <c r="AL37" s="143">
        <f t="shared" si="28"/>
        <v>445.13183108699423</v>
      </c>
      <c r="AM37" s="143">
        <f t="shared" si="28"/>
        <v>454.97122565490247</v>
      </c>
      <c r="AN37" s="143">
        <f t="shared" si="28"/>
        <v>465.0281146339081</v>
      </c>
      <c r="AO37" s="143">
        <f t="shared" si="28"/>
        <v>475.30730561847577</v>
      </c>
      <c r="AP37" s="143">
        <f t="shared" si="28"/>
        <v>485.81371247230402</v>
      </c>
      <c r="AQ37" s="143">
        <f t="shared" si="28"/>
        <v>496.55235767734916</v>
      </c>
    </row>
    <row r="38" spans="2:43" x14ac:dyDescent="0.2">
      <c r="C38" s="137"/>
      <c r="F38" s="109"/>
      <c r="G38" s="100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</row>
    <row r="39" spans="2:43" ht="16" thickBot="1" x14ac:dyDescent="0.25">
      <c r="C39" s="140" t="s">
        <v>164</v>
      </c>
      <c r="D39" s="104" t="s">
        <v>92</v>
      </c>
      <c r="E39" s="103"/>
      <c r="F39" s="111">
        <f>SUM(H39:AQ39)</f>
        <v>67245.975361071134</v>
      </c>
      <c r="G39" s="103"/>
      <c r="H39" s="147">
        <f>SUM(H16:H17,H25,H30,H37)</f>
        <v>1014</v>
      </c>
      <c r="I39" s="147">
        <f t="shared" ref="I39:AQ39" si="42">SUM(I16:I17,I25,I30,I37)</f>
        <v>1034</v>
      </c>
      <c r="J39" s="147">
        <f t="shared" si="42"/>
        <v>1369.5</v>
      </c>
      <c r="K39" s="147">
        <f t="shared" si="42"/>
        <v>1101.2142857142858</v>
      </c>
      <c r="L39" s="147">
        <f t="shared" si="42"/>
        <v>1135.5714285714284</v>
      </c>
      <c r="M39" s="147">
        <f t="shared" si="42"/>
        <v>1192.9285714285716</v>
      </c>
      <c r="N39" s="147">
        <f t="shared" si="42"/>
        <v>1250.1428571428571</v>
      </c>
      <c r="O39" s="147">
        <f t="shared" si="42"/>
        <v>1317.8571428571429</v>
      </c>
      <c r="P39" s="147">
        <f t="shared" si="42"/>
        <v>1368.5714285714284</v>
      </c>
      <c r="Q39" s="147">
        <f t="shared" si="42"/>
        <v>1447.2857142857142</v>
      </c>
      <c r="R39" s="147">
        <f t="shared" si="42"/>
        <v>1504</v>
      </c>
      <c r="S39" s="147">
        <f t="shared" si="42"/>
        <v>1558.7142857142858</v>
      </c>
      <c r="T39" s="147">
        <f t="shared" si="42"/>
        <v>1637.292207792208</v>
      </c>
      <c r="U39" s="147">
        <f t="shared" si="42"/>
        <v>1700.8701298701299</v>
      </c>
      <c r="V39" s="147">
        <f t="shared" si="42"/>
        <v>1739.7343680730414</v>
      </c>
      <c r="W39" s="147">
        <f t="shared" si="42"/>
        <v>1778.1902404581274</v>
      </c>
      <c r="X39" s="147">
        <f t="shared" si="42"/>
        <v>1817.4961587743837</v>
      </c>
      <c r="Y39" s="147">
        <f t="shared" si="42"/>
        <v>1857.6709128200987</v>
      </c>
      <c r="Z39" s="147">
        <f t="shared" si="42"/>
        <v>1898.7337077317279</v>
      </c>
      <c r="AA39" s="147">
        <f t="shared" si="42"/>
        <v>1940.7041731647171</v>
      </c>
      <c r="AB39" s="147">
        <f t="shared" si="42"/>
        <v>1983.602372677261</v>
      </c>
      <c r="AC39" s="147">
        <f t="shared" si="42"/>
        <v>2027.4488133214847</v>
      </c>
      <c r="AD39" s="147">
        <f t="shared" si="42"/>
        <v>2072.2644554466342</v>
      </c>
      <c r="AE39" s="147">
        <f t="shared" si="42"/>
        <v>2118.0707227189614</v>
      </c>
      <c r="AF39" s="147">
        <f t="shared" si="42"/>
        <v>2164.8895123630864</v>
      </c>
      <c r="AG39" s="147">
        <f t="shared" si="42"/>
        <v>2211.1311688311703</v>
      </c>
      <c r="AH39" s="147">
        <f t="shared" si="42"/>
        <v>2261.6546784949551</v>
      </c>
      <c r="AI39" s="147">
        <f t="shared" si="42"/>
        <v>2311.6473125955663</v>
      </c>
      <c r="AJ39" s="147">
        <f t="shared" si="42"/>
        <v>2362.7450064067002</v>
      </c>
      <c r="AK39" s="147">
        <f t="shared" si="42"/>
        <v>2414.9721866661298</v>
      </c>
      <c r="AL39" s="147">
        <f t="shared" si="42"/>
        <v>2468.3538200512476</v>
      </c>
      <c r="AM39" s="147">
        <f t="shared" si="42"/>
        <v>2522.9154251141335</v>
      </c>
      <c r="AN39" s="147">
        <f t="shared" si="42"/>
        <v>2578.6830844804399</v>
      </c>
      <c r="AO39" s="147">
        <f t="shared" si="42"/>
        <v>2635.6834573179317</v>
      </c>
      <c r="AP39" s="147">
        <f t="shared" si="42"/>
        <v>2693.9437920806263</v>
      </c>
      <c r="AQ39" s="147">
        <f t="shared" si="42"/>
        <v>2753.4919395346515</v>
      </c>
    </row>
    <row r="40" spans="2:43" x14ac:dyDescent="0.2">
      <c r="C40" s="137"/>
      <c r="F40" s="109"/>
      <c r="H40" s="137"/>
      <c r="I40" s="137"/>
      <c r="J40" s="137"/>
      <c r="K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</row>
    <row r="41" spans="2:43" x14ac:dyDescent="0.2">
      <c r="B41" s="20" t="s">
        <v>165</v>
      </c>
      <c r="C41" s="137"/>
      <c r="F41" s="109"/>
      <c r="H41" s="137"/>
      <c r="I41" s="137"/>
      <c r="J41" s="137"/>
      <c r="K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</row>
    <row r="42" spans="2:43" x14ac:dyDescent="0.2">
      <c r="C42" s="137" t="s">
        <v>199</v>
      </c>
      <c r="D42" s="23" t="s">
        <v>92</v>
      </c>
      <c r="E42" s="242"/>
      <c r="F42" s="107">
        <f t="shared" ref="F42:F53" si="43">SUM(H42:AQ42)</f>
        <v>168</v>
      </c>
      <c r="H42" s="21">
        <v>12</v>
      </c>
      <c r="I42" s="21">
        <v>12</v>
      </c>
      <c r="J42" s="21">
        <v>12</v>
      </c>
      <c r="K42" s="21">
        <v>12</v>
      </c>
      <c r="L42" s="21">
        <v>12</v>
      </c>
      <c r="M42" s="21">
        <v>12</v>
      </c>
      <c r="N42" s="21">
        <v>12</v>
      </c>
      <c r="O42" s="21">
        <v>12</v>
      </c>
      <c r="P42" s="21">
        <v>12</v>
      </c>
      <c r="Q42" s="21">
        <v>12</v>
      </c>
      <c r="R42" s="21">
        <v>12</v>
      </c>
      <c r="S42" s="21">
        <v>12</v>
      </c>
      <c r="T42" s="21">
        <f t="shared" ref="T42:T52" si="44">U42</f>
        <v>12</v>
      </c>
      <c r="U42" s="21">
        <v>12</v>
      </c>
      <c r="V42" s="160">
        <v>0</v>
      </c>
      <c r="W42" s="160">
        <v>0</v>
      </c>
      <c r="X42" s="160">
        <v>0</v>
      </c>
      <c r="Y42" s="160">
        <v>0</v>
      </c>
      <c r="Z42" s="160">
        <v>0</v>
      </c>
      <c r="AA42" s="160">
        <v>0</v>
      </c>
      <c r="AB42" s="160">
        <v>0</v>
      </c>
      <c r="AC42" s="160">
        <v>0</v>
      </c>
      <c r="AD42" s="160">
        <v>0</v>
      </c>
      <c r="AE42" s="160">
        <v>0</v>
      </c>
      <c r="AF42" s="160">
        <v>0</v>
      </c>
      <c r="AG42" s="160">
        <v>0</v>
      </c>
      <c r="AH42" s="160">
        <v>0</v>
      </c>
      <c r="AI42" s="160">
        <v>0</v>
      </c>
      <c r="AJ42" s="160">
        <v>0</v>
      </c>
      <c r="AK42" s="160">
        <v>0</v>
      </c>
      <c r="AL42" s="160">
        <v>0</v>
      </c>
      <c r="AM42" s="160">
        <v>0</v>
      </c>
      <c r="AN42" s="160">
        <v>0</v>
      </c>
      <c r="AO42" s="160">
        <v>0</v>
      </c>
      <c r="AP42" s="160">
        <v>0</v>
      </c>
      <c r="AQ42" s="160">
        <v>0</v>
      </c>
    </row>
    <row r="43" spans="2:43" x14ac:dyDescent="0.2">
      <c r="C43" t="s">
        <v>200</v>
      </c>
      <c r="D43" s="23" t="s">
        <v>92</v>
      </c>
      <c r="E43" s="242"/>
      <c r="F43" s="107">
        <f t="shared" si="43"/>
        <v>1633.3333333333337</v>
      </c>
      <c r="H43" s="21">
        <v>116.66666666666667</v>
      </c>
      <c r="I43" s="21">
        <v>116.66666666666667</v>
      </c>
      <c r="J43" s="21">
        <v>116.66666666666667</v>
      </c>
      <c r="K43" s="21">
        <v>116.66666666666667</v>
      </c>
      <c r="L43" s="21">
        <v>116.66666666666667</v>
      </c>
      <c r="M43" s="21">
        <v>116.66666666666667</v>
      </c>
      <c r="N43" s="21">
        <v>116.66666666666667</v>
      </c>
      <c r="O43" s="21">
        <v>116.66666666666667</v>
      </c>
      <c r="P43" s="21">
        <v>116.66666666666667</v>
      </c>
      <c r="Q43" s="21">
        <v>116.66666666666667</v>
      </c>
      <c r="R43" s="21">
        <v>116.66666666666667</v>
      </c>
      <c r="S43" s="21">
        <v>116.66666666666667</v>
      </c>
      <c r="T43" s="21">
        <f t="shared" si="44"/>
        <v>116.66666666666667</v>
      </c>
      <c r="U43" s="21">
        <v>116.66666666666667</v>
      </c>
      <c r="V43" s="160">
        <v>0</v>
      </c>
      <c r="W43" s="160">
        <v>0</v>
      </c>
      <c r="X43" s="160">
        <v>0</v>
      </c>
      <c r="Y43" s="160">
        <v>0</v>
      </c>
      <c r="Z43" s="160">
        <v>0</v>
      </c>
      <c r="AA43" s="160">
        <v>0</v>
      </c>
      <c r="AB43" s="160">
        <v>0</v>
      </c>
      <c r="AC43" s="160">
        <v>0</v>
      </c>
      <c r="AD43" s="160">
        <v>0</v>
      </c>
      <c r="AE43" s="160">
        <v>0</v>
      </c>
      <c r="AF43" s="160">
        <v>0</v>
      </c>
      <c r="AG43" s="160">
        <v>0</v>
      </c>
      <c r="AH43" s="160">
        <v>0</v>
      </c>
      <c r="AI43" s="160">
        <v>0</v>
      </c>
      <c r="AJ43" s="160">
        <v>0</v>
      </c>
      <c r="AK43" s="160">
        <v>0</v>
      </c>
      <c r="AL43" s="160">
        <v>0</v>
      </c>
      <c r="AM43" s="160">
        <v>0</v>
      </c>
      <c r="AN43" s="160">
        <v>0</v>
      </c>
      <c r="AO43" s="160">
        <v>0</v>
      </c>
      <c r="AP43" s="160">
        <v>0</v>
      </c>
      <c r="AQ43" s="160">
        <v>0</v>
      </c>
    </row>
    <row r="44" spans="2:43" x14ac:dyDescent="0.2">
      <c r="C44" s="137" t="s">
        <v>201</v>
      </c>
      <c r="D44" s="23" t="s">
        <v>92</v>
      </c>
      <c r="E44" s="242"/>
      <c r="F44" s="107">
        <f t="shared" si="43"/>
        <v>280</v>
      </c>
      <c r="H44" s="21">
        <v>20</v>
      </c>
      <c r="I44" s="21">
        <v>20</v>
      </c>
      <c r="J44" s="21">
        <v>20</v>
      </c>
      <c r="K44" s="21">
        <v>20</v>
      </c>
      <c r="L44" s="21">
        <v>20</v>
      </c>
      <c r="M44" s="21">
        <v>20</v>
      </c>
      <c r="N44" s="21">
        <v>20</v>
      </c>
      <c r="O44" s="21">
        <v>20</v>
      </c>
      <c r="P44" s="21">
        <v>20</v>
      </c>
      <c r="Q44" s="21">
        <v>20</v>
      </c>
      <c r="R44" s="21">
        <v>20</v>
      </c>
      <c r="S44" s="21">
        <v>20</v>
      </c>
      <c r="T44" s="21">
        <f t="shared" si="44"/>
        <v>20</v>
      </c>
      <c r="U44" s="21">
        <v>20</v>
      </c>
      <c r="V44" s="160">
        <v>0</v>
      </c>
      <c r="W44" s="160">
        <v>0</v>
      </c>
      <c r="X44" s="160">
        <v>0</v>
      </c>
      <c r="Y44" s="160">
        <v>0</v>
      </c>
      <c r="Z44" s="160">
        <v>0</v>
      </c>
      <c r="AA44" s="160">
        <v>0</v>
      </c>
      <c r="AB44" s="160">
        <v>0</v>
      </c>
      <c r="AC44" s="160">
        <v>0</v>
      </c>
      <c r="AD44" s="160">
        <v>0</v>
      </c>
      <c r="AE44" s="160">
        <v>0</v>
      </c>
      <c r="AF44" s="160">
        <v>0</v>
      </c>
      <c r="AG44" s="160">
        <v>0</v>
      </c>
      <c r="AH44" s="160">
        <v>0</v>
      </c>
      <c r="AI44" s="160">
        <v>0</v>
      </c>
      <c r="AJ44" s="160">
        <v>0</v>
      </c>
      <c r="AK44" s="160">
        <v>0</v>
      </c>
      <c r="AL44" s="160">
        <v>0</v>
      </c>
      <c r="AM44" s="160">
        <v>0</v>
      </c>
      <c r="AN44" s="160">
        <v>0</v>
      </c>
      <c r="AO44" s="160">
        <v>0</v>
      </c>
      <c r="AP44" s="160">
        <v>0</v>
      </c>
      <c r="AQ44" s="160">
        <v>0</v>
      </c>
    </row>
    <row r="45" spans="2:43" x14ac:dyDescent="0.2">
      <c r="C45" s="137" t="s">
        <v>202</v>
      </c>
      <c r="D45" s="23" t="s">
        <v>92</v>
      </c>
      <c r="E45" s="242"/>
      <c r="F45" s="107">
        <f t="shared" si="43"/>
        <v>294</v>
      </c>
      <c r="H45" s="21">
        <v>21</v>
      </c>
      <c r="I45" s="21">
        <v>21</v>
      </c>
      <c r="J45" s="21">
        <v>21</v>
      </c>
      <c r="K45" s="21">
        <v>21</v>
      </c>
      <c r="L45" s="21">
        <v>21</v>
      </c>
      <c r="M45" s="21">
        <v>21</v>
      </c>
      <c r="N45" s="21">
        <v>21</v>
      </c>
      <c r="O45" s="21">
        <v>21</v>
      </c>
      <c r="P45" s="21">
        <v>21</v>
      </c>
      <c r="Q45" s="21">
        <v>21</v>
      </c>
      <c r="R45" s="21">
        <v>21</v>
      </c>
      <c r="S45" s="21">
        <v>21</v>
      </c>
      <c r="T45" s="21">
        <v>21</v>
      </c>
      <c r="U45" s="21">
        <v>21</v>
      </c>
      <c r="V45" s="160">
        <v>0</v>
      </c>
      <c r="W45" s="160">
        <v>0</v>
      </c>
      <c r="X45" s="160">
        <v>0</v>
      </c>
      <c r="Y45" s="160">
        <v>0</v>
      </c>
      <c r="Z45" s="160">
        <v>0</v>
      </c>
      <c r="AA45" s="160">
        <v>0</v>
      </c>
      <c r="AB45" s="160">
        <v>0</v>
      </c>
      <c r="AC45" s="160">
        <v>0</v>
      </c>
      <c r="AD45" s="160">
        <v>0</v>
      </c>
      <c r="AE45" s="160">
        <v>0</v>
      </c>
      <c r="AF45" s="160">
        <v>0</v>
      </c>
      <c r="AG45" s="160">
        <v>0</v>
      </c>
      <c r="AH45" s="160">
        <v>0</v>
      </c>
      <c r="AI45" s="160">
        <v>0</v>
      </c>
      <c r="AJ45" s="160">
        <v>0</v>
      </c>
      <c r="AK45" s="160">
        <v>0</v>
      </c>
      <c r="AL45" s="160">
        <v>0</v>
      </c>
      <c r="AM45" s="160">
        <v>0</v>
      </c>
      <c r="AN45" s="160">
        <v>0</v>
      </c>
      <c r="AO45" s="160">
        <v>0</v>
      </c>
      <c r="AP45" s="160">
        <v>0</v>
      </c>
      <c r="AQ45" s="160">
        <v>0</v>
      </c>
    </row>
    <row r="46" spans="2:43" x14ac:dyDescent="0.2">
      <c r="C46" s="137" t="s">
        <v>203</v>
      </c>
      <c r="D46" s="23" t="s">
        <v>92</v>
      </c>
      <c r="E46" s="242"/>
      <c r="F46" s="107">
        <f t="shared" si="43"/>
        <v>294</v>
      </c>
      <c r="H46" s="21">
        <v>21</v>
      </c>
      <c r="I46" s="21">
        <v>21</v>
      </c>
      <c r="J46" s="21">
        <v>21</v>
      </c>
      <c r="K46" s="21">
        <v>21</v>
      </c>
      <c r="L46" s="21">
        <v>21</v>
      </c>
      <c r="M46" s="21">
        <v>21</v>
      </c>
      <c r="N46" s="21">
        <v>21</v>
      </c>
      <c r="O46" s="21">
        <v>21</v>
      </c>
      <c r="P46" s="21">
        <v>21</v>
      </c>
      <c r="Q46" s="21">
        <v>21</v>
      </c>
      <c r="R46" s="21">
        <v>21</v>
      </c>
      <c r="S46" s="21">
        <v>21</v>
      </c>
      <c r="T46" s="21">
        <v>21</v>
      </c>
      <c r="U46" s="21">
        <v>21</v>
      </c>
      <c r="V46" s="160">
        <v>0</v>
      </c>
      <c r="W46" s="160">
        <v>0</v>
      </c>
      <c r="X46" s="160">
        <v>0</v>
      </c>
      <c r="Y46" s="160">
        <v>0</v>
      </c>
      <c r="Z46" s="160">
        <v>0</v>
      </c>
      <c r="AA46" s="160">
        <v>0</v>
      </c>
      <c r="AB46" s="160">
        <v>0</v>
      </c>
      <c r="AC46" s="160">
        <v>0</v>
      </c>
      <c r="AD46" s="160">
        <v>0</v>
      </c>
      <c r="AE46" s="160">
        <v>0</v>
      </c>
      <c r="AF46" s="160">
        <v>0</v>
      </c>
      <c r="AG46" s="160">
        <v>0</v>
      </c>
      <c r="AH46" s="160">
        <v>0</v>
      </c>
      <c r="AI46" s="160">
        <v>0</v>
      </c>
      <c r="AJ46" s="160">
        <v>0</v>
      </c>
      <c r="AK46" s="160">
        <v>0</v>
      </c>
      <c r="AL46" s="160">
        <v>0</v>
      </c>
      <c r="AM46" s="160">
        <v>0</v>
      </c>
      <c r="AN46" s="160">
        <v>0</v>
      </c>
      <c r="AO46" s="160">
        <v>0</v>
      </c>
      <c r="AP46" s="160">
        <v>0</v>
      </c>
      <c r="AQ46" s="160">
        <v>0</v>
      </c>
    </row>
    <row r="47" spans="2:43" x14ac:dyDescent="0.2">
      <c r="C47" s="137" t="s">
        <v>204</v>
      </c>
      <c r="D47" s="23" t="s">
        <v>92</v>
      </c>
      <c r="E47" s="242"/>
      <c r="F47" s="107">
        <f t="shared" si="43"/>
        <v>308</v>
      </c>
      <c r="H47" s="21">
        <v>22</v>
      </c>
      <c r="I47" s="21">
        <v>22</v>
      </c>
      <c r="J47" s="21">
        <v>22</v>
      </c>
      <c r="K47" s="21">
        <v>22</v>
      </c>
      <c r="L47" s="21">
        <v>22</v>
      </c>
      <c r="M47" s="21">
        <v>22</v>
      </c>
      <c r="N47" s="21">
        <v>22</v>
      </c>
      <c r="O47" s="21">
        <v>22</v>
      </c>
      <c r="P47" s="21">
        <v>22</v>
      </c>
      <c r="Q47" s="21">
        <v>22</v>
      </c>
      <c r="R47" s="21">
        <v>22</v>
      </c>
      <c r="S47" s="21">
        <v>22</v>
      </c>
      <c r="T47" s="21">
        <v>22</v>
      </c>
      <c r="U47" s="21">
        <v>22</v>
      </c>
      <c r="V47" s="160">
        <v>0</v>
      </c>
      <c r="W47" s="160">
        <v>0</v>
      </c>
      <c r="X47" s="160">
        <v>0</v>
      </c>
      <c r="Y47" s="160">
        <v>0</v>
      </c>
      <c r="Z47" s="160">
        <v>0</v>
      </c>
      <c r="AA47" s="160">
        <v>0</v>
      </c>
      <c r="AB47" s="160">
        <v>0</v>
      </c>
      <c r="AC47" s="160">
        <v>0</v>
      </c>
      <c r="AD47" s="160">
        <v>0</v>
      </c>
      <c r="AE47" s="160">
        <v>0</v>
      </c>
      <c r="AF47" s="160">
        <v>0</v>
      </c>
      <c r="AG47" s="160">
        <v>0</v>
      </c>
      <c r="AH47" s="160">
        <v>0</v>
      </c>
      <c r="AI47" s="160">
        <v>0</v>
      </c>
      <c r="AJ47" s="160">
        <v>0</v>
      </c>
      <c r="AK47" s="160">
        <v>0</v>
      </c>
      <c r="AL47" s="160">
        <v>0</v>
      </c>
      <c r="AM47" s="160">
        <v>0</v>
      </c>
      <c r="AN47" s="160">
        <v>0</v>
      </c>
      <c r="AO47" s="160">
        <v>0</v>
      </c>
      <c r="AP47" s="160">
        <v>0</v>
      </c>
      <c r="AQ47" s="160">
        <v>0</v>
      </c>
    </row>
    <row r="48" spans="2:43" x14ac:dyDescent="0.2">
      <c r="C48" s="137" t="s">
        <v>205</v>
      </c>
      <c r="D48" s="23" t="s">
        <v>92</v>
      </c>
      <c r="E48" s="242"/>
      <c r="F48" s="107">
        <f t="shared" si="43"/>
        <v>116.66666666666664</v>
      </c>
      <c r="H48" s="21">
        <v>8.3333333333333339</v>
      </c>
      <c r="I48" s="21">
        <v>8.3333333333333339</v>
      </c>
      <c r="J48" s="21">
        <v>8.3333333333333339</v>
      </c>
      <c r="K48" s="21">
        <v>8.3333333333333339</v>
      </c>
      <c r="L48" s="21">
        <v>8.3333333333333339</v>
      </c>
      <c r="M48" s="21">
        <v>8.3333333333333339</v>
      </c>
      <c r="N48" s="21">
        <v>8.3333333333333339</v>
      </c>
      <c r="O48" s="21">
        <v>8.3333333333333339</v>
      </c>
      <c r="P48" s="21">
        <v>8.3333333333333339</v>
      </c>
      <c r="Q48" s="21">
        <v>8.3333333333333339</v>
      </c>
      <c r="R48" s="21">
        <v>8.3333333333333339</v>
      </c>
      <c r="S48" s="21">
        <v>8.3333333333333339</v>
      </c>
      <c r="T48" s="21">
        <f t="shared" si="44"/>
        <v>8.3333333333333339</v>
      </c>
      <c r="U48" s="21">
        <v>8.3333333333333339</v>
      </c>
      <c r="V48" s="160">
        <v>0</v>
      </c>
      <c r="W48" s="160">
        <v>0</v>
      </c>
      <c r="X48" s="160">
        <v>0</v>
      </c>
      <c r="Y48" s="160">
        <v>0</v>
      </c>
      <c r="Z48" s="160">
        <v>0</v>
      </c>
      <c r="AA48" s="160">
        <v>0</v>
      </c>
      <c r="AB48" s="160">
        <v>0</v>
      </c>
      <c r="AC48" s="160">
        <v>0</v>
      </c>
      <c r="AD48" s="160">
        <v>0</v>
      </c>
      <c r="AE48" s="160">
        <v>0</v>
      </c>
      <c r="AF48" s="160">
        <v>0</v>
      </c>
      <c r="AG48" s="160">
        <v>0</v>
      </c>
      <c r="AH48" s="160">
        <v>0</v>
      </c>
      <c r="AI48" s="160">
        <v>0</v>
      </c>
      <c r="AJ48" s="160">
        <v>0</v>
      </c>
      <c r="AK48" s="160">
        <v>0</v>
      </c>
      <c r="AL48" s="160">
        <v>0</v>
      </c>
      <c r="AM48" s="160">
        <v>0</v>
      </c>
      <c r="AN48" s="160">
        <v>0</v>
      </c>
      <c r="AO48" s="160">
        <v>0</v>
      </c>
      <c r="AP48" s="160">
        <v>0</v>
      </c>
      <c r="AQ48" s="160">
        <v>0</v>
      </c>
    </row>
    <row r="49" spans="2:43" x14ac:dyDescent="0.2">
      <c r="C49" s="137" t="s">
        <v>206</v>
      </c>
      <c r="D49" s="23" t="s">
        <v>92</v>
      </c>
      <c r="E49" s="242"/>
      <c r="F49" s="107">
        <f t="shared" si="43"/>
        <v>840</v>
      </c>
      <c r="H49" s="21">
        <v>60</v>
      </c>
      <c r="I49" s="21">
        <v>60</v>
      </c>
      <c r="J49" s="21">
        <v>60</v>
      </c>
      <c r="K49" s="21">
        <v>60</v>
      </c>
      <c r="L49" s="21">
        <v>60</v>
      </c>
      <c r="M49" s="21">
        <v>60</v>
      </c>
      <c r="N49" s="21">
        <v>60</v>
      </c>
      <c r="O49" s="21">
        <v>60</v>
      </c>
      <c r="P49" s="21">
        <v>60</v>
      </c>
      <c r="Q49" s="21">
        <v>60</v>
      </c>
      <c r="R49" s="21">
        <v>60</v>
      </c>
      <c r="S49" s="21">
        <v>60</v>
      </c>
      <c r="T49" s="21">
        <f t="shared" si="44"/>
        <v>60</v>
      </c>
      <c r="U49" s="21">
        <v>60</v>
      </c>
      <c r="V49" s="160">
        <v>0</v>
      </c>
      <c r="W49" s="160">
        <v>0</v>
      </c>
      <c r="X49" s="160">
        <v>0</v>
      </c>
      <c r="Y49" s="160">
        <v>0</v>
      </c>
      <c r="Z49" s="160">
        <v>0</v>
      </c>
      <c r="AA49" s="160">
        <v>0</v>
      </c>
      <c r="AB49" s="160">
        <v>0</v>
      </c>
      <c r="AC49" s="160">
        <v>0</v>
      </c>
      <c r="AD49" s="160">
        <v>0</v>
      </c>
      <c r="AE49" s="160">
        <v>0</v>
      </c>
      <c r="AF49" s="160">
        <v>0</v>
      </c>
      <c r="AG49" s="160">
        <v>0</v>
      </c>
      <c r="AH49" s="160">
        <v>0</v>
      </c>
      <c r="AI49" s="160">
        <v>0</v>
      </c>
      <c r="AJ49" s="160">
        <v>0</v>
      </c>
      <c r="AK49" s="160">
        <v>0</v>
      </c>
      <c r="AL49" s="160">
        <v>0</v>
      </c>
      <c r="AM49" s="160">
        <v>0</v>
      </c>
      <c r="AN49" s="160">
        <v>0</v>
      </c>
      <c r="AO49" s="160">
        <v>0</v>
      </c>
      <c r="AP49" s="160">
        <v>0</v>
      </c>
      <c r="AQ49" s="160">
        <v>0</v>
      </c>
    </row>
    <row r="50" spans="2:43" x14ac:dyDescent="0.2">
      <c r="C50" s="137" t="s">
        <v>207</v>
      </c>
      <c r="D50" s="23" t="s">
        <v>92</v>
      </c>
      <c r="E50" s="242"/>
      <c r="F50" s="107">
        <f t="shared" si="43"/>
        <v>233.33333333333329</v>
      </c>
      <c r="H50" s="21">
        <v>16.666666666666668</v>
      </c>
      <c r="I50" s="21">
        <v>16.666666666666668</v>
      </c>
      <c r="J50" s="21">
        <v>16.666666666666668</v>
      </c>
      <c r="K50" s="21">
        <v>16.666666666666668</v>
      </c>
      <c r="L50" s="21">
        <v>16.666666666666668</v>
      </c>
      <c r="M50" s="21">
        <v>16.666666666666668</v>
      </c>
      <c r="N50" s="21">
        <v>16.666666666666668</v>
      </c>
      <c r="O50" s="21">
        <v>16.666666666666668</v>
      </c>
      <c r="P50" s="21">
        <v>16.666666666666668</v>
      </c>
      <c r="Q50" s="21">
        <v>16.666666666666668</v>
      </c>
      <c r="R50" s="21">
        <v>16.666666666666668</v>
      </c>
      <c r="S50" s="21">
        <v>16.666666666666668</v>
      </c>
      <c r="T50" s="21">
        <f t="shared" si="44"/>
        <v>16.666666666666668</v>
      </c>
      <c r="U50" s="21">
        <v>16.666666666666668</v>
      </c>
      <c r="V50" s="160">
        <v>0</v>
      </c>
      <c r="W50" s="160">
        <v>0</v>
      </c>
      <c r="X50" s="160">
        <v>0</v>
      </c>
      <c r="Y50" s="160">
        <v>0</v>
      </c>
      <c r="Z50" s="160">
        <v>0</v>
      </c>
      <c r="AA50" s="160">
        <v>0</v>
      </c>
      <c r="AB50" s="160">
        <v>0</v>
      </c>
      <c r="AC50" s="160">
        <v>0</v>
      </c>
      <c r="AD50" s="160">
        <v>0</v>
      </c>
      <c r="AE50" s="160">
        <v>0</v>
      </c>
      <c r="AF50" s="160">
        <v>0</v>
      </c>
      <c r="AG50" s="160">
        <v>0</v>
      </c>
      <c r="AH50" s="160">
        <v>0</v>
      </c>
      <c r="AI50" s="160">
        <v>0</v>
      </c>
      <c r="AJ50" s="160">
        <v>0</v>
      </c>
      <c r="AK50" s="160">
        <v>0</v>
      </c>
      <c r="AL50" s="160">
        <v>0</v>
      </c>
      <c r="AM50" s="160">
        <v>0</v>
      </c>
      <c r="AN50" s="160">
        <v>0</v>
      </c>
      <c r="AO50" s="160">
        <v>0</v>
      </c>
      <c r="AP50" s="160">
        <v>0</v>
      </c>
      <c r="AQ50" s="160">
        <v>0</v>
      </c>
    </row>
    <row r="51" spans="2:43" x14ac:dyDescent="0.2">
      <c r="C51" s="137" t="s">
        <v>208</v>
      </c>
      <c r="D51" s="23" t="s">
        <v>92</v>
      </c>
      <c r="E51" s="242"/>
      <c r="F51" s="107">
        <f t="shared" si="43"/>
        <v>120</v>
      </c>
      <c r="H51" s="21">
        <v>20</v>
      </c>
      <c r="I51" s="21">
        <v>20</v>
      </c>
      <c r="J51" s="21">
        <v>20</v>
      </c>
      <c r="K51" s="21">
        <v>20</v>
      </c>
      <c r="L51" s="21">
        <v>20</v>
      </c>
      <c r="M51" s="21">
        <v>20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f t="shared" si="44"/>
        <v>0</v>
      </c>
      <c r="U51" s="21">
        <v>0</v>
      </c>
      <c r="V51" s="160">
        <v>0</v>
      </c>
      <c r="W51" s="160">
        <v>0</v>
      </c>
      <c r="X51" s="160">
        <v>0</v>
      </c>
      <c r="Y51" s="160">
        <v>0</v>
      </c>
      <c r="Z51" s="160">
        <v>0</v>
      </c>
      <c r="AA51" s="160">
        <v>0</v>
      </c>
      <c r="AB51" s="160">
        <v>0</v>
      </c>
      <c r="AC51" s="160">
        <v>0</v>
      </c>
      <c r="AD51" s="160">
        <v>0</v>
      </c>
      <c r="AE51" s="160">
        <v>0</v>
      </c>
      <c r="AF51" s="160">
        <v>0</v>
      </c>
      <c r="AG51" s="160">
        <v>0</v>
      </c>
      <c r="AH51" s="160">
        <v>0</v>
      </c>
      <c r="AI51" s="160">
        <v>0</v>
      </c>
      <c r="AJ51" s="160">
        <v>0</v>
      </c>
      <c r="AK51" s="160">
        <v>0</v>
      </c>
      <c r="AL51" s="160">
        <v>0</v>
      </c>
      <c r="AM51" s="160">
        <v>0</v>
      </c>
      <c r="AN51" s="160">
        <v>0</v>
      </c>
      <c r="AO51" s="160">
        <v>0</v>
      </c>
      <c r="AP51" s="160">
        <v>0</v>
      </c>
      <c r="AQ51" s="160">
        <v>0</v>
      </c>
    </row>
    <row r="52" spans="2:43" x14ac:dyDescent="0.2">
      <c r="C52" s="137" t="s">
        <v>209</v>
      </c>
      <c r="D52" s="23" t="s">
        <v>92</v>
      </c>
      <c r="E52" s="242"/>
      <c r="F52" s="107">
        <f t="shared" si="43"/>
        <v>35</v>
      </c>
      <c r="H52" s="21">
        <v>2.5</v>
      </c>
      <c r="I52" s="21">
        <v>2.5</v>
      </c>
      <c r="J52" s="21">
        <v>2.5</v>
      </c>
      <c r="K52" s="21">
        <v>2.5</v>
      </c>
      <c r="L52" s="21">
        <v>2.5</v>
      </c>
      <c r="M52" s="21">
        <v>2.5</v>
      </c>
      <c r="N52" s="21">
        <v>2.5</v>
      </c>
      <c r="O52" s="21">
        <v>2.5</v>
      </c>
      <c r="P52" s="21">
        <v>2.5</v>
      </c>
      <c r="Q52" s="21">
        <v>2.5</v>
      </c>
      <c r="R52" s="21">
        <v>2.5</v>
      </c>
      <c r="S52" s="21">
        <v>2.5</v>
      </c>
      <c r="T52" s="21">
        <f t="shared" si="44"/>
        <v>2.5</v>
      </c>
      <c r="U52" s="21">
        <v>2.5</v>
      </c>
      <c r="V52" s="160">
        <v>0</v>
      </c>
      <c r="W52" s="160">
        <v>0</v>
      </c>
      <c r="X52" s="160">
        <v>0</v>
      </c>
      <c r="Y52" s="160">
        <v>0</v>
      </c>
      <c r="Z52" s="160">
        <v>0</v>
      </c>
      <c r="AA52" s="160">
        <v>0</v>
      </c>
      <c r="AB52" s="160">
        <v>0</v>
      </c>
      <c r="AC52" s="160">
        <v>0</v>
      </c>
      <c r="AD52" s="160">
        <v>0</v>
      </c>
      <c r="AE52" s="160">
        <v>0</v>
      </c>
      <c r="AF52" s="160">
        <v>0</v>
      </c>
      <c r="AG52" s="160">
        <v>0</v>
      </c>
      <c r="AH52" s="160">
        <v>0</v>
      </c>
      <c r="AI52" s="160">
        <v>0</v>
      </c>
      <c r="AJ52" s="160">
        <v>0</v>
      </c>
      <c r="AK52" s="160">
        <v>0</v>
      </c>
      <c r="AL52" s="160">
        <v>0</v>
      </c>
      <c r="AM52" s="160">
        <v>0</v>
      </c>
      <c r="AN52" s="160">
        <v>0</v>
      </c>
      <c r="AO52" s="160">
        <v>0</v>
      </c>
      <c r="AP52" s="160">
        <v>0</v>
      </c>
      <c r="AQ52" s="160">
        <v>0</v>
      </c>
    </row>
    <row r="53" spans="2:43" x14ac:dyDescent="0.2">
      <c r="C53" s="138" t="s">
        <v>165</v>
      </c>
      <c r="D53" s="43" t="s">
        <v>92</v>
      </c>
      <c r="E53" s="245"/>
      <c r="F53" s="108">
        <f t="shared" si="43"/>
        <v>12901.654161159246</v>
      </c>
      <c r="G53" s="42"/>
      <c r="H53" s="143">
        <f t="shared" ref="H53" si="45">SUM(H42:H52)</f>
        <v>320.16666666666669</v>
      </c>
      <c r="I53" s="143">
        <f t="shared" ref="I53" si="46">SUM(I42:I52)</f>
        <v>320.16666666666669</v>
      </c>
      <c r="J53" s="143">
        <f t="shared" ref="J53:U53" si="47">SUM(J42:J52)</f>
        <v>320.16666666666669</v>
      </c>
      <c r="K53" s="143">
        <f t="shared" si="47"/>
        <v>320.16666666666669</v>
      </c>
      <c r="L53" s="143">
        <f t="shared" si="47"/>
        <v>320.16666666666669</v>
      </c>
      <c r="M53" s="143">
        <f t="shared" si="47"/>
        <v>320.16666666666669</v>
      </c>
      <c r="N53" s="143">
        <f t="shared" si="47"/>
        <v>300.16666666666669</v>
      </c>
      <c r="O53" s="143">
        <f t="shared" si="47"/>
        <v>300.16666666666669</v>
      </c>
      <c r="P53" s="143">
        <f t="shared" si="47"/>
        <v>300.16666666666669</v>
      </c>
      <c r="Q53" s="143">
        <f t="shared" si="47"/>
        <v>300.16666666666669</v>
      </c>
      <c r="R53" s="143">
        <f t="shared" si="47"/>
        <v>300.16666666666669</v>
      </c>
      <c r="S53" s="143">
        <f t="shared" si="47"/>
        <v>300.16666666666669</v>
      </c>
      <c r="T53" s="143">
        <f t="shared" si="47"/>
        <v>300.16666666666669</v>
      </c>
      <c r="U53" s="143">
        <f t="shared" si="47"/>
        <v>300.16666666666669</v>
      </c>
      <c r="V53" s="225">
        <f>AVERAGE(P53:U53)*(1+Inputs!$F$41)^V$6</f>
        <v>307.02536130127584</v>
      </c>
      <c r="W53" s="192">
        <f>V53*(1+Inputs!$F$41)^W$6</f>
        <v>313.81198823114693</v>
      </c>
      <c r="X53" s="192">
        <f>W53*(1+Inputs!$F$41)^X$6</f>
        <v>320.74862982068669</v>
      </c>
      <c r="Y53" s="192">
        <f>X53*(1+Inputs!$F$41)^Y$6</f>
        <v>327.83860206152804</v>
      </c>
      <c r="Z53" s="192">
        <f>Y53*(1+Inputs!$F$41)^Z$6</f>
        <v>335.08529424347716</v>
      </c>
      <c r="AA53" s="192">
        <f>Z53*(1+Inputs!$F$41)^AA$6</f>
        <v>342.49217057472936</v>
      </c>
      <c r="AB53" s="192">
        <f>AA53*(1+Inputs!$F$41)^AB$6</f>
        <v>350.06277183789871</v>
      </c>
      <c r="AC53" s="192">
        <f>AB53*(1+Inputs!$F$41)^AC$6</f>
        <v>357.80071708265376</v>
      </c>
      <c r="AD53" s="192">
        <f>AC53*(1+Inputs!$F$41)^AD$6</f>
        <v>365.7097053557676</v>
      </c>
      <c r="AE53" s="192">
        <f>AD53*(1+Inputs!$F$41)^AE$6</f>
        <v>373.79351746941001</v>
      </c>
      <c r="AF53" s="192">
        <f>AE53*(1+Inputs!$F$41)^AF$6</f>
        <v>382.05601780852646</v>
      </c>
      <c r="AG53" s="192">
        <f>AF53*(1+Inputs!$F$41)^AG$6</f>
        <v>390.21666666666692</v>
      </c>
      <c r="AH53" s="192">
        <f>AG53*(1+Inputs!$F$41)^AH$6</f>
        <v>399.13296969165879</v>
      </c>
      <c r="AI53" s="192">
        <f>AH53*(1+Inputs!$F$41)^AI$6</f>
        <v>407.95558470049122</v>
      </c>
      <c r="AJ53" s="192">
        <f>AI53*(1+Inputs!$F$41)^AJ$6</f>
        <v>416.9732187668929</v>
      </c>
      <c r="AK53" s="192">
        <f>AJ53*(1+Inputs!$F$41)^AK$6</f>
        <v>426.19018267998666</v>
      </c>
      <c r="AL53" s="192">
        <f>AK53*(1+Inputs!$F$41)^AL$6</f>
        <v>435.61088251652058</v>
      </c>
      <c r="AM53" s="192">
        <f>AL53*(1+Inputs!$F$41)^AM$6</f>
        <v>445.23982174714843</v>
      </c>
      <c r="AN53" s="192">
        <f>AM53*(1+Inputs!$F$41)^AN$6</f>
        <v>455.08160338926859</v>
      </c>
      <c r="AO53" s="192">
        <f>AN53*(1+Inputs!$F$41)^AO$6</f>
        <v>465.14093220745019</v>
      </c>
      <c r="AP53" s="192">
        <f>AO53*(1+Inputs!$F$41)^AP$6</f>
        <v>475.42261696249818</v>
      </c>
      <c r="AQ53" s="192">
        <f>AP53*(1+Inputs!$F$41)^AQ$6</f>
        <v>485.9315727102333</v>
      </c>
    </row>
    <row r="54" spans="2:43" x14ac:dyDescent="0.2">
      <c r="B54" s="20"/>
      <c r="C54" s="137"/>
      <c r="F54" s="109"/>
      <c r="H54" s="102"/>
      <c r="I54" s="102"/>
      <c r="J54" s="102"/>
      <c r="K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</row>
    <row r="55" spans="2:43" ht="16" thickBot="1" x14ac:dyDescent="0.25">
      <c r="C55" s="140" t="s">
        <v>169</v>
      </c>
      <c r="D55" s="104" t="s">
        <v>92</v>
      </c>
      <c r="E55" s="103"/>
      <c r="F55" s="111">
        <f>SUM(H55:AQ55)</f>
        <v>80147.629522230389</v>
      </c>
      <c r="G55" s="103"/>
      <c r="H55" s="147">
        <f>H39+H53</f>
        <v>1334.1666666666667</v>
      </c>
      <c r="I55" s="147">
        <f t="shared" ref="I55:AQ55" si="48">I39+I53</f>
        <v>1354.1666666666667</v>
      </c>
      <c r="J55" s="147">
        <f t="shared" si="48"/>
        <v>1689.6666666666667</v>
      </c>
      <c r="K55" s="147">
        <f t="shared" si="48"/>
        <v>1421.3809523809525</v>
      </c>
      <c r="L55" s="147">
        <f t="shared" si="48"/>
        <v>1455.7380952380952</v>
      </c>
      <c r="M55" s="147">
        <f t="shared" si="48"/>
        <v>1513.0952380952383</v>
      </c>
      <c r="N55" s="147">
        <f t="shared" si="48"/>
        <v>1550.3095238095239</v>
      </c>
      <c r="O55" s="147">
        <f t="shared" si="48"/>
        <v>1618.0238095238096</v>
      </c>
      <c r="P55" s="147">
        <f t="shared" si="48"/>
        <v>1668.7380952380952</v>
      </c>
      <c r="Q55" s="147">
        <f t="shared" si="48"/>
        <v>1747.452380952381</v>
      </c>
      <c r="R55" s="147">
        <f t="shared" si="48"/>
        <v>1804.1666666666667</v>
      </c>
      <c r="S55" s="147">
        <f t="shared" si="48"/>
        <v>1858.8809523809525</v>
      </c>
      <c r="T55" s="147">
        <f t="shared" si="48"/>
        <v>1937.4588744588748</v>
      </c>
      <c r="U55" s="147">
        <f t="shared" si="48"/>
        <v>2001.0367965367966</v>
      </c>
      <c r="V55" s="147">
        <f t="shared" si="48"/>
        <v>2046.7597293743172</v>
      </c>
      <c r="W55" s="147">
        <f t="shared" si="48"/>
        <v>2092.0022286892745</v>
      </c>
      <c r="X55" s="147">
        <f t="shared" si="48"/>
        <v>2138.2447885950705</v>
      </c>
      <c r="Y55" s="147">
        <f t="shared" si="48"/>
        <v>2185.5095148816267</v>
      </c>
      <c r="Z55" s="147">
        <f t="shared" si="48"/>
        <v>2233.8190019752051</v>
      </c>
      <c r="AA55" s="147">
        <f t="shared" si="48"/>
        <v>2283.1963437394465</v>
      </c>
      <c r="AB55" s="147">
        <f t="shared" si="48"/>
        <v>2333.6651445151597</v>
      </c>
      <c r="AC55" s="147">
        <f t="shared" si="48"/>
        <v>2385.2495304041386</v>
      </c>
      <c r="AD55" s="147">
        <f t="shared" si="48"/>
        <v>2437.9741608024019</v>
      </c>
      <c r="AE55" s="147">
        <f t="shared" si="48"/>
        <v>2491.8642401883712</v>
      </c>
      <c r="AF55" s="147">
        <f t="shared" si="48"/>
        <v>2546.945530171613</v>
      </c>
      <c r="AG55" s="147">
        <f t="shared" si="48"/>
        <v>2601.347835497837</v>
      </c>
      <c r="AH55" s="147">
        <f t="shared" si="48"/>
        <v>2660.7876481866138</v>
      </c>
      <c r="AI55" s="147">
        <f t="shared" si="48"/>
        <v>2719.6028972960576</v>
      </c>
      <c r="AJ55" s="147">
        <f t="shared" si="48"/>
        <v>2779.7182251735931</v>
      </c>
      <c r="AK55" s="147">
        <f t="shared" si="48"/>
        <v>2841.1623693461165</v>
      </c>
      <c r="AL55" s="147">
        <f t="shared" si="48"/>
        <v>2903.9647025677682</v>
      </c>
      <c r="AM55" s="147">
        <f t="shared" si="48"/>
        <v>2968.1552468612817</v>
      </c>
      <c r="AN55" s="147">
        <f t="shared" si="48"/>
        <v>3033.7646878697087</v>
      </c>
      <c r="AO55" s="147">
        <f t="shared" si="48"/>
        <v>3100.8243895253818</v>
      </c>
      <c r="AP55" s="147">
        <f t="shared" si="48"/>
        <v>3169.3664090431243</v>
      </c>
      <c r="AQ55" s="147">
        <f t="shared" si="48"/>
        <v>3239.4235122448849</v>
      </c>
    </row>
    <row r="56" spans="2:43" x14ac:dyDescent="0.2">
      <c r="C56" s="137"/>
      <c r="F56" s="27"/>
      <c r="H56" s="137"/>
      <c r="I56" s="137"/>
      <c r="J56" s="137"/>
      <c r="K56" s="137"/>
      <c r="L56" s="99"/>
      <c r="M56" s="99"/>
      <c r="N56" s="99"/>
      <c r="O56" s="99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</row>
    <row r="57" spans="2:43" x14ac:dyDescent="0.2">
      <c r="B57" s="20" t="s">
        <v>123</v>
      </c>
      <c r="C57" s="137"/>
      <c r="F57" s="109"/>
      <c r="H57" s="137"/>
      <c r="I57" s="137"/>
      <c r="J57" s="137"/>
      <c r="K57" s="137"/>
      <c r="L57" s="28"/>
      <c r="M57" s="28"/>
      <c r="N57" s="28"/>
      <c r="O57" s="28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</row>
    <row r="58" spans="2:43" x14ac:dyDescent="0.2">
      <c r="C58" s="137" t="s">
        <v>124</v>
      </c>
      <c r="D58" s="23" t="s">
        <v>92</v>
      </c>
      <c r="E58" s="193"/>
      <c r="F58" s="107">
        <f t="shared" ref="F58:F63" si="49">SUM(H58:AQ58)</f>
        <v>200</v>
      </c>
      <c r="H58" s="160">
        <v>0</v>
      </c>
      <c r="I58" s="160">
        <v>0</v>
      </c>
      <c r="J58" s="21">
        <v>50</v>
      </c>
      <c r="K58" s="21">
        <v>50</v>
      </c>
      <c r="L58" s="21">
        <v>50</v>
      </c>
      <c r="M58" s="21">
        <v>50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</row>
    <row r="59" spans="2:43" x14ac:dyDescent="0.2">
      <c r="C59" s="137" t="s">
        <v>125</v>
      </c>
      <c r="D59" s="23" t="s">
        <v>92</v>
      </c>
      <c r="E59" s="193"/>
      <c r="F59" s="107">
        <f t="shared" si="49"/>
        <v>300</v>
      </c>
      <c r="H59" s="160">
        <v>0</v>
      </c>
      <c r="I59" s="160">
        <v>0</v>
      </c>
      <c r="J59" s="21">
        <v>75</v>
      </c>
      <c r="K59" s="21">
        <v>75</v>
      </c>
      <c r="L59" s="21">
        <v>75</v>
      </c>
      <c r="M59" s="21">
        <v>75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</row>
    <row r="60" spans="2:43" x14ac:dyDescent="0.2">
      <c r="C60" s="137" t="s">
        <v>126</v>
      </c>
      <c r="D60" s="23" t="s">
        <v>92</v>
      </c>
      <c r="E60" s="193"/>
      <c r="F60" s="107">
        <f t="shared" si="49"/>
        <v>1668</v>
      </c>
      <c r="H60" s="160">
        <v>0</v>
      </c>
      <c r="I60" s="160">
        <v>0</v>
      </c>
      <c r="J60" s="21">
        <v>417</v>
      </c>
      <c r="K60" s="21">
        <v>417</v>
      </c>
      <c r="L60" s="21">
        <v>417</v>
      </c>
      <c r="M60" s="21">
        <v>417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</row>
    <row r="61" spans="2:43" x14ac:dyDescent="0.2">
      <c r="C61" s="137" t="s">
        <v>127</v>
      </c>
      <c r="D61" s="23" t="s">
        <v>92</v>
      </c>
      <c r="E61" s="193"/>
      <c r="F61" s="107">
        <f t="shared" si="49"/>
        <v>1734.3333333333335</v>
      </c>
      <c r="H61" s="160">
        <v>0</v>
      </c>
      <c r="I61" s="160">
        <v>0</v>
      </c>
      <c r="J61" s="21">
        <v>433.58333333333337</v>
      </c>
      <c r="K61" s="21">
        <v>433.58333333333337</v>
      </c>
      <c r="L61" s="21">
        <v>433.58333333333337</v>
      </c>
      <c r="M61" s="21">
        <v>433.58333333333337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</row>
    <row r="62" spans="2:43" x14ac:dyDescent="0.2">
      <c r="C62" s="137" t="s">
        <v>128</v>
      </c>
      <c r="D62" s="23" t="s">
        <v>92</v>
      </c>
      <c r="E62" s="123"/>
      <c r="F62" s="107">
        <f t="shared" si="49"/>
        <v>800</v>
      </c>
      <c r="H62" s="160">
        <v>0</v>
      </c>
      <c r="I62" s="160">
        <v>0</v>
      </c>
      <c r="J62" s="21">
        <v>200</v>
      </c>
      <c r="K62" s="21">
        <v>200</v>
      </c>
      <c r="L62" s="21">
        <v>200</v>
      </c>
      <c r="M62" s="21">
        <v>200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</row>
    <row r="63" spans="2:43" x14ac:dyDescent="0.2">
      <c r="C63" s="138" t="s">
        <v>129</v>
      </c>
      <c r="D63" s="43" t="s">
        <v>92</v>
      </c>
      <c r="E63" s="42"/>
      <c r="F63" s="108">
        <f t="shared" si="49"/>
        <v>4902.3333333333339</v>
      </c>
      <c r="G63" s="42"/>
      <c r="H63" s="244">
        <v>100</v>
      </c>
      <c r="I63" s="244">
        <v>100</v>
      </c>
      <c r="J63" s="143">
        <f t="shared" ref="J63:AQ63" si="50">SUM(J58:J62)</f>
        <v>1175.5833333333335</v>
      </c>
      <c r="K63" s="143">
        <f t="shared" si="50"/>
        <v>1175.5833333333335</v>
      </c>
      <c r="L63" s="143">
        <f t="shared" si="50"/>
        <v>1175.5833333333335</v>
      </c>
      <c r="M63" s="143">
        <f t="shared" si="50"/>
        <v>1175.5833333333335</v>
      </c>
      <c r="N63" s="143">
        <f t="shared" si="50"/>
        <v>0</v>
      </c>
      <c r="O63" s="143">
        <f t="shared" si="50"/>
        <v>0</v>
      </c>
      <c r="P63" s="143">
        <f t="shared" si="50"/>
        <v>0</v>
      </c>
      <c r="Q63" s="143">
        <f t="shared" si="50"/>
        <v>0</v>
      </c>
      <c r="R63" s="143">
        <f t="shared" si="50"/>
        <v>0</v>
      </c>
      <c r="S63" s="143">
        <f t="shared" si="50"/>
        <v>0</v>
      </c>
      <c r="T63" s="143">
        <f t="shared" si="50"/>
        <v>0</v>
      </c>
      <c r="U63" s="143">
        <f t="shared" si="50"/>
        <v>0</v>
      </c>
      <c r="V63" s="143">
        <f t="shared" si="50"/>
        <v>0</v>
      </c>
      <c r="W63" s="143">
        <f t="shared" si="50"/>
        <v>0</v>
      </c>
      <c r="X63" s="143">
        <f t="shared" si="50"/>
        <v>0</v>
      </c>
      <c r="Y63" s="143">
        <f t="shared" si="50"/>
        <v>0</v>
      </c>
      <c r="Z63" s="143">
        <f t="shared" si="50"/>
        <v>0</v>
      </c>
      <c r="AA63" s="143">
        <f t="shared" si="50"/>
        <v>0</v>
      </c>
      <c r="AB63" s="143">
        <f t="shared" si="50"/>
        <v>0</v>
      </c>
      <c r="AC63" s="143">
        <f t="shared" si="50"/>
        <v>0</v>
      </c>
      <c r="AD63" s="143">
        <f t="shared" si="50"/>
        <v>0</v>
      </c>
      <c r="AE63" s="143">
        <f t="shared" si="50"/>
        <v>0</v>
      </c>
      <c r="AF63" s="143">
        <f t="shared" si="50"/>
        <v>0</v>
      </c>
      <c r="AG63" s="143">
        <f t="shared" si="50"/>
        <v>0</v>
      </c>
      <c r="AH63" s="143">
        <f t="shared" si="50"/>
        <v>0</v>
      </c>
      <c r="AI63" s="143">
        <f t="shared" si="50"/>
        <v>0</v>
      </c>
      <c r="AJ63" s="143">
        <f t="shared" si="50"/>
        <v>0</v>
      </c>
      <c r="AK63" s="143">
        <f t="shared" si="50"/>
        <v>0</v>
      </c>
      <c r="AL63" s="143">
        <f t="shared" si="50"/>
        <v>0</v>
      </c>
      <c r="AM63" s="143">
        <f t="shared" si="50"/>
        <v>0</v>
      </c>
      <c r="AN63" s="143">
        <f t="shared" si="50"/>
        <v>0</v>
      </c>
      <c r="AO63" s="143">
        <f t="shared" si="50"/>
        <v>0</v>
      </c>
      <c r="AP63" s="143">
        <f t="shared" si="50"/>
        <v>0</v>
      </c>
      <c r="AQ63" s="143">
        <f t="shared" si="50"/>
        <v>0</v>
      </c>
    </row>
    <row r="64" spans="2:43" x14ac:dyDescent="0.2">
      <c r="C64" s="139"/>
      <c r="D64" s="101"/>
      <c r="E64" s="100"/>
      <c r="F64" s="110"/>
      <c r="I64" s="19"/>
    </row>
    <row r="65" spans="3:43" ht="16" thickBot="1" x14ac:dyDescent="0.25">
      <c r="C65" s="140" t="s">
        <v>171</v>
      </c>
      <c r="D65" s="104" t="s">
        <v>92</v>
      </c>
      <c r="E65" s="103"/>
      <c r="F65" s="111">
        <f>SUM(H65:AQ65)</f>
        <v>85049.962855563717</v>
      </c>
      <c r="G65" s="103"/>
      <c r="H65" s="105">
        <f>H55+H63</f>
        <v>1434.1666666666667</v>
      </c>
      <c r="I65" s="105">
        <f t="shared" ref="I65:AQ65" si="51">I55+I63</f>
        <v>1454.1666666666667</v>
      </c>
      <c r="J65" s="105">
        <f t="shared" si="51"/>
        <v>2865.25</v>
      </c>
      <c r="K65" s="105">
        <f t="shared" si="51"/>
        <v>2596.9642857142862</v>
      </c>
      <c r="L65" s="105">
        <f t="shared" si="51"/>
        <v>2631.3214285714284</v>
      </c>
      <c r="M65" s="105">
        <f t="shared" si="51"/>
        <v>2688.6785714285716</v>
      </c>
      <c r="N65" s="105">
        <f t="shared" si="51"/>
        <v>1550.3095238095239</v>
      </c>
      <c r="O65" s="105">
        <f t="shared" si="51"/>
        <v>1618.0238095238096</v>
      </c>
      <c r="P65" s="105">
        <f t="shared" si="51"/>
        <v>1668.7380952380952</v>
      </c>
      <c r="Q65" s="105">
        <f t="shared" si="51"/>
        <v>1747.452380952381</v>
      </c>
      <c r="R65" s="105">
        <f t="shared" si="51"/>
        <v>1804.1666666666667</v>
      </c>
      <c r="S65" s="105">
        <f t="shared" si="51"/>
        <v>1858.8809523809525</v>
      </c>
      <c r="T65" s="105">
        <f t="shared" si="51"/>
        <v>1937.4588744588748</v>
      </c>
      <c r="U65" s="105">
        <f t="shared" si="51"/>
        <v>2001.0367965367966</v>
      </c>
      <c r="V65" s="105">
        <f t="shared" si="51"/>
        <v>2046.7597293743172</v>
      </c>
      <c r="W65" s="105">
        <f t="shared" si="51"/>
        <v>2092.0022286892745</v>
      </c>
      <c r="X65" s="105">
        <f t="shared" si="51"/>
        <v>2138.2447885950705</v>
      </c>
      <c r="Y65" s="105">
        <f t="shared" si="51"/>
        <v>2185.5095148816267</v>
      </c>
      <c r="Z65" s="105">
        <f t="shared" si="51"/>
        <v>2233.8190019752051</v>
      </c>
      <c r="AA65" s="105">
        <f t="shared" si="51"/>
        <v>2283.1963437394465</v>
      </c>
      <c r="AB65" s="105">
        <f t="shared" si="51"/>
        <v>2333.6651445151597</v>
      </c>
      <c r="AC65" s="105">
        <f t="shared" si="51"/>
        <v>2385.2495304041386</v>
      </c>
      <c r="AD65" s="105">
        <f t="shared" si="51"/>
        <v>2437.9741608024019</v>
      </c>
      <c r="AE65" s="105">
        <f t="shared" si="51"/>
        <v>2491.8642401883712</v>
      </c>
      <c r="AF65" s="105">
        <f t="shared" si="51"/>
        <v>2546.945530171613</v>
      </c>
      <c r="AG65" s="105">
        <f t="shared" si="51"/>
        <v>2601.347835497837</v>
      </c>
      <c r="AH65" s="105">
        <f t="shared" si="51"/>
        <v>2660.7876481866138</v>
      </c>
      <c r="AI65" s="105">
        <f t="shared" si="51"/>
        <v>2719.6028972960576</v>
      </c>
      <c r="AJ65" s="105">
        <f t="shared" si="51"/>
        <v>2779.7182251735931</v>
      </c>
      <c r="AK65" s="105">
        <f t="shared" si="51"/>
        <v>2841.1623693461165</v>
      </c>
      <c r="AL65" s="105">
        <f t="shared" si="51"/>
        <v>2903.9647025677682</v>
      </c>
      <c r="AM65" s="105">
        <f t="shared" si="51"/>
        <v>2968.1552468612817</v>
      </c>
      <c r="AN65" s="105">
        <f t="shared" si="51"/>
        <v>3033.7646878697087</v>
      </c>
      <c r="AO65" s="105">
        <f t="shared" si="51"/>
        <v>3100.8243895253818</v>
      </c>
      <c r="AP65" s="105">
        <f t="shared" si="51"/>
        <v>3169.3664090431243</v>
      </c>
      <c r="AQ65" s="105">
        <f t="shared" si="51"/>
        <v>3239.4235122448849</v>
      </c>
    </row>
    <row r="66" spans="3:43" x14ac:dyDescent="0.2">
      <c r="C66" s="137"/>
    </row>
    <row r="67" spans="3:43" x14ac:dyDescent="0.2">
      <c r="C67" s="13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BCC3-F28F-4094-AA4F-AD2DCAD47954}">
  <dimension ref="A2:AK129"/>
  <sheetViews>
    <sheetView showGridLines="0" workbookViewId="0"/>
  </sheetViews>
  <sheetFormatPr baseColWidth="10" defaultColWidth="0" defaultRowHeight="15" outlineLevelRow="1" outlineLevelCol="1" x14ac:dyDescent="0.2"/>
  <cols>
    <col min="1" max="2" width="2.5" customWidth="1"/>
    <col min="3" max="3" width="30.5" customWidth="1"/>
    <col min="4" max="4" width="9.1640625" customWidth="1"/>
    <col min="5" max="5" width="10.5" hidden="1" customWidth="1" outlineLevel="1"/>
    <col min="6" max="6" width="11.1640625" customWidth="1" collapsed="1"/>
    <col min="7" max="7" width="3" customWidth="1"/>
    <col min="8" max="31" width="10.5" customWidth="1"/>
    <col min="32" max="32" width="8.6640625" customWidth="1"/>
    <col min="33" max="37" width="0" hidden="1" customWidth="1"/>
    <col min="38" max="16384" width="8.6640625" hidden="1"/>
  </cols>
  <sheetData>
    <row r="2" spans="1:31" ht="20" x14ac:dyDescent="0.25">
      <c r="B2" s="203" t="s">
        <v>0</v>
      </c>
    </row>
    <row r="3" spans="1:31" ht="16" x14ac:dyDescent="0.2">
      <c r="B3" s="197" t="s">
        <v>210</v>
      </c>
    </row>
    <row r="5" spans="1:31" x14ac:dyDescent="0.2">
      <c r="B5" s="31" t="s">
        <v>84</v>
      </c>
      <c r="C5" s="31"/>
      <c r="D5" s="31"/>
      <c r="E5" s="32">
        <f>Inputs!$F$7</f>
        <v>45322</v>
      </c>
      <c r="F5" s="31"/>
      <c r="G5" s="32">
        <f>EOMONTH(E5,-1)</f>
        <v>45291</v>
      </c>
      <c r="H5" s="33">
        <f>EOMONTH(G5,1)</f>
        <v>45322</v>
      </c>
      <c r="I5" s="33">
        <f t="shared" ref="I5:P5" si="0">EOMONTH(H5,1)</f>
        <v>45351</v>
      </c>
      <c r="J5" s="33">
        <f t="shared" si="0"/>
        <v>45382</v>
      </c>
      <c r="K5" s="33">
        <f t="shared" si="0"/>
        <v>45412</v>
      </c>
      <c r="L5" s="33">
        <f t="shared" si="0"/>
        <v>45443</v>
      </c>
      <c r="M5" s="33">
        <f t="shared" si="0"/>
        <v>45473</v>
      </c>
      <c r="N5" s="33">
        <f t="shared" si="0"/>
        <v>45504</v>
      </c>
      <c r="O5" s="33">
        <f t="shared" si="0"/>
        <v>45535</v>
      </c>
      <c r="P5" s="33">
        <f t="shared" si="0"/>
        <v>45565</v>
      </c>
      <c r="Q5" s="33">
        <f t="shared" ref="Q5" si="1">EOMONTH(P5,1)</f>
        <v>45596</v>
      </c>
      <c r="R5" s="33">
        <f t="shared" ref="R5" si="2">EOMONTH(Q5,1)</f>
        <v>45626</v>
      </c>
      <c r="S5" s="33">
        <f t="shared" ref="S5" si="3">EOMONTH(R5,1)</f>
        <v>45657</v>
      </c>
      <c r="T5" s="33">
        <f t="shared" ref="T5" si="4">EOMONTH(S5,1)</f>
        <v>45688</v>
      </c>
      <c r="U5" s="33">
        <f t="shared" ref="U5" si="5">EOMONTH(T5,1)</f>
        <v>45716</v>
      </c>
      <c r="V5" s="33">
        <f t="shared" ref="V5" si="6">EOMONTH(U5,1)</f>
        <v>45747</v>
      </c>
      <c r="W5" s="33">
        <f t="shared" ref="W5" si="7">EOMONTH(V5,1)</f>
        <v>45777</v>
      </c>
      <c r="X5" s="33">
        <f t="shared" ref="X5" si="8">EOMONTH(W5,1)</f>
        <v>45808</v>
      </c>
      <c r="Y5" s="33">
        <f t="shared" ref="Y5" si="9">EOMONTH(X5,1)</f>
        <v>45838</v>
      </c>
      <c r="Z5" s="33">
        <f t="shared" ref="Z5" si="10">EOMONTH(Y5,1)</f>
        <v>45869</v>
      </c>
      <c r="AA5" s="33">
        <f t="shared" ref="AA5" si="11">EOMONTH(Z5,1)</f>
        <v>45900</v>
      </c>
      <c r="AB5" s="33">
        <f t="shared" ref="AB5" si="12">EOMONTH(AA5,1)</f>
        <v>45930</v>
      </c>
      <c r="AC5" s="33">
        <f>EOMONTH(AB5,1)</f>
        <v>45961</v>
      </c>
      <c r="AD5" s="33">
        <f t="shared" ref="AD5" si="13">EOMONTH(AC5,1)</f>
        <v>45991</v>
      </c>
      <c r="AE5" s="33">
        <f t="shared" ref="AE5" si="14">EOMONTH(AD5,1)</f>
        <v>46022</v>
      </c>
    </row>
    <row r="6" spans="1:31" x14ac:dyDescent="0.2">
      <c r="B6" s="31" t="s">
        <v>85</v>
      </c>
      <c r="C6" s="31"/>
      <c r="D6" s="31"/>
      <c r="E6" s="31"/>
      <c r="F6" s="34">
        <f>SUM(G6:BS6)</f>
        <v>1.9972222222222213</v>
      </c>
      <c r="G6" s="35"/>
      <c r="H6" s="56">
        <f t="shared" ref="H6:P6" si="15">YEARFRAC(H5,G5)</f>
        <v>8.3333333333333329E-2</v>
      </c>
      <c r="I6" s="56">
        <f t="shared" si="15"/>
        <v>8.0555555555555561E-2</v>
      </c>
      <c r="J6" s="56">
        <f t="shared" si="15"/>
        <v>8.611111111111111E-2</v>
      </c>
      <c r="K6" s="56">
        <f t="shared" si="15"/>
        <v>8.3333333333333329E-2</v>
      </c>
      <c r="L6" s="56">
        <f t="shared" si="15"/>
        <v>8.3333333333333329E-2</v>
      </c>
      <c r="M6" s="56">
        <f t="shared" si="15"/>
        <v>8.3333333333333329E-2</v>
      </c>
      <c r="N6" s="56">
        <f t="shared" si="15"/>
        <v>8.3333333333333329E-2</v>
      </c>
      <c r="O6" s="56">
        <f t="shared" si="15"/>
        <v>8.3333333333333329E-2</v>
      </c>
      <c r="P6" s="56">
        <f t="shared" si="15"/>
        <v>8.3333333333333329E-2</v>
      </c>
      <c r="Q6" s="56">
        <f t="shared" ref="Q6" si="16">YEARFRAC(Q5,P5)</f>
        <v>8.3333333333333329E-2</v>
      </c>
      <c r="R6" s="56">
        <f t="shared" ref="R6" si="17">YEARFRAC(R5,Q5)</f>
        <v>8.3333333333333329E-2</v>
      </c>
      <c r="S6" s="56">
        <f t="shared" ref="S6" si="18">YEARFRAC(S5,R5)</f>
        <v>8.3333333333333329E-2</v>
      </c>
      <c r="T6" s="56">
        <f t="shared" ref="T6" si="19">YEARFRAC(T5,S5)</f>
        <v>8.3333333333333329E-2</v>
      </c>
      <c r="U6" s="56">
        <f t="shared" ref="U6" si="20">YEARFRAC(U5,T5)</f>
        <v>7.7777777777777779E-2</v>
      </c>
      <c r="V6" s="56">
        <f t="shared" ref="V6" si="21">YEARFRAC(V5,U5)</f>
        <v>8.611111111111111E-2</v>
      </c>
      <c r="W6" s="56">
        <f t="shared" ref="W6" si="22">YEARFRAC(W5,V5)</f>
        <v>8.3333333333333329E-2</v>
      </c>
      <c r="X6" s="56">
        <f t="shared" ref="X6" si="23">YEARFRAC(X5,W5)</f>
        <v>8.3333333333333329E-2</v>
      </c>
      <c r="Y6" s="56">
        <f t="shared" ref="Y6" si="24">YEARFRAC(Y5,X5)</f>
        <v>8.3333333333333329E-2</v>
      </c>
      <c r="Z6" s="56">
        <f t="shared" ref="Z6" si="25">YEARFRAC(Z5,Y5)</f>
        <v>8.3333333333333329E-2</v>
      </c>
      <c r="AA6" s="56">
        <f t="shared" ref="AA6" si="26">YEARFRAC(AA5,Z5)</f>
        <v>8.3333333333333329E-2</v>
      </c>
      <c r="AB6" s="56">
        <f t="shared" ref="AB6" si="27">YEARFRAC(AB5,AA5)</f>
        <v>8.3333333333333329E-2</v>
      </c>
      <c r="AC6" s="56">
        <f>YEARFRAC(AC5,AB5)</f>
        <v>8.3333333333333329E-2</v>
      </c>
      <c r="AD6" s="56">
        <f t="shared" ref="AD6" si="28">YEARFRAC(AD5,AC5)</f>
        <v>8.3333333333333329E-2</v>
      </c>
      <c r="AE6" s="56">
        <f t="shared" ref="AE6" si="29">YEARFRAC(AE5,AD5)</f>
        <v>8.3333333333333329E-2</v>
      </c>
    </row>
    <row r="7" spans="1:31" x14ac:dyDescent="0.2">
      <c r="B7" s="31" t="s">
        <v>197</v>
      </c>
      <c r="C7" s="31"/>
      <c r="D7" s="31"/>
      <c r="E7" s="31"/>
      <c r="F7" s="34"/>
      <c r="G7" s="35"/>
      <c r="H7" s="112">
        <f t="shared" ref="H7:P7" si="30">DATE(YEAR(H5),12,31)</f>
        <v>45657</v>
      </c>
      <c r="I7" s="112">
        <f t="shared" si="30"/>
        <v>45657</v>
      </c>
      <c r="J7" s="112">
        <f t="shared" si="30"/>
        <v>45657</v>
      </c>
      <c r="K7" s="112">
        <f t="shared" si="30"/>
        <v>45657</v>
      </c>
      <c r="L7" s="112">
        <f t="shared" si="30"/>
        <v>45657</v>
      </c>
      <c r="M7" s="112">
        <f t="shared" si="30"/>
        <v>45657</v>
      </c>
      <c r="N7" s="112">
        <f t="shared" si="30"/>
        <v>45657</v>
      </c>
      <c r="O7" s="112">
        <f t="shared" si="30"/>
        <v>45657</v>
      </c>
      <c r="P7" s="112">
        <f t="shared" si="30"/>
        <v>45657</v>
      </c>
      <c r="Q7" s="112">
        <f t="shared" ref="Q7:AA7" si="31">DATE(YEAR(Q5),12,31)</f>
        <v>45657</v>
      </c>
      <c r="R7" s="112">
        <f t="shared" si="31"/>
        <v>45657</v>
      </c>
      <c r="S7" s="112">
        <f t="shared" si="31"/>
        <v>45657</v>
      </c>
      <c r="T7" s="112">
        <f t="shared" si="31"/>
        <v>46022</v>
      </c>
      <c r="U7" s="112">
        <f t="shared" si="31"/>
        <v>46022</v>
      </c>
      <c r="V7" s="112">
        <f t="shared" si="31"/>
        <v>46022</v>
      </c>
      <c r="W7" s="112">
        <f t="shared" si="31"/>
        <v>46022</v>
      </c>
      <c r="X7" s="112">
        <f t="shared" si="31"/>
        <v>46022</v>
      </c>
      <c r="Y7" s="112">
        <f t="shared" si="31"/>
        <v>46022</v>
      </c>
      <c r="Z7" s="112">
        <f t="shared" si="31"/>
        <v>46022</v>
      </c>
      <c r="AA7" s="112">
        <f t="shared" si="31"/>
        <v>46022</v>
      </c>
      <c r="AB7" s="112">
        <f t="shared" ref="AB7:AE7" si="32">DATE(YEAR(AB5),12,31)</f>
        <v>46022</v>
      </c>
      <c r="AC7" s="112">
        <f t="shared" si="32"/>
        <v>46022</v>
      </c>
      <c r="AD7" s="112">
        <f t="shared" si="32"/>
        <v>46022</v>
      </c>
      <c r="AE7" s="112">
        <f t="shared" si="32"/>
        <v>46022</v>
      </c>
    </row>
    <row r="9" spans="1:31" x14ac:dyDescent="0.2">
      <c r="A9" s="15" t="s">
        <v>94</v>
      </c>
      <c r="B9" s="15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</row>
    <row r="10" spans="1:31" x14ac:dyDescent="0.2">
      <c r="F10" s="27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</row>
    <row r="11" spans="1:31" x14ac:dyDescent="0.2">
      <c r="B11" s="20" t="s">
        <v>91</v>
      </c>
      <c r="E11" t="s">
        <v>211</v>
      </c>
      <c r="F11" s="27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</row>
    <row r="12" spans="1:31" ht="16" thickBot="1" x14ac:dyDescent="0.25">
      <c r="C12" s="103" t="s">
        <v>91</v>
      </c>
      <c r="D12" s="104" t="s">
        <v>92</v>
      </c>
      <c r="E12" s="148" t="s">
        <v>212</v>
      </c>
      <c r="F12" s="146">
        <f>SUM(H12:AE12)</f>
        <v>0</v>
      </c>
      <c r="G12" s="103"/>
      <c r="H12" s="149">
        <f>INDEX(_HistIS_M_Data,MATCH($C12,_HistIS_M_Labels,0),MATCH(H$5,_HistIS_M_MonthEnd,0))/1000</f>
        <v>0</v>
      </c>
      <c r="I12" s="149">
        <f t="shared" ref="I12:AE12" si="33">INDEX(_HistIS_M_Data,MATCH($C12,_HistIS_M_Labels,0),MATCH(I$5,_HistIS_M_MonthEnd,0))</f>
        <v>0</v>
      </c>
      <c r="J12" s="149">
        <f t="shared" si="33"/>
        <v>0</v>
      </c>
      <c r="K12" s="149">
        <f t="shared" si="33"/>
        <v>0</v>
      </c>
      <c r="L12" s="149">
        <f t="shared" si="33"/>
        <v>0</v>
      </c>
      <c r="M12" s="149">
        <f t="shared" si="33"/>
        <v>0</v>
      </c>
      <c r="N12" s="149">
        <f t="shared" si="33"/>
        <v>0</v>
      </c>
      <c r="O12" s="149">
        <f t="shared" si="33"/>
        <v>0</v>
      </c>
      <c r="P12" s="149">
        <f t="shared" si="33"/>
        <v>0</v>
      </c>
      <c r="Q12" s="149">
        <f t="shared" si="33"/>
        <v>0</v>
      </c>
      <c r="R12" s="149">
        <f t="shared" si="33"/>
        <v>0</v>
      </c>
      <c r="S12" s="149">
        <f t="shared" si="33"/>
        <v>0</v>
      </c>
      <c r="T12" s="149">
        <f t="shared" si="33"/>
        <v>0</v>
      </c>
      <c r="U12" s="149">
        <f t="shared" si="33"/>
        <v>0</v>
      </c>
      <c r="V12" s="149">
        <f t="shared" si="33"/>
        <v>0</v>
      </c>
      <c r="W12" s="149">
        <f t="shared" si="33"/>
        <v>0</v>
      </c>
      <c r="X12" s="149">
        <f t="shared" si="33"/>
        <v>0</v>
      </c>
      <c r="Y12" s="149">
        <f t="shared" si="33"/>
        <v>0</v>
      </c>
      <c r="Z12" s="149">
        <f t="shared" si="33"/>
        <v>0</v>
      </c>
      <c r="AA12" s="149">
        <f t="shared" si="33"/>
        <v>0</v>
      </c>
      <c r="AB12" s="149">
        <f t="shared" si="33"/>
        <v>0</v>
      </c>
      <c r="AC12" s="149">
        <f t="shared" si="33"/>
        <v>0</v>
      </c>
      <c r="AD12" s="149">
        <f t="shared" si="33"/>
        <v>0</v>
      </c>
      <c r="AE12" s="149">
        <f t="shared" si="33"/>
        <v>0</v>
      </c>
    </row>
    <row r="13" spans="1:31" x14ac:dyDescent="0.2">
      <c r="F13" s="27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</row>
    <row r="14" spans="1:31" x14ac:dyDescent="0.2">
      <c r="B14" s="20" t="s">
        <v>142</v>
      </c>
      <c r="F14" s="27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</row>
    <row r="15" spans="1:31" hidden="1" outlineLevel="1" x14ac:dyDescent="0.2">
      <c r="B15" s="20"/>
      <c r="C15" t="s">
        <v>140</v>
      </c>
      <c r="F15" s="27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</row>
    <row r="16" spans="1:31" hidden="1" outlineLevel="1" x14ac:dyDescent="0.2">
      <c r="B16" s="20"/>
      <c r="C16" t="s">
        <v>141</v>
      </c>
      <c r="F16" s="27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</row>
    <row r="17" spans="2:31" hidden="1" outlineLevel="1" x14ac:dyDescent="0.2">
      <c r="B17" s="20"/>
      <c r="F17" s="27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</row>
    <row r="18" spans="2:31" collapsed="1" x14ac:dyDescent="0.2">
      <c r="C18" t="s">
        <v>116</v>
      </c>
      <c r="D18" s="23" t="s">
        <v>92</v>
      </c>
      <c r="E18" s="123" t="s">
        <v>212</v>
      </c>
      <c r="F18" s="107">
        <f>SUM(H18:AE18)</f>
        <v>7733.0126200000004</v>
      </c>
      <c r="H18" s="118">
        <f t="shared" ref="H18:AE19" si="34">SUMIFS(INDEX(_HistIS_M_Data,0,MATCH(H$5,_HistIS_M_MonthEnd,0)),_HistIS_M_Labels,$C18)/1000</f>
        <v>267.37049999999999</v>
      </c>
      <c r="I18" s="118">
        <f t="shared" si="34"/>
        <v>294.41314</v>
      </c>
      <c r="J18" s="118">
        <f t="shared" si="34"/>
        <v>160.39341000000002</v>
      </c>
      <c r="K18" s="118">
        <f t="shared" si="34"/>
        <v>143.95633999999998</v>
      </c>
      <c r="L18" s="118">
        <f t="shared" si="34"/>
        <v>261.99757999999997</v>
      </c>
      <c r="M18" s="118">
        <f t="shared" si="34"/>
        <v>151.31327999999999</v>
      </c>
      <c r="N18" s="118">
        <f t="shared" si="34"/>
        <v>217.70439999999999</v>
      </c>
      <c r="O18" s="118">
        <f t="shared" si="34"/>
        <v>204.98362000000003</v>
      </c>
      <c r="P18" s="118">
        <f t="shared" si="34"/>
        <v>205.54743999999999</v>
      </c>
      <c r="Q18" s="118">
        <f t="shared" si="34"/>
        <v>230.47490000000002</v>
      </c>
      <c r="R18" s="118">
        <f t="shared" si="34"/>
        <v>209.97206</v>
      </c>
      <c r="S18" s="118">
        <f t="shared" si="34"/>
        <v>355.23380999999995</v>
      </c>
      <c r="T18" s="118">
        <f t="shared" si="34"/>
        <v>272.84825000000001</v>
      </c>
      <c r="U18" s="118">
        <f t="shared" si="34"/>
        <v>406.71862000000004</v>
      </c>
      <c r="V18" s="118">
        <f t="shared" si="34"/>
        <v>320.42326999999995</v>
      </c>
      <c r="W18" s="118">
        <f t="shared" si="34"/>
        <v>341.56099999999998</v>
      </c>
      <c r="X18" s="118">
        <f t="shared" si="34"/>
        <v>399.86799999999999</v>
      </c>
      <c r="Y18" s="118">
        <f t="shared" si="34"/>
        <v>409.85300000000001</v>
      </c>
      <c r="Z18" s="118">
        <f t="shared" si="34"/>
        <v>426.64100000000002</v>
      </c>
      <c r="AA18" s="118">
        <f t="shared" si="34"/>
        <v>446.33199999999999</v>
      </c>
      <c r="AB18" s="118">
        <f t="shared" si="34"/>
        <v>487.06700000000001</v>
      </c>
      <c r="AC18" s="118">
        <f t="shared" si="34"/>
        <v>499.24700000000001</v>
      </c>
      <c r="AD18" s="118">
        <f t="shared" si="34"/>
        <v>507.37900000000002</v>
      </c>
      <c r="AE18" s="118">
        <f t="shared" si="34"/>
        <v>511.714</v>
      </c>
    </row>
    <row r="19" spans="2:31" x14ac:dyDescent="0.2">
      <c r="C19" t="s">
        <v>117</v>
      </c>
      <c r="D19" s="23" t="s">
        <v>92</v>
      </c>
      <c r="E19" s="123" t="s">
        <v>212</v>
      </c>
      <c r="F19" s="107">
        <f>SUM(H19:AE19)</f>
        <v>339.44911999999999</v>
      </c>
      <c r="H19" s="118">
        <f t="shared" si="34"/>
        <v>14.491</v>
      </c>
      <c r="I19" s="118">
        <f t="shared" si="34"/>
        <v>12.28007</v>
      </c>
      <c r="J19" s="118">
        <f t="shared" si="34"/>
        <v>11.739289999999999</v>
      </c>
      <c r="K19" s="118">
        <f t="shared" si="34"/>
        <v>6.5651200000000003</v>
      </c>
      <c r="L19" s="118">
        <f t="shared" si="34"/>
        <v>9.130510000000001</v>
      </c>
      <c r="M19" s="118">
        <f t="shared" si="34"/>
        <v>9.7156699999999994</v>
      </c>
      <c r="N19" s="118">
        <f t="shared" si="34"/>
        <v>11.312570000000001</v>
      </c>
      <c r="O19" s="118">
        <f t="shared" si="34"/>
        <v>14.883669999999999</v>
      </c>
      <c r="P19" s="118">
        <f t="shared" si="34"/>
        <v>15.50751</v>
      </c>
      <c r="Q19" s="118">
        <f t="shared" si="34"/>
        <v>7.5745800000000001</v>
      </c>
      <c r="R19" s="118">
        <f t="shared" si="34"/>
        <v>5.3662600000000005</v>
      </c>
      <c r="S19" s="118">
        <f t="shared" si="34"/>
        <v>8.0952400000000004</v>
      </c>
      <c r="T19" s="118">
        <f t="shared" si="34"/>
        <v>10.61875</v>
      </c>
      <c r="U19" s="118">
        <f t="shared" si="34"/>
        <v>10.07832</v>
      </c>
      <c r="V19" s="118">
        <f t="shared" si="34"/>
        <v>8.9265600000000003</v>
      </c>
      <c r="W19" s="118">
        <f t="shared" si="34"/>
        <v>12.396000000000001</v>
      </c>
      <c r="X19" s="118">
        <f t="shared" si="34"/>
        <v>22.273</v>
      </c>
      <c r="Y19" s="118">
        <f t="shared" si="34"/>
        <v>14.632999999999999</v>
      </c>
      <c r="Z19" s="118">
        <f t="shared" si="34"/>
        <v>10.102</v>
      </c>
      <c r="AA19" s="118">
        <f t="shared" si="34"/>
        <v>21.856999999999999</v>
      </c>
      <c r="AB19" s="118">
        <f t="shared" si="34"/>
        <v>18.009</v>
      </c>
      <c r="AC19" s="118">
        <f t="shared" si="34"/>
        <v>14.265000000000001</v>
      </c>
      <c r="AD19" s="118">
        <f t="shared" si="34"/>
        <v>44.561999999999998</v>
      </c>
      <c r="AE19" s="118">
        <f t="shared" si="34"/>
        <v>25.067</v>
      </c>
    </row>
    <row r="20" spans="2:31" outlineLevel="1" x14ac:dyDescent="0.2">
      <c r="F20" s="107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</row>
    <row r="21" spans="2:31" outlineLevel="1" x14ac:dyDescent="0.2">
      <c r="C21" t="s">
        <v>150</v>
      </c>
      <c r="D21" s="23" t="s">
        <v>92</v>
      </c>
      <c r="E21" s="123" t="s">
        <v>212</v>
      </c>
      <c r="F21" s="107">
        <f t="shared" ref="F21:F30" si="35">SUM(H21:AE21)</f>
        <v>141.99999999999997</v>
      </c>
      <c r="H21" s="118">
        <f t="shared" ref="H21:AE23" si="36">SUMIFS(INDEX(_HistIS_M_Data,0,MATCH(H$5,_HistIS_M_MonthEnd,0)),_HistIS_M_Labels,$C21)/1000</f>
        <v>20</v>
      </c>
      <c r="I21" s="118">
        <f t="shared" si="36"/>
        <v>20</v>
      </c>
      <c r="J21" s="118">
        <f t="shared" si="36"/>
        <v>20</v>
      </c>
      <c r="K21" s="118">
        <f t="shared" si="36"/>
        <v>20</v>
      </c>
      <c r="L21" s="118">
        <f t="shared" si="36"/>
        <v>20</v>
      </c>
      <c r="M21" s="118">
        <f t="shared" si="36"/>
        <v>9</v>
      </c>
      <c r="N21" s="118">
        <f t="shared" si="36"/>
        <v>0</v>
      </c>
      <c r="O21" s="118">
        <f t="shared" si="36"/>
        <v>0</v>
      </c>
      <c r="P21" s="118">
        <f t="shared" si="36"/>
        <v>0</v>
      </c>
      <c r="Q21" s="118">
        <f t="shared" si="36"/>
        <v>0</v>
      </c>
      <c r="R21" s="118">
        <f t="shared" si="36"/>
        <v>0</v>
      </c>
      <c r="S21" s="118">
        <f t="shared" si="36"/>
        <v>0</v>
      </c>
      <c r="T21" s="118">
        <f t="shared" si="36"/>
        <v>0</v>
      </c>
      <c r="U21" s="118">
        <f t="shared" si="36"/>
        <v>0</v>
      </c>
      <c r="V21" s="118">
        <f t="shared" si="36"/>
        <v>6.6</v>
      </c>
      <c r="W21" s="118">
        <f t="shared" si="36"/>
        <v>12.7</v>
      </c>
      <c r="X21" s="118">
        <f t="shared" si="36"/>
        <v>0</v>
      </c>
      <c r="Y21" s="118">
        <f t="shared" si="36"/>
        <v>13.7</v>
      </c>
      <c r="Z21" s="118">
        <f t="shared" si="36"/>
        <v>0</v>
      </c>
      <c r="AA21" s="118">
        <f t="shared" si="36"/>
        <v>0</v>
      </c>
      <c r="AB21" s="118">
        <f t="shared" si="36"/>
        <v>0</v>
      </c>
      <c r="AC21" s="118">
        <f t="shared" si="36"/>
        <v>0</v>
      </c>
      <c r="AD21" s="118">
        <f t="shared" si="36"/>
        <v>0</v>
      </c>
      <c r="AE21" s="118">
        <f t="shared" si="36"/>
        <v>0</v>
      </c>
    </row>
    <row r="22" spans="2:31" outlineLevel="1" x14ac:dyDescent="0.2">
      <c r="C22" t="s">
        <v>151</v>
      </c>
      <c r="D22" s="23" t="s">
        <v>92</v>
      </c>
      <c r="E22" s="123" t="s">
        <v>212</v>
      </c>
      <c r="F22" s="107">
        <f t="shared" si="35"/>
        <v>279.51358999999997</v>
      </c>
      <c r="H22" s="118">
        <f t="shared" ref="H22:P22" si="37">SUMIFS(INDEX(_HistIS_M_Data,0,MATCH(H$5,_HistIS_M_MonthEnd,0)),_HistIS_M_Labels,$C22)/1000</f>
        <v>6.8250000000000002</v>
      </c>
      <c r="I22" s="118">
        <f t="shared" si="37"/>
        <v>6.9375</v>
      </c>
      <c r="J22" s="118">
        <f t="shared" si="37"/>
        <v>10.5</v>
      </c>
      <c r="K22" s="118">
        <f t="shared" si="37"/>
        <v>31.80059</v>
      </c>
      <c r="L22" s="118">
        <f t="shared" si="37"/>
        <v>43.637500000000003</v>
      </c>
      <c r="M22" s="118">
        <f t="shared" si="37"/>
        <v>0</v>
      </c>
      <c r="N22" s="118">
        <f t="shared" si="37"/>
        <v>7</v>
      </c>
      <c r="O22" s="118">
        <f t="shared" si="37"/>
        <v>31.574999999999999</v>
      </c>
      <c r="P22" s="118">
        <f t="shared" si="37"/>
        <v>12.1</v>
      </c>
      <c r="Q22" s="118">
        <f t="shared" si="36"/>
        <v>12.75</v>
      </c>
      <c r="R22" s="118">
        <f t="shared" si="36"/>
        <v>13.5</v>
      </c>
      <c r="S22" s="118">
        <f t="shared" si="36"/>
        <v>0</v>
      </c>
      <c r="T22" s="118">
        <f t="shared" si="36"/>
        <v>12.824999999999999</v>
      </c>
      <c r="U22" s="118">
        <f t="shared" si="36"/>
        <v>0</v>
      </c>
      <c r="V22" s="118">
        <f t="shared" si="36"/>
        <v>21.6</v>
      </c>
      <c r="W22" s="118">
        <f t="shared" si="36"/>
        <v>2.4750000000000001</v>
      </c>
      <c r="X22" s="118">
        <f t="shared" si="36"/>
        <v>0</v>
      </c>
      <c r="Y22" s="118">
        <f t="shared" si="36"/>
        <v>65.988</v>
      </c>
      <c r="Z22" s="118">
        <f t="shared" si="36"/>
        <v>0</v>
      </c>
      <c r="AA22" s="118">
        <f t="shared" si="36"/>
        <v>0</v>
      </c>
      <c r="AB22" s="118">
        <f t="shared" si="36"/>
        <v>0</v>
      </c>
      <c r="AC22" s="118">
        <f t="shared" si="36"/>
        <v>0</v>
      </c>
      <c r="AD22" s="118">
        <f t="shared" si="36"/>
        <v>0</v>
      </c>
      <c r="AE22" s="118">
        <f t="shared" si="36"/>
        <v>0</v>
      </c>
    </row>
    <row r="23" spans="2:31" outlineLevel="1" x14ac:dyDescent="0.2">
      <c r="C23" t="s">
        <v>143</v>
      </c>
      <c r="D23" s="23" t="s">
        <v>92</v>
      </c>
      <c r="E23" s="123" t="s">
        <v>212</v>
      </c>
      <c r="F23" s="107">
        <f t="shared" si="35"/>
        <v>130.63303999999997</v>
      </c>
      <c r="H23" s="118">
        <f t="shared" si="36"/>
        <v>0</v>
      </c>
      <c r="I23" s="118">
        <f t="shared" si="36"/>
        <v>0</v>
      </c>
      <c r="J23" s="118">
        <f t="shared" si="36"/>
        <v>0</v>
      </c>
      <c r="K23" s="118">
        <f t="shared" si="36"/>
        <v>0</v>
      </c>
      <c r="L23" s="118">
        <f t="shared" si="36"/>
        <v>1.34</v>
      </c>
      <c r="M23" s="118">
        <f t="shared" si="36"/>
        <v>0</v>
      </c>
      <c r="N23" s="118">
        <f t="shared" si="36"/>
        <v>0</v>
      </c>
      <c r="O23" s="118">
        <f t="shared" si="36"/>
        <v>0</v>
      </c>
      <c r="P23" s="118">
        <f t="shared" si="36"/>
        <v>5.1167199999999999</v>
      </c>
      <c r="Q23" s="118">
        <f t="shared" si="36"/>
        <v>5.1167199999999999</v>
      </c>
      <c r="R23" s="118">
        <f t="shared" si="36"/>
        <v>5.1167199999999999</v>
      </c>
      <c r="S23" s="118">
        <f t="shared" si="36"/>
        <v>5.1167199999999999</v>
      </c>
      <c r="T23" s="118">
        <f t="shared" si="36"/>
        <v>5.1167199999999999</v>
      </c>
      <c r="U23" s="118">
        <f t="shared" si="36"/>
        <v>5.1167199999999999</v>
      </c>
      <c r="V23" s="118">
        <f t="shared" si="36"/>
        <v>5.1167199999999999</v>
      </c>
      <c r="W23" s="118">
        <f t="shared" si="36"/>
        <v>90.397999999999996</v>
      </c>
      <c r="X23" s="118">
        <f t="shared" si="36"/>
        <v>1.5389999999999999</v>
      </c>
      <c r="Y23" s="118">
        <f t="shared" si="36"/>
        <v>1.5389999999999999</v>
      </c>
      <c r="Z23" s="118">
        <f t="shared" si="36"/>
        <v>0</v>
      </c>
      <c r="AA23" s="118">
        <f t="shared" si="36"/>
        <v>0</v>
      </c>
      <c r="AB23" s="118">
        <f t="shared" si="36"/>
        <v>0</v>
      </c>
      <c r="AC23" s="118">
        <f t="shared" si="36"/>
        <v>0</v>
      </c>
      <c r="AD23" s="118">
        <f t="shared" si="36"/>
        <v>0</v>
      </c>
      <c r="AE23" s="118">
        <f t="shared" si="36"/>
        <v>0</v>
      </c>
    </row>
    <row r="24" spans="2:31" outlineLevel="1" x14ac:dyDescent="0.2">
      <c r="C24" t="s">
        <v>144</v>
      </c>
      <c r="D24" s="23" t="s">
        <v>92</v>
      </c>
      <c r="E24" s="123" t="s">
        <v>212</v>
      </c>
      <c r="F24" s="107">
        <f t="shared" si="35"/>
        <v>81.042000000000002</v>
      </c>
      <c r="H24" s="118">
        <f t="shared" ref="H24:AE29" si="38">SUMIFS(INDEX(_HistIS_M_Data,0,MATCH(H$5,_HistIS_M_MonthEnd,0)),_HistIS_M_Labels,$C24)/1000</f>
        <v>0</v>
      </c>
      <c r="I24" s="118">
        <f t="shared" si="38"/>
        <v>0</v>
      </c>
      <c r="J24" s="118">
        <f t="shared" si="38"/>
        <v>0</v>
      </c>
      <c r="K24" s="118">
        <f t="shared" si="38"/>
        <v>0</v>
      </c>
      <c r="L24" s="118">
        <f t="shared" si="38"/>
        <v>0</v>
      </c>
      <c r="M24" s="118">
        <f t="shared" si="38"/>
        <v>0</v>
      </c>
      <c r="N24" s="118">
        <f t="shared" si="38"/>
        <v>0</v>
      </c>
      <c r="O24" s="118">
        <f t="shared" si="38"/>
        <v>0</v>
      </c>
      <c r="P24" s="118">
        <f t="shared" si="38"/>
        <v>0</v>
      </c>
      <c r="Q24" s="118">
        <f t="shared" si="38"/>
        <v>0</v>
      </c>
      <c r="R24" s="118">
        <f t="shared" si="38"/>
        <v>0</v>
      </c>
      <c r="S24" s="118">
        <f t="shared" si="38"/>
        <v>0</v>
      </c>
      <c r="T24" s="118">
        <f t="shared" si="38"/>
        <v>0</v>
      </c>
      <c r="U24" s="118">
        <f t="shared" si="38"/>
        <v>0</v>
      </c>
      <c r="V24" s="118">
        <f t="shared" si="38"/>
        <v>12.48</v>
      </c>
      <c r="W24" s="118">
        <f t="shared" si="38"/>
        <v>26</v>
      </c>
      <c r="X24" s="118">
        <f t="shared" si="38"/>
        <v>0</v>
      </c>
      <c r="Y24" s="118">
        <f t="shared" si="38"/>
        <v>22.178000000000001</v>
      </c>
      <c r="Z24" s="118">
        <f t="shared" si="38"/>
        <v>4.7839999999999998</v>
      </c>
      <c r="AA24" s="118">
        <f t="shared" si="38"/>
        <v>0</v>
      </c>
      <c r="AB24" s="118">
        <f t="shared" si="38"/>
        <v>0</v>
      </c>
      <c r="AC24" s="118">
        <f t="shared" si="38"/>
        <v>0</v>
      </c>
      <c r="AD24" s="118">
        <f t="shared" si="38"/>
        <v>0</v>
      </c>
      <c r="AE24" s="118">
        <f t="shared" si="38"/>
        <v>15.6</v>
      </c>
    </row>
    <row r="25" spans="2:31" outlineLevel="1" x14ac:dyDescent="0.2">
      <c r="C25" t="s">
        <v>145</v>
      </c>
      <c r="D25" s="23" t="s">
        <v>92</v>
      </c>
      <c r="E25" s="123" t="s">
        <v>212</v>
      </c>
      <c r="F25" s="107">
        <f t="shared" si="35"/>
        <v>462.85806000000002</v>
      </c>
      <c r="H25" s="118">
        <f t="shared" si="38"/>
        <v>7.9179599999999999</v>
      </c>
      <c r="I25" s="118">
        <f t="shared" si="38"/>
        <v>27.087479999999999</v>
      </c>
      <c r="J25" s="118">
        <f t="shared" si="38"/>
        <v>26.7164</v>
      </c>
      <c r="K25" s="118">
        <f t="shared" si="38"/>
        <v>80.725719999999995</v>
      </c>
      <c r="L25" s="118">
        <f t="shared" si="38"/>
        <v>32.705280000000002</v>
      </c>
      <c r="M25" s="118">
        <f t="shared" si="38"/>
        <v>38.587669999999996</v>
      </c>
      <c r="N25" s="118">
        <f t="shared" si="38"/>
        <v>44.965499999999999</v>
      </c>
      <c r="O25" s="118">
        <f t="shared" si="38"/>
        <v>18.997769999999999</v>
      </c>
      <c r="P25" s="118">
        <f t="shared" si="38"/>
        <v>38.589300000000001</v>
      </c>
      <c r="Q25" s="118">
        <f t="shared" si="38"/>
        <v>47.989910000000002</v>
      </c>
      <c r="R25" s="118">
        <f t="shared" si="38"/>
        <v>29.086259999999999</v>
      </c>
      <c r="S25" s="118">
        <f t="shared" si="38"/>
        <v>30.435939999999999</v>
      </c>
      <c r="T25" s="118">
        <f t="shared" si="38"/>
        <v>32.962870000000002</v>
      </c>
      <c r="U25" s="118">
        <f t="shared" si="38"/>
        <v>0</v>
      </c>
      <c r="V25" s="118">
        <f t="shared" si="38"/>
        <v>6.3E-2</v>
      </c>
      <c r="W25" s="118">
        <f t="shared" si="38"/>
        <v>5.8680000000000003</v>
      </c>
      <c r="X25" s="118">
        <f t="shared" si="38"/>
        <v>0</v>
      </c>
      <c r="Y25" s="118">
        <f t="shared" si="38"/>
        <v>0</v>
      </c>
      <c r="Z25" s="118">
        <f t="shared" si="38"/>
        <v>0</v>
      </c>
      <c r="AA25" s="118">
        <f t="shared" si="38"/>
        <v>0.159</v>
      </c>
      <c r="AB25" s="118">
        <f t="shared" si="38"/>
        <v>0</v>
      </c>
      <c r="AC25" s="118">
        <f t="shared" si="38"/>
        <v>0</v>
      </c>
      <c r="AD25" s="118">
        <f t="shared" si="38"/>
        <v>0</v>
      </c>
      <c r="AE25" s="118">
        <f t="shared" si="38"/>
        <v>0</v>
      </c>
    </row>
    <row r="26" spans="2:31" outlineLevel="1" x14ac:dyDescent="0.2">
      <c r="C26" t="s">
        <v>146</v>
      </c>
      <c r="D26" s="23" t="s">
        <v>92</v>
      </c>
      <c r="E26" s="123" t="s">
        <v>212</v>
      </c>
      <c r="F26" s="107">
        <f t="shared" si="35"/>
        <v>169.01189999999997</v>
      </c>
      <c r="H26" s="118">
        <f t="shared" si="38"/>
        <v>0</v>
      </c>
      <c r="I26" s="118">
        <f t="shared" si="38"/>
        <v>0</v>
      </c>
      <c r="J26" s="118">
        <f t="shared" si="38"/>
        <v>0</v>
      </c>
      <c r="K26" s="118">
        <f t="shared" si="38"/>
        <v>0</v>
      </c>
      <c r="L26" s="118">
        <f t="shared" si="38"/>
        <v>0</v>
      </c>
      <c r="M26" s="118">
        <f t="shared" si="38"/>
        <v>0</v>
      </c>
      <c r="N26" s="118">
        <f t="shared" si="38"/>
        <v>0</v>
      </c>
      <c r="O26" s="118">
        <f t="shared" si="38"/>
        <v>0</v>
      </c>
      <c r="P26" s="118">
        <f t="shared" si="38"/>
        <v>0</v>
      </c>
      <c r="Q26" s="118">
        <f t="shared" si="38"/>
        <v>0</v>
      </c>
      <c r="R26" s="118">
        <f t="shared" si="38"/>
        <v>0</v>
      </c>
      <c r="S26" s="118">
        <f t="shared" si="38"/>
        <v>0</v>
      </c>
      <c r="T26" s="118">
        <f t="shared" si="38"/>
        <v>0</v>
      </c>
      <c r="U26" s="118">
        <f t="shared" si="38"/>
        <v>11.930399999999999</v>
      </c>
      <c r="V26" s="118">
        <f t="shared" si="38"/>
        <v>15.846500000000001</v>
      </c>
      <c r="W26" s="118">
        <f t="shared" si="38"/>
        <v>57.433999999999997</v>
      </c>
      <c r="X26" s="118">
        <f t="shared" si="38"/>
        <v>5.2469999999999999</v>
      </c>
      <c r="Y26" s="118">
        <f t="shared" si="38"/>
        <v>11.234999999999999</v>
      </c>
      <c r="Z26" s="118">
        <f t="shared" si="38"/>
        <v>13.061</v>
      </c>
      <c r="AA26" s="118">
        <f t="shared" si="38"/>
        <v>20.550999999999998</v>
      </c>
      <c r="AB26" s="118">
        <f t="shared" si="38"/>
        <v>14.141999999999999</v>
      </c>
      <c r="AC26" s="118">
        <f t="shared" si="38"/>
        <v>16.170999999999999</v>
      </c>
      <c r="AD26" s="118">
        <f t="shared" si="38"/>
        <v>3.3580000000000001</v>
      </c>
      <c r="AE26" s="118">
        <f t="shared" si="38"/>
        <v>3.5999999999999997E-2</v>
      </c>
    </row>
    <row r="27" spans="2:31" outlineLevel="1" x14ac:dyDescent="0.2">
      <c r="C27" t="s">
        <v>147</v>
      </c>
      <c r="D27" s="23" t="s">
        <v>92</v>
      </c>
      <c r="E27" s="123" t="s">
        <v>212</v>
      </c>
      <c r="F27" s="107">
        <f t="shared" si="35"/>
        <v>17.987000000000002</v>
      </c>
      <c r="H27" s="118">
        <f t="shared" si="38"/>
        <v>0</v>
      </c>
      <c r="I27" s="118">
        <f t="shared" si="38"/>
        <v>0</v>
      </c>
      <c r="J27" s="118">
        <f t="shared" si="38"/>
        <v>0</v>
      </c>
      <c r="K27" s="118">
        <f t="shared" si="38"/>
        <v>0</v>
      </c>
      <c r="L27" s="118">
        <f t="shared" si="38"/>
        <v>0</v>
      </c>
      <c r="M27" s="118">
        <f t="shared" si="38"/>
        <v>0</v>
      </c>
      <c r="N27" s="118">
        <f t="shared" si="38"/>
        <v>0</v>
      </c>
      <c r="O27" s="118">
        <f t="shared" si="38"/>
        <v>0</v>
      </c>
      <c r="P27" s="118">
        <f t="shared" si="38"/>
        <v>0</v>
      </c>
      <c r="Q27" s="118">
        <f t="shared" si="38"/>
        <v>0</v>
      </c>
      <c r="R27" s="118">
        <f t="shared" si="38"/>
        <v>0</v>
      </c>
      <c r="S27" s="118">
        <f t="shared" si="38"/>
        <v>0</v>
      </c>
      <c r="T27" s="118">
        <f t="shared" si="38"/>
        <v>0</v>
      </c>
      <c r="U27" s="118">
        <f t="shared" si="38"/>
        <v>0</v>
      </c>
      <c r="V27" s="118">
        <f t="shared" si="38"/>
        <v>0</v>
      </c>
      <c r="W27" s="118">
        <f t="shared" si="38"/>
        <v>2.2410000000000001</v>
      </c>
      <c r="X27" s="118">
        <f t="shared" si="38"/>
        <v>0</v>
      </c>
      <c r="Y27" s="118">
        <f t="shared" si="38"/>
        <v>12.787000000000001</v>
      </c>
      <c r="Z27" s="118">
        <f t="shared" si="38"/>
        <v>0</v>
      </c>
      <c r="AA27" s="118">
        <f t="shared" si="38"/>
        <v>0.69299999999999995</v>
      </c>
      <c r="AB27" s="118">
        <f t="shared" si="38"/>
        <v>2.266</v>
      </c>
      <c r="AC27" s="118">
        <f t="shared" si="38"/>
        <v>0</v>
      </c>
      <c r="AD27" s="118">
        <f t="shared" si="38"/>
        <v>0</v>
      </c>
      <c r="AE27" s="118">
        <f t="shared" si="38"/>
        <v>0</v>
      </c>
    </row>
    <row r="28" spans="2:31" outlineLevel="1" x14ac:dyDescent="0.2">
      <c r="C28" t="s">
        <v>148</v>
      </c>
      <c r="D28" s="23" t="s">
        <v>92</v>
      </c>
      <c r="E28" s="123" t="s">
        <v>212</v>
      </c>
      <c r="F28" s="107">
        <f t="shared" si="35"/>
        <v>45.236529999999995</v>
      </c>
      <c r="H28" s="118">
        <f t="shared" si="38"/>
        <v>0</v>
      </c>
      <c r="I28" s="118">
        <f t="shared" si="38"/>
        <v>0</v>
      </c>
      <c r="J28" s="118">
        <f t="shared" si="38"/>
        <v>0</v>
      </c>
      <c r="K28" s="118">
        <f t="shared" si="38"/>
        <v>0</v>
      </c>
      <c r="L28" s="118">
        <f t="shared" si="38"/>
        <v>0</v>
      </c>
      <c r="M28" s="118">
        <f t="shared" si="38"/>
        <v>0</v>
      </c>
      <c r="N28" s="118">
        <f t="shared" si="38"/>
        <v>0</v>
      </c>
      <c r="O28" s="118">
        <f t="shared" si="38"/>
        <v>0</v>
      </c>
      <c r="P28" s="118">
        <f t="shared" si="38"/>
        <v>0</v>
      </c>
      <c r="Q28" s="118">
        <f t="shared" si="38"/>
        <v>0</v>
      </c>
      <c r="R28" s="118">
        <f t="shared" si="38"/>
        <v>0</v>
      </c>
      <c r="S28" s="118">
        <f t="shared" si="38"/>
        <v>0</v>
      </c>
      <c r="T28" s="118">
        <f t="shared" si="38"/>
        <v>0</v>
      </c>
      <c r="U28" s="118">
        <f t="shared" si="38"/>
        <v>5.8477299999999994</v>
      </c>
      <c r="V28" s="118">
        <f t="shared" si="38"/>
        <v>2.7748000000000004</v>
      </c>
      <c r="W28" s="118">
        <f t="shared" si="38"/>
        <v>0</v>
      </c>
      <c r="X28" s="118">
        <f t="shared" si="38"/>
        <v>5.032</v>
      </c>
      <c r="Y28" s="118">
        <f t="shared" si="38"/>
        <v>9.673</v>
      </c>
      <c r="Z28" s="118">
        <f t="shared" si="38"/>
        <v>3.246</v>
      </c>
      <c r="AA28" s="118">
        <f t="shared" si="38"/>
        <v>3.6360000000000001</v>
      </c>
      <c r="AB28" s="118">
        <f t="shared" si="38"/>
        <v>3.3380000000000001</v>
      </c>
      <c r="AC28" s="118">
        <f t="shared" si="38"/>
        <v>3.8959999999999999</v>
      </c>
      <c r="AD28" s="118">
        <f t="shared" si="38"/>
        <v>3.887</v>
      </c>
      <c r="AE28" s="118">
        <f t="shared" si="38"/>
        <v>3.9060000000000001</v>
      </c>
    </row>
    <row r="29" spans="2:31" outlineLevel="1" x14ac:dyDescent="0.2">
      <c r="C29" t="s">
        <v>152</v>
      </c>
      <c r="D29" s="23" t="s">
        <v>92</v>
      </c>
      <c r="E29" s="123" t="s">
        <v>212</v>
      </c>
      <c r="F29" s="107">
        <f t="shared" si="35"/>
        <v>220.667</v>
      </c>
      <c r="H29" s="118">
        <f t="shared" si="38"/>
        <v>0</v>
      </c>
      <c r="I29" s="118">
        <f t="shared" si="38"/>
        <v>0</v>
      </c>
      <c r="J29" s="118">
        <f t="shared" si="38"/>
        <v>0</v>
      </c>
      <c r="K29" s="118">
        <f t="shared" si="38"/>
        <v>0</v>
      </c>
      <c r="L29" s="118">
        <f t="shared" si="38"/>
        <v>0</v>
      </c>
      <c r="M29" s="118">
        <f t="shared" si="38"/>
        <v>0</v>
      </c>
      <c r="N29" s="118">
        <f t="shared" si="38"/>
        <v>0</v>
      </c>
      <c r="O29" s="118">
        <f t="shared" si="38"/>
        <v>0</v>
      </c>
      <c r="P29" s="118">
        <f t="shared" si="38"/>
        <v>0</v>
      </c>
      <c r="Q29" s="118">
        <f t="shared" ref="Q29:AE29" si="39">SUMIFS(INDEX(_HistIS_M_Data,0,MATCH(Q$5,_HistIS_M_MonthEnd,0)),_HistIS_M_Labels,$C29)/1000</f>
        <v>0</v>
      </c>
      <c r="R29" s="118">
        <f t="shared" si="39"/>
        <v>0</v>
      </c>
      <c r="S29" s="118">
        <f t="shared" si="39"/>
        <v>0</v>
      </c>
      <c r="T29" s="118">
        <f t="shared" si="39"/>
        <v>0</v>
      </c>
      <c r="U29" s="118">
        <f t="shared" si="39"/>
        <v>0</v>
      </c>
      <c r="V29" s="118">
        <f t="shared" si="39"/>
        <v>20</v>
      </c>
      <c r="W29" s="118">
        <f t="shared" si="39"/>
        <v>0</v>
      </c>
      <c r="X29" s="118">
        <f t="shared" si="39"/>
        <v>0</v>
      </c>
      <c r="Y29" s="118">
        <f t="shared" si="39"/>
        <v>100</v>
      </c>
      <c r="Z29" s="118">
        <f t="shared" si="39"/>
        <v>26.667000000000002</v>
      </c>
      <c r="AA29" s="118">
        <f t="shared" si="39"/>
        <v>0</v>
      </c>
      <c r="AB29" s="118">
        <f t="shared" si="39"/>
        <v>74</v>
      </c>
      <c r="AC29" s="118">
        <f t="shared" si="39"/>
        <v>0</v>
      </c>
      <c r="AD29" s="118">
        <f t="shared" si="39"/>
        <v>0</v>
      </c>
      <c r="AE29" s="118">
        <f t="shared" si="39"/>
        <v>0</v>
      </c>
    </row>
    <row r="30" spans="2:31" x14ac:dyDescent="0.2">
      <c r="C30" s="42" t="s">
        <v>118</v>
      </c>
      <c r="D30" s="43" t="s">
        <v>92</v>
      </c>
      <c r="E30" s="42"/>
      <c r="F30" s="108">
        <f t="shared" si="35"/>
        <v>1548.94912</v>
      </c>
      <c r="G30" s="42"/>
      <c r="H30" s="125">
        <f>SUM(H21:H29)</f>
        <v>34.742959999999997</v>
      </c>
      <c r="I30" s="125">
        <f t="shared" ref="I30:AE30" si="40">SUM(I21:I29)</f>
        <v>54.024979999999999</v>
      </c>
      <c r="J30" s="125">
        <f t="shared" si="40"/>
        <v>57.2164</v>
      </c>
      <c r="K30" s="125">
        <f t="shared" si="40"/>
        <v>132.52631</v>
      </c>
      <c r="L30" s="125">
        <f t="shared" si="40"/>
        <v>97.682780000000008</v>
      </c>
      <c r="M30" s="125">
        <f t="shared" si="40"/>
        <v>47.587669999999996</v>
      </c>
      <c r="N30" s="125">
        <f t="shared" si="40"/>
        <v>51.965499999999999</v>
      </c>
      <c r="O30" s="125">
        <f t="shared" si="40"/>
        <v>50.572769999999998</v>
      </c>
      <c r="P30" s="125">
        <f t="shared" si="40"/>
        <v>55.806020000000004</v>
      </c>
      <c r="Q30" s="125">
        <f t="shared" si="40"/>
        <v>65.856629999999996</v>
      </c>
      <c r="R30" s="125">
        <f t="shared" si="40"/>
        <v>47.702979999999997</v>
      </c>
      <c r="S30" s="125">
        <f t="shared" si="40"/>
        <v>35.552659999999996</v>
      </c>
      <c r="T30" s="125">
        <f t="shared" si="40"/>
        <v>50.904589999999999</v>
      </c>
      <c r="U30" s="125">
        <f t="shared" si="40"/>
        <v>22.894849999999998</v>
      </c>
      <c r="V30" s="125">
        <f t="shared" si="40"/>
        <v>84.481020000000015</v>
      </c>
      <c r="W30" s="125">
        <f t="shared" si="40"/>
        <v>197.11599999999999</v>
      </c>
      <c r="X30" s="125">
        <f t="shared" si="40"/>
        <v>11.818</v>
      </c>
      <c r="Y30" s="125">
        <f t="shared" si="40"/>
        <v>237.1</v>
      </c>
      <c r="Z30" s="125">
        <f t="shared" si="40"/>
        <v>47.757999999999996</v>
      </c>
      <c r="AA30" s="125">
        <f t="shared" si="40"/>
        <v>25.038999999999998</v>
      </c>
      <c r="AB30" s="125">
        <f t="shared" si="40"/>
        <v>93.746000000000009</v>
      </c>
      <c r="AC30" s="125">
        <f t="shared" si="40"/>
        <v>20.067</v>
      </c>
      <c r="AD30" s="125">
        <f t="shared" si="40"/>
        <v>7.2450000000000001</v>
      </c>
      <c r="AE30" s="125">
        <f t="shared" si="40"/>
        <v>19.541999999999998</v>
      </c>
    </row>
    <row r="31" spans="2:31" outlineLevel="1" x14ac:dyDescent="0.2">
      <c r="F31" s="109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</row>
    <row r="32" spans="2:31" outlineLevel="1" x14ac:dyDescent="0.2">
      <c r="C32" t="s">
        <v>153</v>
      </c>
      <c r="D32" s="23" t="s">
        <v>92</v>
      </c>
      <c r="E32" s="123" t="s">
        <v>212</v>
      </c>
      <c r="F32" s="107">
        <f>SUM(H32:AE32)</f>
        <v>453.61444</v>
      </c>
      <c r="H32" s="118">
        <f t="shared" ref="H32:AE34" si="41">SUMIFS(INDEX(_HistIS_M_Data,0,MATCH(H$5,_HistIS_M_MonthEnd,0)),_HistIS_M_Labels,$C32)/1000</f>
        <v>0.3785</v>
      </c>
      <c r="I32" s="118">
        <f t="shared" si="41"/>
        <v>14.917999999999999</v>
      </c>
      <c r="J32" s="118">
        <f t="shared" si="41"/>
        <v>2.61</v>
      </c>
      <c r="K32" s="118">
        <f t="shared" si="41"/>
        <v>13.077</v>
      </c>
      <c r="L32" s="118">
        <f t="shared" si="41"/>
        <v>21.476500000000001</v>
      </c>
      <c r="M32" s="118">
        <f t="shared" si="41"/>
        <v>6.2670000000000003</v>
      </c>
      <c r="N32" s="118">
        <f t="shared" si="41"/>
        <v>3.2704499999999999</v>
      </c>
      <c r="O32" s="118">
        <f t="shared" si="41"/>
        <v>8.2970000000000006</v>
      </c>
      <c r="P32" s="118">
        <f t="shared" si="41"/>
        <v>16.083400000000001</v>
      </c>
      <c r="Q32" s="118">
        <f t="shared" si="41"/>
        <v>22.934429999999999</v>
      </c>
      <c r="R32" s="118">
        <f t="shared" si="41"/>
        <v>5.9696000000000007</v>
      </c>
      <c r="S32" s="118">
        <f t="shared" si="41"/>
        <v>3.4640500000000003</v>
      </c>
      <c r="T32" s="118">
        <f t="shared" si="41"/>
        <v>14.83015</v>
      </c>
      <c r="U32" s="118">
        <f t="shared" si="41"/>
        <v>11.656750000000001</v>
      </c>
      <c r="V32" s="118">
        <f t="shared" si="41"/>
        <v>43.723610000000001</v>
      </c>
      <c r="W32" s="118">
        <f t="shared" si="41"/>
        <v>0</v>
      </c>
      <c r="X32" s="118">
        <f t="shared" si="41"/>
        <v>8.7490000000000006</v>
      </c>
      <c r="Y32" s="118">
        <f t="shared" si="41"/>
        <v>16.291</v>
      </c>
      <c r="Z32" s="118">
        <f t="shared" si="41"/>
        <v>52.524999999999999</v>
      </c>
      <c r="AA32" s="118">
        <f t="shared" si="41"/>
        <v>22.079000000000001</v>
      </c>
      <c r="AB32" s="118">
        <f t="shared" si="41"/>
        <v>39.545000000000002</v>
      </c>
      <c r="AC32" s="118">
        <f t="shared" si="41"/>
        <v>40.981000000000002</v>
      </c>
      <c r="AD32" s="118">
        <f t="shared" si="41"/>
        <v>42.771999999999998</v>
      </c>
      <c r="AE32" s="118">
        <f t="shared" si="41"/>
        <v>41.716000000000001</v>
      </c>
    </row>
    <row r="33" spans="3:31" outlineLevel="1" x14ac:dyDescent="0.2">
      <c r="C33" t="s">
        <v>154</v>
      </c>
      <c r="D33" s="23" t="s">
        <v>92</v>
      </c>
      <c r="E33" s="123" t="s">
        <v>212</v>
      </c>
      <c r="F33" s="107">
        <f>SUM(H33:AE33)</f>
        <v>64.411049999999989</v>
      </c>
      <c r="H33" s="118">
        <f t="shared" si="41"/>
        <v>1.3000000000000002E-4</v>
      </c>
      <c r="I33" s="118">
        <f t="shared" si="41"/>
        <v>2.2749999999999999</v>
      </c>
      <c r="J33" s="118">
        <f t="shared" si="41"/>
        <v>2.1799499999999998</v>
      </c>
      <c r="K33" s="118">
        <f t="shared" si="41"/>
        <v>-26.073979999999999</v>
      </c>
      <c r="L33" s="118">
        <f t="shared" si="41"/>
        <v>40.676180000000002</v>
      </c>
      <c r="M33" s="118">
        <f t="shared" si="41"/>
        <v>0</v>
      </c>
      <c r="N33" s="118">
        <f t="shared" si="41"/>
        <v>2.9</v>
      </c>
      <c r="O33" s="118">
        <f t="shared" si="41"/>
        <v>2.8322699999999998</v>
      </c>
      <c r="P33" s="118">
        <f t="shared" si="41"/>
        <v>1.5585</v>
      </c>
      <c r="Q33" s="118">
        <f t="shared" si="41"/>
        <v>0</v>
      </c>
      <c r="R33" s="118">
        <f t="shared" si="41"/>
        <v>3.2404999999999999</v>
      </c>
      <c r="S33" s="118">
        <f t="shared" si="41"/>
        <v>4.9005000000000001</v>
      </c>
      <c r="T33" s="118">
        <f t="shared" si="41"/>
        <v>0.23499999999999999</v>
      </c>
      <c r="U33" s="118">
        <f t="shared" si="41"/>
        <v>0</v>
      </c>
      <c r="V33" s="118">
        <f t="shared" si="41"/>
        <v>0.115</v>
      </c>
      <c r="W33" s="118">
        <f t="shared" si="41"/>
        <v>9.2200000000000006</v>
      </c>
      <c r="X33" s="118">
        <f t="shared" si="41"/>
        <v>0.41</v>
      </c>
      <c r="Y33" s="118">
        <f t="shared" si="41"/>
        <v>4.5309999999999997</v>
      </c>
      <c r="Z33" s="118">
        <f t="shared" si="41"/>
        <v>1.637</v>
      </c>
      <c r="AA33" s="118">
        <f t="shared" si="41"/>
        <v>2.7349999999999999</v>
      </c>
      <c r="AB33" s="118">
        <f t="shared" si="41"/>
        <v>0.45500000000000002</v>
      </c>
      <c r="AC33" s="118">
        <f t="shared" si="41"/>
        <v>7.556</v>
      </c>
      <c r="AD33" s="118">
        <f t="shared" si="41"/>
        <v>3.028</v>
      </c>
      <c r="AE33" s="118">
        <f t="shared" si="41"/>
        <v>0</v>
      </c>
    </row>
    <row r="34" spans="3:31" outlineLevel="1" x14ac:dyDescent="0.2">
      <c r="C34" t="s">
        <v>155</v>
      </c>
      <c r="D34" s="23" t="s">
        <v>92</v>
      </c>
      <c r="E34" s="123" t="s">
        <v>212</v>
      </c>
      <c r="F34" s="107">
        <f>SUM(H34:AE34)</f>
        <v>108.24385000000001</v>
      </c>
      <c r="H34" s="118">
        <f t="shared" si="41"/>
        <v>0</v>
      </c>
      <c r="I34" s="118">
        <f t="shared" si="41"/>
        <v>0</v>
      </c>
      <c r="J34" s="118">
        <f t="shared" si="41"/>
        <v>0</v>
      </c>
      <c r="K34" s="118">
        <f t="shared" si="41"/>
        <v>0</v>
      </c>
      <c r="L34" s="118">
        <f t="shared" si="41"/>
        <v>0</v>
      </c>
      <c r="M34" s="118">
        <f t="shared" si="41"/>
        <v>0</v>
      </c>
      <c r="N34" s="118">
        <f t="shared" si="41"/>
        <v>0</v>
      </c>
      <c r="O34" s="118">
        <f t="shared" si="41"/>
        <v>0</v>
      </c>
      <c r="P34" s="118">
        <f t="shared" si="41"/>
        <v>0</v>
      </c>
      <c r="Q34" s="118">
        <f t="shared" si="41"/>
        <v>0</v>
      </c>
      <c r="R34" s="118">
        <f t="shared" si="41"/>
        <v>0</v>
      </c>
      <c r="S34" s="118">
        <f t="shared" si="41"/>
        <v>0</v>
      </c>
      <c r="T34" s="118">
        <f t="shared" si="41"/>
        <v>0</v>
      </c>
      <c r="U34" s="118">
        <f t="shared" si="41"/>
        <v>31.774000000000001</v>
      </c>
      <c r="V34" s="118">
        <f t="shared" si="41"/>
        <v>58.766849999999998</v>
      </c>
      <c r="W34" s="118">
        <f t="shared" si="41"/>
        <v>0</v>
      </c>
      <c r="X34" s="118">
        <f t="shared" si="41"/>
        <v>0</v>
      </c>
      <c r="Y34" s="118">
        <f t="shared" si="41"/>
        <v>12.581</v>
      </c>
      <c r="Z34" s="118">
        <f t="shared" si="41"/>
        <v>0</v>
      </c>
      <c r="AA34" s="118">
        <f t="shared" si="41"/>
        <v>0</v>
      </c>
      <c r="AB34" s="118">
        <f t="shared" si="41"/>
        <v>0</v>
      </c>
      <c r="AC34" s="118">
        <f t="shared" si="41"/>
        <v>0</v>
      </c>
      <c r="AD34" s="118">
        <f t="shared" si="41"/>
        <v>0</v>
      </c>
      <c r="AE34" s="118">
        <f t="shared" si="41"/>
        <v>5.1219999999999999</v>
      </c>
    </row>
    <row r="35" spans="3:31" x14ac:dyDescent="0.2">
      <c r="C35" s="42" t="s">
        <v>156</v>
      </c>
      <c r="D35" s="43" t="s">
        <v>92</v>
      </c>
      <c r="E35" s="42"/>
      <c r="F35" s="108">
        <f>SUM(H35:AE35)</f>
        <v>626.26933999999994</v>
      </c>
      <c r="G35" s="42"/>
      <c r="H35" s="125">
        <f>SUM(H32:H34)</f>
        <v>0.37863000000000002</v>
      </c>
      <c r="I35" s="125">
        <f t="shared" ref="I35:AE35" si="42">SUM(I32:I34)</f>
        <v>17.192999999999998</v>
      </c>
      <c r="J35" s="125">
        <f t="shared" si="42"/>
        <v>4.7899499999999993</v>
      </c>
      <c r="K35" s="125">
        <f t="shared" si="42"/>
        <v>-12.996979999999999</v>
      </c>
      <c r="L35" s="125">
        <f t="shared" si="42"/>
        <v>62.152680000000004</v>
      </c>
      <c r="M35" s="125">
        <f t="shared" si="42"/>
        <v>6.2670000000000003</v>
      </c>
      <c r="N35" s="125">
        <f t="shared" si="42"/>
        <v>6.1704499999999998</v>
      </c>
      <c r="O35" s="125">
        <f t="shared" si="42"/>
        <v>11.12927</v>
      </c>
      <c r="P35" s="125">
        <f t="shared" si="42"/>
        <v>17.6419</v>
      </c>
      <c r="Q35" s="125">
        <f t="shared" si="42"/>
        <v>22.934429999999999</v>
      </c>
      <c r="R35" s="125">
        <f t="shared" si="42"/>
        <v>9.2101000000000006</v>
      </c>
      <c r="S35" s="125">
        <f t="shared" si="42"/>
        <v>8.3645500000000013</v>
      </c>
      <c r="T35" s="125">
        <f t="shared" si="42"/>
        <v>15.065149999999999</v>
      </c>
      <c r="U35" s="125">
        <f t="shared" si="42"/>
        <v>43.430750000000003</v>
      </c>
      <c r="V35" s="125">
        <f t="shared" si="42"/>
        <v>102.60545999999999</v>
      </c>
      <c r="W35" s="125">
        <f t="shared" si="42"/>
        <v>9.2200000000000006</v>
      </c>
      <c r="X35" s="125">
        <f t="shared" si="42"/>
        <v>9.1590000000000007</v>
      </c>
      <c r="Y35" s="125">
        <f t="shared" si="42"/>
        <v>33.402999999999999</v>
      </c>
      <c r="Z35" s="125">
        <f t="shared" si="42"/>
        <v>54.161999999999999</v>
      </c>
      <c r="AA35" s="125">
        <f t="shared" si="42"/>
        <v>24.814</v>
      </c>
      <c r="AB35" s="125">
        <f t="shared" si="42"/>
        <v>40</v>
      </c>
      <c r="AC35" s="125">
        <f t="shared" si="42"/>
        <v>48.536999999999999</v>
      </c>
      <c r="AD35" s="125">
        <f t="shared" si="42"/>
        <v>45.8</v>
      </c>
      <c r="AE35" s="125">
        <f t="shared" si="42"/>
        <v>46.838000000000001</v>
      </c>
    </row>
    <row r="36" spans="3:31" outlineLevel="1" x14ac:dyDescent="0.2">
      <c r="F36" s="109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</row>
    <row r="37" spans="3:31" x14ac:dyDescent="0.2">
      <c r="C37" t="s">
        <v>157</v>
      </c>
      <c r="D37" s="23" t="s">
        <v>92</v>
      </c>
      <c r="E37" s="123" t="s">
        <v>212</v>
      </c>
      <c r="F37" s="107">
        <f t="shared" ref="F37:F44" si="43">SUM(H37:AE37)</f>
        <v>217.09860000000003</v>
      </c>
      <c r="H37" s="118">
        <f t="shared" ref="H37:AE41" si="44">SUMIFS(INDEX(_HistIS_M_Data,0,MATCH(H$5,_HistIS_M_MonthEnd,0)),_HistIS_M_Labels,$C37)/1000</f>
        <v>0</v>
      </c>
      <c r="I37" s="118">
        <f t="shared" si="44"/>
        <v>3.84</v>
      </c>
      <c r="J37" s="118">
        <f t="shared" si="44"/>
        <v>0</v>
      </c>
      <c r="K37" s="118">
        <f t="shared" si="44"/>
        <v>6.1301499999999995</v>
      </c>
      <c r="L37" s="118">
        <f t="shared" si="44"/>
        <v>0.92500000000000004</v>
      </c>
      <c r="M37" s="118">
        <f t="shared" si="44"/>
        <v>1.7245599999999999</v>
      </c>
      <c r="N37" s="118">
        <f t="shared" si="44"/>
        <v>3.125</v>
      </c>
      <c r="O37" s="118">
        <f t="shared" si="44"/>
        <v>3.0059999999999998</v>
      </c>
      <c r="P37" s="118">
        <f t="shared" si="44"/>
        <v>1.3671600000000002</v>
      </c>
      <c r="Q37" s="118">
        <f t="shared" si="44"/>
        <v>4.0370000000000003E-2</v>
      </c>
      <c r="R37" s="118">
        <f t="shared" si="44"/>
        <v>13.699919999999999</v>
      </c>
      <c r="S37" s="118">
        <f t="shared" si="44"/>
        <v>4.63626</v>
      </c>
      <c r="T37" s="118">
        <f t="shared" si="44"/>
        <v>0.315</v>
      </c>
      <c r="U37" s="118">
        <f t="shared" si="44"/>
        <v>13.99727</v>
      </c>
      <c r="V37" s="118">
        <f t="shared" si="44"/>
        <v>0.21590999999999999</v>
      </c>
      <c r="W37" s="118">
        <f t="shared" si="44"/>
        <v>1.6060000000000001</v>
      </c>
      <c r="X37" s="118">
        <f t="shared" si="44"/>
        <v>30.029</v>
      </c>
      <c r="Y37" s="118">
        <f t="shared" si="44"/>
        <v>30.681999999999999</v>
      </c>
      <c r="Z37" s="118">
        <f t="shared" si="44"/>
        <v>10.834</v>
      </c>
      <c r="AA37" s="118">
        <f t="shared" si="44"/>
        <v>2.444</v>
      </c>
      <c r="AB37" s="118">
        <f t="shared" si="44"/>
        <v>31.28</v>
      </c>
      <c r="AC37" s="118">
        <f t="shared" si="44"/>
        <v>27.34</v>
      </c>
      <c r="AD37" s="118">
        <f t="shared" si="44"/>
        <v>15.598000000000001</v>
      </c>
      <c r="AE37" s="118">
        <f t="shared" si="44"/>
        <v>14.263</v>
      </c>
    </row>
    <row r="38" spans="3:31" x14ac:dyDescent="0.2">
      <c r="C38" t="s">
        <v>158</v>
      </c>
      <c r="D38" s="23" t="s">
        <v>92</v>
      </c>
      <c r="E38" s="123" t="s">
        <v>212</v>
      </c>
      <c r="F38" s="107">
        <f t="shared" si="43"/>
        <v>648.28291000000002</v>
      </c>
      <c r="H38" s="118">
        <f t="shared" si="44"/>
        <v>0</v>
      </c>
      <c r="I38" s="118">
        <f t="shared" si="44"/>
        <v>0</v>
      </c>
      <c r="J38" s="118">
        <f t="shared" si="44"/>
        <v>0</v>
      </c>
      <c r="K38" s="118">
        <f t="shared" si="44"/>
        <v>0</v>
      </c>
      <c r="L38" s="118">
        <f t="shared" si="44"/>
        <v>0</v>
      </c>
      <c r="M38" s="118">
        <f t="shared" si="44"/>
        <v>0</v>
      </c>
      <c r="N38" s="118">
        <f t="shared" si="44"/>
        <v>5</v>
      </c>
      <c r="O38" s="118">
        <f t="shared" si="44"/>
        <v>2.2916599999999998</v>
      </c>
      <c r="P38" s="118">
        <f t="shared" si="44"/>
        <v>42.016249999999999</v>
      </c>
      <c r="Q38" s="118">
        <f t="shared" si="44"/>
        <v>20</v>
      </c>
      <c r="R38" s="118">
        <f t="shared" si="44"/>
        <v>20</v>
      </c>
      <c r="S38" s="118">
        <f t="shared" si="44"/>
        <v>25</v>
      </c>
      <c r="T38" s="118">
        <f t="shared" si="44"/>
        <v>20</v>
      </c>
      <c r="U38" s="118">
        <f t="shared" si="44"/>
        <v>0</v>
      </c>
      <c r="V38" s="118">
        <f t="shared" si="44"/>
        <v>9.9749999999999996</v>
      </c>
      <c r="W38" s="118">
        <f t="shared" si="44"/>
        <v>34</v>
      </c>
      <c r="X38" s="118">
        <f t="shared" si="44"/>
        <v>70</v>
      </c>
      <c r="Y38" s="118">
        <f t="shared" si="44"/>
        <v>50</v>
      </c>
      <c r="Z38" s="118">
        <f t="shared" si="44"/>
        <v>30</v>
      </c>
      <c r="AA38" s="118">
        <f t="shared" si="44"/>
        <v>50</v>
      </c>
      <c r="AB38" s="118">
        <f t="shared" si="44"/>
        <v>50</v>
      </c>
      <c r="AC38" s="118">
        <f t="shared" si="44"/>
        <v>75</v>
      </c>
      <c r="AD38" s="118">
        <f t="shared" si="44"/>
        <v>50</v>
      </c>
      <c r="AE38" s="118">
        <f t="shared" si="44"/>
        <v>95</v>
      </c>
    </row>
    <row r="39" spans="3:31" x14ac:dyDescent="0.2">
      <c r="C39" t="s">
        <v>159</v>
      </c>
      <c r="D39" s="23" t="s">
        <v>92</v>
      </c>
      <c r="E39" s="123" t="s">
        <v>212</v>
      </c>
      <c r="F39" s="107">
        <f t="shared" si="43"/>
        <v>680.92804999999998</v>
      </c>
      <c r="H39" s="118">
        <f t="shared" si="44"/>
        <v>16.106330000000003</v>
      </c>
      <c r="I39" s="118">
        <f t="shared" si="44"/>
        <v>18.831559999999996</v>
      </c>
      <c r="J39" s="118">
        <f t="shared" si="44"/>
        <v>26.822090000000003</v>
      </c>
      <c r="K39" s="118">
        <f t="shared" si="44"/>
        <v>50.230779999999996</v>
      </c>
      <c r="L39" s="118">
        <f t="shared" si="44"/>
        <v>18.80301</v>
      </c>
      <c r="M39" s="118">
        <f t="shared" si="44"/>
        <v>14.722299999999999</v>
      </c>
      <c r="N39" s="118">
        <f t="shared" si="44"/>
        <v>19.044360000000001</v>
      </c>
      <c r="O39" s="118">
        <f t="shared" si="44"/>
        <v>8.5446199999999983</v>
      </c>
      <c r="P39" s="118">
        <f t="shared" si="44"/>
        <v>12.54801</v>
      </c>
      <c r="Q39" s="118">
        <f t="shared" si="44"/>
        <v>11.88941</v>
      </c>
      <c r="R39" s="118">
        <f t="shared" si="44"/>
        <v>14.778930000000001</v>
      </c>
      <c r="S39" s="118">
        <f t="shared" si="44"/>
        <v>11.305649999999998</v>
      </c>
      <c r="T39" s="118">
        <f t="shared" si="44"/>
        <v>31.527609999999999</v>
      </c>
      <c r="U39" s="118">
        <f t="shared" si="44"/>
        <v>48.11733000000001</v>
      </c>
      <c r="V39" s="118">
        <f t="shared" si="44"/>
        <v>5.3640600000000003</v>
      </c>
      <c r="W39" s="118">
        <f t="shared" si="44"/>
        <v>23.119</v>
      </c>
      <c r="X39" s="118">
        <f t="shared" si="44"/>
        <v>33.241</v>
      </c>
      <c r="Y39" s="118">
        <f t="shared" si="44"/>
        <v>32.756999999999998</v>
      </c>
      <c r="Z39" s="118">
        <f t="shared" si="44"/>
        <v>23.053999999999998</v>
      </c>
      <c r="AA39" s="118">
        <f t="shared" si="44"/>
        <v>24.567</v>
      </c>
      <c r="AB39" s="118">
        <f t="shared" si="44"/>
        <v>23.515999999999998</v>
      </c>
      <c r="AC39" s="118">
        <f t="shared" si="44"/>
        <v>37.951999999999998</v>
      </c>
      <c r="AD39" s="118">
        <f t="shared" si="44"/>
        <v>22.361999999999998</v>
      </c>
      <c r="AE39" s="118">
        <f t="shared" si="44"/>
        <v>151.72399999999999</v>
      </c>
    </row>
    <row r="40" spans="3:31" x14ac:dyDescent="0.2">
      <c r="C40" t="s">
        <v>160</v>
      </c>
      <c r="D40" s="23" t="s">
        <v>92</v>
      </c>
      <c r="E40" s="123" t="s">
        <v>212</v>
      </c>
      <c r="F40" s="107">
        <f t="shared" si="43"/>
        <v>306.33645000000001</v>
      </c>
      <c r="H40" s="118">
        <f t="shared" si="44"/>
        <v>2.8926999999999996</v>
      </c>
      <c r="I40" s="118">
        <f t="shared" si="44"/>
        <v>2.8926999999999996</v>
      </c>
      <c r="J40" s="118">
        <f t="shared" si="44"/>
        <v>2.96306</v>
      </c>
      <c r="K40" s="118">
        <f t="shared" si="44"/>
        <v>2.8926999999999996</v>
      </c>
      <c r="L40" s="118">
        <f t="shared" si="44"/>
        <v>2.8926999999999996</v>
      </c>
      <c r="M40" s="118">
        <f t="shared" si="44"/>
        <v>2.8926999999999996</v>
      </c>
      <c r="N40" s="118">
        <f t="shared" si="44"/>
        <v>2.8926999999999996</v>
      </c>
      <c r="O40" s="118">
        <f t="shared" si="44"/>
        <v>27.09995</v>
      </c>
      <c r="P40" s="118">
        <f t="shared" si="44"/>
        <v>27.636680000000002</v>
      </c>
      <c r="Q40" s="118">
        <f t="shared" si="44"/>
        <v>27.636680000000002</v>
      </c>
      <c r="R40" s="118">
        <f t="shared" si="44"/>
        <v>27.636580000000002</v>
      </c>
      <c r="S40" s="118">
        <f t="shared" si="44"/>
        <v>27.83015</v>
      </c>
      <c r="T40" s="118">
        <f t="shared" si="44"/>
        <v>0</v>
      </c>
      <c r="U40" s="118">
        <f t="shared" si="44"/>
        <v>0</v>
      </c>
      <c r="V40" s="118">
        <f t="shared" si="44"/>
        <v>27.83015</v>
      </c>
      <c r="W40" s="118">
        <f t="shared" si="44"/>
        <v>17.039000000000001</v>
      </c>
      <c r="X40" s="118">
        <f t="shared" si="44"/>
        <v>17.039000000000001</v>
      </c>
      <c r="Y40" s="118">
        <f t="shared" si="44"/>
        <v>12.483000000000001</v>
      </c>
      <c r="Z40" s="118">
        <f t="shared" si="44"/>
        <v>14.760999999999999</v>
      </c>
      <c r="AA40" s="118">
        <f t="shared" si="44"/>
        <v>3.6230000000000002</v>
      </c>
      <c r="AB40" s="118">
        <f t="shared" si="44"/>
        <v>17.707000000000001</v>
      </c>
      <c r="AC40" s="118">
        <f t="shared" si="44"/>
        <v>10.397</v>
      </c>
      <c r="AD40" s="118">
        <f t="shared" si="44"/>
        <v>10.397</v>
      </c>
      <c r="AE40" s="118">
        <f t="shared" si="44"/>
        <v>16.901</v>
      </c>
    </row>
    <row r="41" spans="3:31" x14ac:dyDescent="0.2">
      <c r="C41" t="s">
        <v>161</v>
      </c>
      <c r="D41" s="23" t="s">
        <v>92</v>
      </c>
      <c r="E41" s="123" t="s">
        <v>212</v>
      </c>
      <c r="F41" s="107">
        <f t="shared" si="43"/>
        <v>491.16446999999982</v>
      </c>
      <c r="H41" s="118">
        <f t="shared" si="44"/>
        <v>13.533689999999998</v>
      </c>
      <c r="I41" s="118">
        <f t="shared" si="44"/>
        <v>14.114739999999999</v>
      </c>
      <c r="J41" s="118">
        <f t="shared" si="44"/>
        <v>22.291830000000001</v>
      </c>
      <c r="K41" s="118">
        <f t="shared" si="44"/>
        <v>29.253420000000002</v>
      </c>
      <c r="L41" s="118">
        <f t="shared" si="44"/>
        <v>21.71002</v>
      </c>
      <c r="M41" s="118">
        <f t="shared" si="44"/>
        <v>17.80264</v>
      </c>
      <c r="N41" s="118">
        <f t="shared" si="44"/>
        <v>20.09958</v>
      </c>
      <c r="O41" s="118">
        <f t="shared" si="44"/>
        <v>22.784520000000001</v>
      </c>
      <c r="P41" s="118">
        <f t="shared" si="44"/>
        <v>21.523389999999999</v>
      </c>
      <c r="Q41" s="118">
        <f t="shared" si="44"/>
        <v>18.733609999999995</v>
      </c>
      <c r="R41" s="118">
        <f t="shared" si="44"/>
        <v>17.757639999999999</v>
      </c>
      <c r="S41" s="118">
        <f t="shared" si="44"/>
        <v>17.225439999999999</v>
      </c>
      <c r="T41" s="118">
        <f t="shared" si="44"/>
        <v>17.436499999999999</v>
      </c>
      <c r="U41" s="118">
        <f t="shared" si="44"/>
        <v>17.243410000000001</v>
      </c>
      <c r="V41" s="118">
        <f t="shared" si="44"/>
        <v>17.48704</v>
      </c>
      <c r="W41" s="118">
        <f t="shared" si="44"/>
        <v>19.869</v>
      </c>
      <c r="X41" s="118">
        <f t="shared" si="44"/>
        <v>21.69</v>
      </c>
      <c r="Y41" s="118">
        <f t="shared" si="44"/>
        <v>25.454999999999998</v>
      </c>
      <c r="Z41" s="118">
        <f t="shared" si="44"/>
        <v>20.632999999999999</v>
      </c>
      <c r="AA41" s="118">
        <f t="shared" si="44"/>
        <v>23.547999999999998</v>
      </c>
      <c r="AB41" s="118">
        <f t="shared" si="44"/>
        <v>28.143000000000001</v>
      </c>
      <c r="AC41" s="118">
        <f t="shared" si="44"/>
        <v>25.08</v>
      </c>
      <c r="AD41" s="118">
        <f t="shared" si="44"/>
        <v>12.664</v>
      </c>
      <c r="AE41" s="118">
        <f t="shared" si="44"/>
        <v>25.085000000000001</v>
      </c>
    </row>
    <row r="42" spans="3:31" x14ac:dyDescent="0.2">
      <c r="C42" t="s">
        <v>162</v>
      </c>
      <c r="D42" s="23" t="s">
        <v>92</v>
      </c>
      <c r="E42" s="123" t="s">
        <v>213</v>
      </c>
      <c r="F42" s="107">
        <f t="shared" si="43"/>
        <v>-135.69241999999997</v>
      </c>
      <c r="H42" s="118">
        <f t="shared" ref="H42:AE42" si="45">-SUMIFS(INDEX(_HistCFS_M_Data,0,MATCH(H$5,_HistCFS_M_MonthEnd,0)),_HistCFS_M_Labels,$C42)/1000</f>
        <v>-199.523</v>
      </c>
      <c r="I42" s="118">
        <f t="shared" si="45"/>
        <v>-1</v>
      </c>
      <c r="J42" s="118">
        <f t="shared" si="45"/>
        <v>19.063860000000002</v>
      </c>
      <c r="K42" s="118">
        <f t="shared" si="45"/>
        <v>-4.0400200000000002</v>
      </c>
      <c r="L42" s="118">
        <f t="shared" si="45"/>
        <v>0</v>
      </c>
      <c r="M42" s="118">
        <f t="shared" si="45"/>
        <v>0</v>
      </c>
      <c r="N42" s="118">
        <f t="shared" si="45"/>
        <v>0</v>
      </c>
      <c r="O42" s="118">
        <f t="shared" si="45"/>
        <v>0</v>
      </c>
      <c r="P42" s="118">
        <f t="shared" si="45"/>
        <v>20</v>
      </c>
      <c r="Q42" s="118">
        <f t="shared" si="45"/>
        <v>0</v>
      </c>
      <c r="R42" s="118">
        <f t="shared" si="45"/>
        <v>0</v>
      </c>
      <c r="S42" s="118">
        <f t="shared" si="45"/>
        <v>0</v>
      </c>
      <c r="T42" s="118">
        <f t="shared" si="45"/>
        <v>0</v>
      </c>
      <c r="U42" s="118">
        <f t="shared" si="45"/>
        <v>9.8059999999999992</v>
      </c>
      <c r="V42" s="118">
        <f t="shared" si="45"/>
        <v>0</v>
      </c>
      <c r="W42" s="118">
        <f t="shared" si="45"/>
        <v>8.125</v>
      </c>
      <c r="X42" s="118">
        <f t="shared" si="45"/>
        <v>-12.24957</v>
      </c>
      <c r="Y42" s="118">
        <f t="shared" si="45"/>
        <v>6.5970000000000004</v>
      </c>
      <c r="Z42" s="118">
        <f t="shared" si="45"/>
        <v>5.6623100000000006</v>
      </c>
      <c r="AA42" s="118">
        <f t="shared" si="45"/>
        <v>4.0979999999999999</v>
      </c>
      <c r="AB42" s="118">
        <f t="shared" si="45"/>
        <v>12.166</v>
      </c>
      <c r="AC42" s="118">
        <f t="shared" si="45"/>
        <v>0</v>
      </c>
      <c r="AD42" s="118">
        <f t="shared" si="45"/>
        <v>0</v>
      </c>
      <c r="AE42" s="118">
        <f t="shared" si="45"/>
        <v>-4.3979999999999997</v>
      </c>
    </row>
    <row r="43" spans="3:31" x14ac:dyDescent="0.2">
      <c r="C43" t="s">
        <v>75</v>
      </c>
      <c r="D43" s="23" t="s">
        <v>92</v>
      </c>
      <c r="E43" s="123" t="s">
        <v>212</v>
      </c>
      <c r="F43" s="107">
        <f t="shared" si="43"/>
        <v>58.10004</v>
      </c>
      <c r="H43" s="118">
        <f t="shared" ref="H43:AE43" si="46">SUMIFS(INDEX(_HistIS_M_Data,0,MATCH(H$5,_HistIS_M_MonthEnd,0)),_HistIS_M_Labels,$C43)/1000</f>
        <v>0</v>
      </c>
      <c r="I43" s="118">
        <f t="shared" si="46"/>
        <v>0</v>
      </c>
      <c r="J43" s="118">
        <f t="shared" si="46"/>
        <v>0</v>
      </c>
      <c r="K43" s="118">
        <f t="shared" si="46"/>
        <v>0</v>
      </c>
      <c r="L43" s="118">
        <f t="shared" si="46"/>
        <v>0.5</v>
      </c>
      <c r="M43" s="118">
        <f t="shared" si="46"/>
        <v>0</v>
      </c>
      <c r="N43" s="118">
        <f t="shared" si="46"/>
        <v>0</v>
      </c>
      <c r="O43" s="118">
        <f t="shared" si="46"/>
        <v>0</v>
      </c>
      <c r="P43" s="118">
        <f t="shared" si="46"/>
        <v>0</v>
      </c>
      <c r="Q43" s="118">
        <f t="shared" si="46"/>
        <v>0</v>
      </c>
      <c r="R43" s="118">
        <f t="shared" si="46"/>
        <v>0</v>
      </c>
      <c r="S43" s="118">
        <f t="shared" si="46"/>
        <v>0</v>
      </c>
      <c r="T43" s="118">
        <f t="shared" si="46"/>
        <v>28.329930000000001</v>
      </c>
      <c r="U43" s="118">
        <f t="shared" si="46"/>
        <v>28.270109999999999</v>
      </c>
      <c r="V43" s="118">
        <f t="shared" si="46"/>
        <v>0</v>
      </c>
      <c r="W43" s="118">
        <f t="shared" si="46"/>
        <v>0</v>
      </c>
      <c r="X43" s="118">
        <f t="shared" si="46"/>
        <v>0</v>
      </c>
      <c r="Y43" s="118">
        <f t="shared" si="46"/>
        <v>0</v>
      </c>
      <c r="Z43" s="118">
        <f t="shared" si="46"/>
        <v>0</v>
      </c>
      <c r="AA43" s="118">
        <f t="shared" si="46"/>
        <v>0</v>
      </c>
      <c r="AB43" s="118">
        <f t="shared" si="46"/>
        <v>0</v>
      </c>
      <c r="AC43" s="118">
        <f t="shared" si="46"/>
        <v>0</v>
      </c>
      <c r="AD43" s="118">
        <f t="shared" si="46"/>
        <v>1</v>
      </c>
      <c r="AE43" s="118">
        <f t="shared" si="46"/>
        <v>0</v>
      </c>
    </row>
    <row r="44" spans="3:31" x14ac:dyDescent="0.2">
      <c r="C44" s="42" t="s">
        <v>163</v>
      </c>
      <c r="D44" s="43" t="s">
        <v>92</v>
      </c>
      <c r="E44" s="127"/>
      <c r="F44" s="108">
        <f t="shared" si="43"/>
        <v>2266.2181</v>
      </c>
      <c r="G44" s="42"/>
      <c r="H44" s="115">
        <f>SUM(H37:H43)</f>
        <v>-166.99027999999998</v>
      </c>
      <c r="I44" s="115">
        <f t="shared" ref="I44:P44" si="47">SUM(I37:I43)</f>
        <v>38.678999999999995</v>
      </c>
      <c r="J44" s="115">
        <f t="shared" si="47"/>
        <v>71.140840000000011</v>
      </c>
      <c r="K44" s="115">
        <f t="shared" si="47"/>
        <v>84.467029999999994</v>
      </c>
      <c r="L44" s="115">
        <f t="shared" si="47"/>
        <v>44.830730000000003</v>
      </c>
      <c r="M44" s="115">
        <f t="shared" si="47"/>
        <v>37.142200000000003</v>
      </c>
      <c r="N44" s="115">
        <f t="shared" si="47"/>
        <v>50.161640000000006</v>
      </c>
      <c r="O44" s="115">
        <f t="shared" si="47"/>
        <v>63.726749999999996</v>
      </c>
      <c r="P44" s="115">
        <f t="shared" si="47"/>
        <v>125.09148999999999</v>
      </c>
      <c r="Q44" s="115">
        <f t="shared" ref="Q44:AE44" si="48">SUM(Q37:Q43)</f>
        <v>78.300070000000005</v>
      </c>
      <c r="R44" s="115">
        <f t="shared" si="48"/>
        <v>93.873069999999998</v>
      </c>
      <c r="S44" s="115">
        <f t="shared" si="48"/>
        <v>85.997500000000002</v>
      </c>
      <c r="T44" s="115">
        <f t="shared" si="48"/>
        <v>97.609040000000007</v>
      </c>
      <c r="U44" s="115">
        <f t="shared" si="48"/>
        <v>117.43412000000001</v>
      </c>
      <c r="V44" s="115">
        <f t="shared" si="48"/>
        <v>60.872160000000001</v>
      </c>
      <c r="W44" s="115">
        <f t="shared" si="48"/>
        <v>103.75800000000001</v>
      </c>
      <c r="X44" s="115">
        <f t="shared" si="48"/>
        <v>159.74942999999996</v>
      </c>
      <c r="Y44" s="115">
        <f t="shared" si="48"/>
        <v>157.97400000000002</v>
      </c>
      <c r="Z44" s="115">
        <f t="shared" si="48"/>
        <v>104.94431</v>
      </c>
      <c r="AA44" s="115">
        <f t="shared" si="48"/>
        <v>108.28</v>
      </c>
      <c r="AB44" s="115">
        <f t="shared" si="48"/>
        <v>162.81199999999998</v>
      </c>
      <c r="AC44" s="115">
        <f t="shared" si="48"/>
        <v>175.76900000000001</v>
      </c>
      <c r="AD44" s="115">
        <f t="shared" si="48"/>
        <v>112.021</v>
      </c>
      <c r="AE44" s="115">
        <f t="shared" si="48"/>
        <v>298.57499999999993</v>
      </c>
    </row>
    <row r="45" spans="3:31" x14ac:dyDescent="0.2">
      <c r="F45" s="109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</row>
    <row r="46" spans="3:31" x14ac:dyDescent="0.2">
      <c r="C46" s="42" t="s">
        <v>121</v>
      </c>
      <c r="D46" s="43" t="s">
        <v>92</v>
      </c>
      <c r="E46" s="42"/>
      <c r="F46" s="108">
        <f>SUM(H46:AE46)</f>
        <v>12513.898300000001</v>
      </c>
      <c r="G46" s="42"/>
      <c r="H46" s="125">
        <f>SUM(H18:H19,H30,H35,H44)</f>
        <v>149.99280999999996</v>
      </c>
      <c r="I46" s="125">
        <f t="shared" ref="I46:AE46" si="49">SUM(I18:I19,I30,I35,I44)</f>
        <v>416.59019000000001</v>
      </c>
      <c r="J46" s="125">
        <f t="shared" si="49"/>
        <v>305.27989000000002</v>
      </c>
      <c r="K46" s="125">
        <f t="shared" si="49"/>
        <v>354.51782000000003</v>
      </c>
      <c r="L46" s="125">
        <f t="shared" si="49"/>
        <v>475.79428000000007</v>
      </c>
      <c r="M46" s="125">
        <f t="shared" si="49"/>
        <v>252.02581999999998</v>
      </c>
      <c r="N46" s="125">
        <f t="shared" si="49"/>
        <v>337.31456000000003</v>
      </c>
      <c r="O46" s="125">
        <f t="shared" si="49"/>
        <v>345.29608000000002</v>
      </c>
      <c r="P46" s="125">
        <f t="shared" si="49"/>
        <v>419.59436000000005</v>
      </c>
      <c r="Q46" s="125">
        <f t="shared" si="49"/>
        <v>405.14061000000004</v>
      </c>
      <c r="R46" s="125">
        <f t="shared" si="49"/>
        <v>366.12446999999997</v>
      </c>
      <c r="S46" s="125">
        <f t="shared" si="49"/>
        <v>493.24375999999995</v>
      </c>
      <c r="T46" s="125">
        <f t="shared" si="49"/>
        <v>447.04577999999998</v>
      </c>
      <c r="U46" s="125">
        <f t="shared" si="49"/>
        <v>600.55666000000008</v>
      </c>
      <c r="V46" s="125">
        <f t="shared" si="49"/>
        <v>577.30846999999994</v>
      </c>
      <c r="W46" s="125">
        <f t="shared" si="49"/>
        <v>664.05100000000004</v>
      </c>
      <c r="X46" s="125">
        <f t="shared" si="49"/>
        <v>602.86743000000001</v>
      </c>
      <c r="Y46" s="125">
        <f t="shared" si="49"/>
        <v>852.96300000000008</v>
      </c>
      <c r="Z46" s="125">
        <f t="shared" si="49"/>
        <v>643.60730999999998</v>
      </c>
      <c r="AA46" s="125">
        <f t="shared" si="49"/>
        <v>626.32199999999989</v>
      </c>
      <c r="AB46" s="125">
        <f t="shared" si="49"/>
        <v>801.63400000000001</v>
      </c>
      <c r="AC46" s="125">
        <f t="shared" si="49"/>
        <v>757.8850000000001</v>
      </c>
      <c r="AD46" s="125">
        <f t="shared" si="49"/>
        <v>717.00699999999995</v>
      </c>
      <c r="AE46" s="125">
        <f t="shared" si="49"/>
        <v>901.73599999999988</v>
      </c>
    </row>
    <row r="47" spans="3:31" hidden="1" outlineLevel="1" x14ac:dyDescent="0.2">
      <c r="C47" s="100" t="s">
        <v>214</v>
      </c>
      <c r="D47" s="101" t="s">
        <v>92</v>
      </c>
      <c r="E47" s="100"/>
      <c r="F47" s="110">
        <f>SUM(H47:AE47)</f>
        <v>12650.195720000002</v>
      </c>
      <c r="G47" s="100"/>
      <c r="H47" s="119">
        <f t="shared" ref="H47:AE47" si="50">SUMIFS(INDEX(_HistIS_M_Data,0,MATCH(H$5,_HistIS_M_MonthEnd,0)),_HistIS_M_Labels,$C47)/1000</f>
        <v>349.51581000000004</v>
      </c>
      <c r="I47" s="119">
        <f t="shared" si="50"/>
        <v>417.59018999999989</v>
      </c>
      <c r="J47" s="119">
        <f t="shared" si="50"/>
        <v>286.21603000000016</v>
      </c>
      <c r="K47" s="119">
        <f t="shared" si="50"/>
        <v>358.55783999999989</v>
      </c>
      <c r="L47" s="119">
        <f t="shared" si="50"/>
        <v>475.7942799999999</v>
      </c>
      <c r="M47" s="119">
        <f t="shared" si="50"/>
        <v>252.02581999999984</v>
      </c>
      <c r="N47" s="119">
        <f t="shared" si="50"/>
        <v>337.31456000000003</v>
      </c>
      <c r="O47" s="119">
        <f t="shared" si="50"/>
        <v>345.29607999999996</v>
      </c>
      <c r="P47" s="119">
        <f t="shared" si="50"/>
        <v>399.59436000000034</v>
      </c>
      <c r="Q47" s="119">
        <f t="shared" si="50"/>
        <v>405.14060999999987</v>
      </c>
      <c r="R47" s="119">
        <f t="shared" si="50"/>
        <v>366.12447000000003</v>
      </c>
      <c r="S47" s="119">
        <f t="shared" si="50"/>
        <v>493.24375999999984</v>
      </c>
      <c r="T47" s="119">
        <f t="shared" si="50"/>
        <v>447.04578000000015</v>
      </c>
      <c r="U47" s="119">
        <f t="shared" si="50"/>
        <v>590.75066000000015</v>
      </c>
      <c r="V47" s="119">
        <f t="shared" si="50"/>
        <v>577.30846999999983</v>
      </c>
      <c r="W47" s="119">
        <f t="shared" si="50"/>
        <v>655.92600000000004</v>
      </c>
      <c r="X47" s="119">
        <f t="shared" si="50"/>
        <v>615.11500000000001</v>
      </c>
      <c r="Y47" s="119">
        <f t="shared" si="50"/>
        <v>846.36400000000003</v>
      </c>
      <c r="Z47" s="119">
        <f t="shared" si="50"/>
        <v>637.94399999999996</v>
      </c>
      <c r="AA47" s="119">
        <f t="shared" si="50"/>
        <v>622.22500000000002</v>
      </c>
      <c r="AB47" s="119">
        <f t="shared" si="50"/>
        <v>789.46799999999996</v>
      </c>
      <c r="AC47" s="119">
        <f t="shared" si="50"/>
        <v>757.91399999999999</v>
      </c>
      <c r="AD47" s="119">
        <f t="shared" si="50"/>
        <v>717.00699999999995</v>
      </c>
      <c r="AE47" s="119">
        <f t="shared" si="50"/>
        <v>906.71400000000006</v>
      </c>
    </row>
    <row r="48" spans="3:31" hidden="1" outlineLevel="1" x14ac:dyDescent="0.2">
      <c r="C48" s="100"/>
      <c r="D48" s="101"/>
      <c r="E48" s="100"/>
      <c r="F48" s="110"/>
      <c r="G48" s="100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</row>
    <row r="49" spans="2:32" hidden="1" outlineLevel="1" x14ac:dyDescent="0.2">
      <c r="C49" s="120" t="s">
        <v>215</v>
      </c>
      <c r="D49" s="121"/>
      <c r="E49" s="120"/>
      <c r="F49" s="122">
        <f>SUM(H49:AE49)</f>
        <v>-0.60499999999999998</v>
      </c>
      <c r="G49" s="120"/>
      <c r="H49" s="190">
        <f>ROUND(H46-H42-H47,5)</f>
        <v>0</v>
      </c>
      <c r="I49" s="190">
        <f t="shared" ref="I49:P49" si="51">ROUND(I46-I42-I47,5)</f>
        <v>0</v>
      </c>
      <c r="J49" s="190">
        <f t="shared" si="51"/>
        <v>0</v>
      </c>
      <c r="K49" s="190">
        <f t="shared" si="51"/>
        <v>0</v>
      </c>
      <c r="L49" s="190">
        <f t="shared" si="51"/>
        <v>0</v>
      </c>
      <c r="M49" s="190">
        <f t="shared" si="51"/>
        <v>0</v>
      </c>
      <c r="N49" s="190">
        <f t="shared" si="51"/>
        <v>0</v>
      </c>
      <c r="O49" s="190">
        <f t="shared" si="51"/>
        <v>0</v>
      </c>
      <c r="P49" s="190">
        <f t="shared" si="51"/>
        <v>0</v>
      </c>
      <c r="Q49" s="190">
        <f t="shared" ref="Q49:AE49" si="52">ROUND(Q46-Q42-Q47,5)</f>
        <v>0</v>
      </c>
      <c r="R49" s="190">
        <f t="shared" si="52"/>
        <v>0</v>
      </c>
      <c r="S49" s="190">
        <f t="shared" si="52"/>
        <v>0</v>
      </c>
      <c r="T49" s="190">
        <f t="shared" si="52"/>
        <v>0</v>
      </c>
      <c r="U49" s="190">
        <f t="shared" si="52"/>
        <v>0</v>
      </c>
      <c r="V49" s="190">
        <f t="shared" si="52"/>
        <v>0</v>
      </c>
      <c r="W49" s="190">
        <f t="shared" si="52"/>
        <v>0</v>
      </c>
      <c r="X49" s="190">
        <f t="shared" si="52"/>
        <v>2E-3</v>
      </c>
      <c r="Y49" s="190">
        <f t="shared" si="52"/>
        <v>2E-3</v>
      </c>
      <c r="Z49" s="190">
        <f t="shared" si="52"/>
        <v>1E-3</v>
      </c>
      <c r="AA49" s="190">
        <f t="shared" si="52"/>
        <v>-1E-3</v>
      </c>
      <c r="AB49" s="190">
        <f t="shared" si="52"/>
        <v>0</v>
      </c>
      <c r="AC49" s="190">
        <f t="shared" si="52"/>
        <v>-2.9000000000000001E-2</v>
      </c>
      <c r="AD49" s="190">
        <f t="shared" si="52"/>
        <v>0</v>
      </c>
      <c r="AE49" s="190">
        <f t="shared" si="52"/>
        <v>-0.57999999999999996</v>
      </c>
      <c r="AF49" s="102"/>
    </row>
    <row r="50" spans="2:32" collapsed="1" x14ac:dyDescent="0.2">
      <c r="F50" s="109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</row>
    <row r="51" spans="2:32" ht="16" thickBot="1" x14ac:dyDescent="0.25">
      <c r="C51" s="129" t="s">
        <v>94</v>
      </c>
      <c r="D51" s="130" t="s">
        <v>92</v>
      </c>
      <c r="E51" s="129"/>
      <c r="F51" s="131">
        <f>SUM(H51:AE51)</f>
        <v>-12513.898300000001</v>
      </c>
      <c r="G51" s="129"/>
      <c r="H51" s="134">
        <f t="shared" ref="H51:AE51" si="53">H12-H46</f>
        <v>-149.99280999999996</v>
      </c>
      <c r="I51" s="134">
        <f t="shared" si="53"/>
        <v>-416.59019000000001</v>
      </c>
      <c r="J51" s="134">
        <f t="shared" si="53"/>
        <v>-305.27989000000002</v>
      </c>
      <c r="K51" s="134">
        <f t="shared" si="53"/>
        <v>-354.51782000000003</v>
      </c>
      <c r="L51" s="134">
        <f t="shared" si="53"/>
        <v>-475.79428000000007</v>
      </c>
      <c r="M51" s="134">
        <f t="shared" si="53"/>
        <v>-252.02581999999998</v>
      </c>
      <c r="N51" s="134">
        <f t="shared" si="53"/>
        <v>-337.31456000000003</v>
      </c>
      <c r="O51" s="134">
        <f t="shared" si="53"/>
        <v>-345.29608000000002</v>
      </c>
      <c r="P51" s="134">
        <f t="shared" si="53"/>
        <v>-419.59436000000005</v>
      </c>
      <c r="Q51" s="134">
        <f t="shared" si="53"/>
        <v>-405.14061000000004</v>
      </c>
      <c r="R51" s="134">
        <f t="shared" si="53"/>
        <v>-366.12446999999997</v>
      </c>
      <c r="S51" s="134">
        <f t="shared" si="53"/>
        <v>-493.24375999999995</v>
      </c>
      <c r="T51" s="134">
        <f t="shared" si="53"/>
        <v>-447.04577999999998</v>
      </c>
      <c r="U51" s="134">
        <f t="shared" si="53"/>
        <v>-600.55666000000008</v>
      </c>
      <c r="V51" s="134">
        <f t="shared" si="53"/>
        <v>-577.30846999999994</v>
      </c>
      <c r="W51" s="134">
        <f t="shared" si="53"/>
        <v>-664.05100000000004</v>
      </c>
      <c r="X51" s="134">
        <f t="shared" si="53"/>
        <v>-602.86743000000001</v>
      </c>
      <c r="Y51" s="134">
        <f t="shared" si="53"/>
        <v>-852.96300000000008</v>
      </c>
      <c r="Z51" s="134">
        <f t="shared" si="53"/>
        <v>-643.60730999999998</v>
      </c>
      <c r="AA51" s="134">
        <f t="shared" si="53"/>
        <v>-626.32199999999989</v>
      </c>
      <c r="AB51" s="134">
        <f t="shared" si="53"/>
        <v>-801.63400000000001</v>
      </c>
      <c r="AC51" s="134">
        <f t="shared" si="53"/>
        <v>-757.8850000000001</v>
      </c>
      <c r="AD51" s="134">
        <f t="shared" si="53"/>
        <v>-717.00699999999995</v>
      </c>
      <c r="AE51" s="134">
        <f t="shared" si="53"/>
        <v>-901.73599999999988</v>
      </c>
    </row>
    <row r="52" spans="2:32" x14ac:dyDescent="0.2">
      <c r="F52" s="109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</row>
    <row r="53" spans="2:32" x14ac:dyDescent="0.2">
      <c r="B53" s="20" t="s">
        <v>165</v>
      </c>
      <c r="F53" s="109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</row>
    <row r="54" spans="2:32" x14ac:dyDescent="0.2">
      <c r="C54" t="s">
        <v>165</v>
      </c>
      <c r="D54" s="23" t="s">
        <v>92</v>
      </c>
      <c r="E54" s="123" t="s">
        <v>212</v>
      </c>
      <c r="F54" s="107">
        <f>SUM(H54:AE54)</f>
        <v>2765.8875699999999</v>
      </c>
      <c r="H54" s="118">
        <f t="shared" ref="H54:AE54" si="54">SUMIFS(INDEX(_HistIS_M_Data,0,MATCH(H$5,_HistIS_M_MonthEnd,0)),_HistIS_M_Labels,$C54)/1000</f>
        <v>127.33802</v>
      </c>
      <c r="I54" s="118">
        <f t="shared" si="54"/>
        <v>97.821130000000011</v>
      </c>
      <c r="J54" s="118">
        <f t="shared" si="54"/>
        <v>41.897280000000002</v>
      </c>
      <c r="K54" s="118">
        <f t="shared" si="54"/>
        <v>133.15423999999999</v>
      </c>
      <c r="L54" s="118">
        <f t="shared" si="54"/>
        <v>24.170800000000003</v>
      </c>
      <c r="M54" s="118">
        <f t="shared" si="54"/>
        <v>356.09997999999996</v>
      </c>
      <c r="N54" s="118">
        <f t="shared" si="54"/>
        <v>166.89553999999998</v>
      </c>
      <c r="O54" s="118">
        <f t="shared" si="54"/>
        <v>44.490300000000005</v>
      </c>
      <c r="P54" s="118">
        <f t="shared" si="54"/>
        <v>17.012499999999999</v>
      </c>
      <c r="Q54" s="118">
        <f t="shared" si="54"/>
        <v>185.43836999999999</v>
      </c>
      <c r="R54" s="118">
        <f t="shared" si="54"/>
        <v>168.06539000000001</v>
      </c>
      <c r="S54" s="118">
        <f t="shared" si="54"/>
        <v>0</v>
      </c>
      <c r="T54" s="118">
        <f t="shared" si="54"/>
        <v>40.73798</v>
      </c>
      <c r="U54" s="118">
        <f t="shared" si="54"/>
        <v>117.715</v>
      </c>
      <c r="V54" s="118">
        <f t="shared" si="54"/>
        <v>27.695040000000002</v>
      </c>
      <c r="W54" s="118">
        <f t="shared" si="54"/>
        <v>152.82499999999999</v>
      </c>
      <c r="X54" s="118">
        <f t="shared" si="54"/>
        <v>0</v>
      </c>
      <c r="Y54" s="118">
        <f t="shared" si="54"/>
        <v>182.828</v>
      </c>
      <c r="Z54" s="118">
        <f t="shared" si="54"/>
        <v>129.261</v>
      </c>
      <c r="AA54" s="118">
        <f t="shared" si="54"/>
        <v>1.619</v>
      </c>
      <c r="AB54" s="118">
        <f t="shared" si="54"/>
        <v>255.024</v>
      </c>
      <c r="AC54" s="118">
        <f t="shared" si="54"/>
        <v>130.09800000000001</v>
      </c>
      <c r="AD54" s="118">
        <f t="shared" si="54"/>
        <v>168.33099999999999</v>
      </c>
      <c r="AE54" s="118">
        <f t="shared" si="54"/>
        <v>197.37</v>
      </c>
    </row>
    <row r="55" spans="2:32" x14ac:dyDescent="0.2">
      <c r="C55" t="s">
        <v>166</v>
      </c>
      <c r="D55" s="23" t="s">
        <v>92</v>
      </c>
      <c r="E55" s="123" t="s">
        <v>213</v>
      </c>
      <c r="F55" s="107">
        <f>SUM(H55:AE55)</f>
        <v>829.39949000000013</v>
      </c>
      <c r="H55" s="118">
        <f t="shared" ref="H55:AE55" si="55">-SUMIFS(INDEX(_HistCFS_M_Data,0,MATCH(H$5,_HistCFS_M_MonthEnd,0)),_HistCFS_M_Labels,$C55)/1000</f>
        <v>0</v>
      </c>
      <c r="I55" s="118">
        <f t="shared" si="55"/>
        <v>64.400210000000001</v>
      </c>
      <c r="J55" s="118">
        <f t="shared" si="55"/>
        <v>25.306139999999999</v>
      </c>
      <c r="K55" s="118">
        <f t="shared" si="55"/>
        <v>49.308590000000002</v>
      </c>
      <c r="L55" s="118">
        <f t="shared" si="55"/>
        <v>30.169190000000004</v>
      </c>
      <c r="M55" s="118">
        <f t="shared" si="55"/>
        <v>0</v>
      </c>
      <c r="N55" s="118">
        <f t="shared" si="55"/>
        <v>21.09731</v>
      </c>
      <c r="O55" s="118">
        <f t="shared" si="55"/>
        <v>103.31705000000001</v>
      </c>
      <c r="P55" s="118">
        <f t="shared" si="55"/>
        <v>45.894489999999998</v>
      </c>
      <c r="Q55" s="118">
        <f t="shared" si="55"/>
        <v>28.926729999999999</v>
      </c>
      <c r="R55" s="118">
        <f t="shared" si="55"/>
        <v>73.876460000000009</v>
      </c>
      <c r="S55" s="118">
        <f t="shared" si="55"/>
        <v>67.937449999999998</v>
      </c>
      <c r="T55" s="118">
        <f t="shared" si="55"/>
        <v>-0.23499999999999999</v>
      </c>
      <c r="U55" s="118">
        <f t="shared" si="55"/>
        <v>0</v>
      </c>
      <c r="V55" s="118">
        <f t="shared" si="55"/>
        <v>64.097059999999999</v>
      </c>
      <c r="W55" s="118">
        <f t="shared" si="55"/>
        <v>125.35405</v>
      </c>
      <c r="X55" s="118">
        <f t="shared" si="55"/>
        <v>42.573039999999999</v>
      </c>
      <c r="Y55" s="118">
        <f t="shared" si="55"/>
        <v>-5.6507800000000028</v>
      </c>
      <c r="Z55" s="118">
        <f t="shared" si="55"/>
        <v>-70.113309999999998</v>
      </c>
      <c r="AA55" s="118">
        <f t="shared" si="55"/>
        <v>27.961369999999999</v>
      </c>
      <c r="AB55" s="118">
        <f t="shared" si="55"/>
        <v>48.748860000000001</v>
      </c>
      <c r="AC55" s="118">
        <f t="shared" si="55"/>
        <v>35.903500000000001</v>
      </c>
      <c r="AD55" s="118">
        <f t="shared" si="55"/>
        <v>29.178190000000001</v>
      </c>
      <c r="AE55" s="118">
        <f t="shared" si="55"/>
        <v>21.348890000000001</v>
      </c>
    </row>
    <row r="56" spans="2:32" x14ac:dyDescent="0.2">
      <c r="C56" t="s">
        <v>167</v>
      </c>
      <c r="D56" s="23" t="s">
        <v>92</v>
      </c>
      <c r="E56" s="123" t="s">
        <v>212</v>
      </c>
      <c r="F56" s="107">
        <f>SUM(H56:AE56)</f>
        <v>13333.25179</v>
      </c>
      <c r="H56" s="118">
        <f t="shared" ref="H56:AE56" si="56">SUMIFS(INDEX(_HistIS_M_Data,0,MATCH(H$5,_HistIS_M_MonthEnd,0)),_HistIS_M_Labels,$C56)/1000</f>
        <v>8.4578700000000016</v>
      </c>
      <c r="I56" s="118">
        <f t="shared" si="56"/>
        <v>16</v>
      </c>
      <c r="J56" s="118">
        <f t="shared" si="56"/>
        <v>480.66629</v>
      </c>
      <c r="K56" s="118">
        <f t="shared" si="56"/>
        <v>276.22384999999997</v>
      </c>
      <c r="L56" s="118">
        <f t="shared" si="56"/>
        <v>62.380330000000001</v>
      </c>
      <c r="M56" s="118">
        <f t="shared" si="56"/>
        <v>468.60730000000001</v>
      </c>
      <c r="N56" s="118">
        <f t="shared" si="56"/>
        <v>1198.3943200000001</v>
      </c>
      <c r="O56" s="118">
        <f t="shared" si="56"/>
        <v>679.38807999999995</v>
      </c>
      <c r="P56" s="118">
        <f t="shared" si="56"/>
        <v>2153.86285</v>
      </c>
      <c r="Q56" s="118">
        <f t="shared" si="56"/>
        <v>616.52413999999999</v>
      </c>
      <c r="R56" s="118">
        <f t="shared" si="56"/>
        <v>2031.6865600000001</v>
      </c>
      <c r="S56" s="118">
        <f t="shared" si="56"/>
        <v>436.9522</v>
      </c>
      <c r="T56" s="118">
        <f t="shared" si="56"/>
        <v>347.07299999999998</v>
      </c>
      <c r="U56" s="118">
        <f t="shared" si="56"/>
        <v>342.44799999999998</v>
      </c>
      <c r="V56" s="118">
        <f t="shared" si="56"/>
        <v>2909.6010000000001</v>
      </c>
      <c r="W56" s="118">
        <f t="shared" si="56"/>
        <v>277.435</v>
      </c>
      <c r="X56" s="118">
        <f t="shared" si="56"/>
        <v>142.917</v>
      </c>
      <c r="Y56" s="118">
        <f t="shared" si="56"/>
        <v>261.93099999999998</v>
      </c>
      <c r="Z56" s="118">
        <f t="shared" si="56"/>
        <v>203.249</v>
      </c>
      <c r="AA56" s="118">
        <f t="shared" si="56"/>
        <v>80.887</v>
      </c>
      <c r="AB56" s="118">
        <f t="shared" si="56"/>
        <v>300.87599999999998</v>
      </c>
      <c r="AC56" s="118">
        <f t="shared" si="56"/>
        <v>37.021999999999998</v>
      </c>
      <c r="AD56" s="118">
        <f t="shared" si="56"/>
        <v>0.372</v>
      </c>
      <c r="AE56" s="118">
        <f t="shared" si="56"/>
        <v>0.29699999999999999</v>
      </c>
    </row>
    <row r="57" spans="2:32" x14ac:dyDescent="0.2">
      <c r="C57" s="42" t="s">
        <v>168</v>
      </c>
      <c r="D57" s="43" t="s">
        <v>92</v>
      </c>
      <c r="E57" s="42"/>
      <c r="F57" s="108">
        <f>SUM(H57:AE57)</f>
        <v>16928.538849999997</v>
      </c>
      <c r="G57" s="42"/>
      <c r="H57" s="115">
        <f t="shared" ref="H57:P57" si="57">SUM(H54:H56)</f>
        <v>135.79589000000001</v>
      </c>
      <c r="I57" s="115">
        <f t="shared" si="57"/>
        <v>178.22134</v>
      </c>
      <c r="J57" s="115">
        <f t="shared" si="57"/>
        <v>547.86970999999994</v>
      </c>
      <c r="K57" s="115">
        <f t="shared" si="57"/>
        <v>458.68667999999997</v>
      </c>
      <c r="L57" s="115">
        <f t="shared" si="57"/>
        <v>116.72032000000002</v>
      </c>
      <c r="M57" s="115">
        <f t="shared" si="57"/>
        <v>824.70727999999997</v>
      </c>
      <c r="N57" s="115">
        <f t="shared" si="57"/>
        <v>1386.38717</v>
      </c>
      <c r="O57" s="115">
        <f t="shared" si="57"/>
        <v>827.19542999999999</v>
      </c>
      <c r="P57" s="115">
        <f t="shared" si="57"/>
        <v>2216.7698399999999</v>
      </c>
      <c r="Q57" s="115">
        <f t="shared" ref="Q57:AE57" si="58">SUM(Q54:Q56)</f>
        <v>830.88923999999997</v>
      </c>
      <c r="R57" s="115">
        <f t="shared" si="58"/>
        <v>2273.6284100000003</v>
      </c>
      <c r="S57" s="115">
        <f t="shared" si="58"/>
        <v>504.88965000000002</v>
      </c>
      <c r="T57" s="115">
        <f t="shared" si="58"/>
        <v>387.57597999999996</v>
      </c>
      <c r="U57" s="115">
        <f t="shared" si="58"/>
        <v>460.16300000000001</v>
      </c>
      <c r="V57" s="115">
        <f t="shared" si="58"/>
        <v>3001.3931000000002</v>
      </c>
      <c r="W57" s="115">
        <f t="shared" si="58"/>
        <v>555.61404999999991</v>
      </c>
      <c r="X57" s="115">
        <f t="shared" si="58"/>
        <v>185.49003999999999</v>
      </c>
      <c r="Y57" s="115">
        <f t="shared" si="58"/>
        <v>439.10821999999996</v>
      </c>
      <c r="Z57" s="115">
        <f t="shared" si="58"/>
        <v>262.39668999999998</v>
      </c>
      <c r="AA57" s="115">
        <f t="shared" si="58"/>
        <v>110.46737</v>
      </c>
      <c r="AB57" s="115">
        <f t="shared" si="58"/>
        <v>604.64886000000001</v>
      </c>
      <c r="AC57" s="115">
        <f t="shared" si="58"/>
        <v>203.02350000000001</v>
      </c>
      <c r="AD57" s="115">
        <f t="shared" si="58"/>
        <v>197.88119</v>
      </c>
      <c r="AE57" s="115">
        <f t="shared" si="58"/>
        <v>219.01589000000001</v>
      </c>
    </row>
    <row r="58" spans="2:32" hidden="1" outlineLevel="1" x14ac:dyDescent="0.2">
      <c r="C58" s="100" t="s">
        <v>216</v>
      </c>
      <c r="D58" s="101" t="s">
        <v>92</v>
      </c>
      <c r="E58" s="100"/>
      <c r="F58" s="110">
        <f>SUM(H58:AE58)</f>
        <v>16099.140359999999</v>
      </c>
      <c r="G58" s="100"/>
      <c r="H58" s="119">
        <f t="shared" ref="H58:AE58" si="59">SUMIFS(INDEX(_HistIS_M_Data,0,MATCH(H$5,_HistIS_M_MonthEnd,0)),_HistIS_M_Labels,$C58)/1000</f>
        <v>135.79589000000001</v>
      </c>
      <c r="I58" s="119">
        <f t="shared" si="59"/>
        <v>113.82113000000001</v>
      </c>
      <c r="J58" s="119">
        <f t="shared" si="59"/>
        <v>522.56356999999991</v>
      </c>
      <c r="K58" s="119">
        <f t="shared" si="59"/>
        <v>409.37809000000004</v>
      </c>
      <c r="L58" s="119">
        <f t="shared" si="59"/>
        <v>86.551130000000001</v>
      </c>
      <c r="M58" s="119">
        <f t="shared" si="59"/>
        <v>824.70728000000008</v>
      </c>
      <c r="N58" s="119">
        <f t="shared" si="59"/>
        <v>1365.2898600000001</v>
      </c>
      <c r="O58" s="119">
        <f t="shared" si="59"/>
        <v>723.87837999999999</v>
      </c>
      <c r="P58" s="119">
        <f t="shared" si="59"/>
        <v>2170.8753500000003</v>
      </c>
      <c r="Q58" s="119">
        <f t="shared" si="59"/>
        <v>801.96251000000007</v>
      </c>
      <c r="R58" s="119">
        <f t="shared" si="59"/>
        <v>2199.7519499999999</v>
      </c>
      <c r="S58" s="119">
        <f t="shared" si="59"/>
        <v>436.9522</v>
      </c>
      <c r="T58" s="119">
        <f t="shared" si="59"/>
        <v>387.81097999999997</v>
      </c>
      <c r="U58" s="119">
        <f t="shared" si="59"/>
        <v>460.16300000000001</v>
      </c>
      <c r="V58" s="119">
        <f t="shared" si="59"/>
        <v>2937.2960400000002</v>
      </c>
      <c r="W58" s="119">
        <f t="shared" si="59"/>
        <v>430.26100000000002</v>
      </c>
      <c r="X58" s="119">
        <f t="shared" si="59"/>
        <v>142.917</v>
      </c>
      <c r="Y58" s="119">
        <f t="shared" si="59"/>
        <v>444.75900000000001</v>
      </c>
      <c r="Z58" s="119">
        <f t="shared" si="59"/>
        <v>332.50900000000001</v>
      </c>
      <c r="AA58" s="119">
        <f t="shared" si="59"/>
        <v>82.506</v>
      </c>
      <c r="AB58" s="119">
        <f t="shared" si="59"/>
        <v>555.90099999999995</v>
      </c>
      <c r="AC58" s="119">
        <f t="shared" si="59"/>
        <v>167.119</v>
      </c>
      <c r="AD58" s="119">
        <f t="shared" si="59"/>
        <v>168.703</v>
      </c>
      <c r="AE58" s="119">
        <f t="shared" si="59"/>
        <v>197.66800000000001</v>
      </c>
    </row>
    <row r="59" spans="2:32" hidden="1" outlineLevel="1" x14ac:dyDescent="0.2">
      <c r="C59" s="100"/>
      <c r="D59" s="101"/>
      <c r="E59" s="100"/>
      <c r="F59" s="110"/>
      <c r="G59" s="100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</row>
    <row r="60" spans="2:32" hidden="1" outlineLevel="1" x14ac:dyDescent="0.2">
      <c r="C60" s="120" t="s">
        <v>215</v>
      </c>
      <c r="D60" s="121"/>
      <c r="E60" s="120"/>
      <c r="F60" s="122">
        <f>SUM(H60:AE60)</f>
        <v>-1E-3</v>
      </c>
      <c r="G60" s="120"/>
      <c r="H60" s="190">
        <f t="shared" ref="H60:P60" si="60">ROUND(SUM(H54,H56)-H58,5)</f>
        <v>0</v>
      </c>
      <c r="I60" s="190">
        <f t="shared" si="60"/>
        <v>0</v>
      </c>
      <c r="J60" s="190">
        <f t="shared" si="60"/>
        <v>0</v>
      </c>
      <c r="K60" s="190">
        <f t="shared" si="60"/>
        <v>0</v>
      </c>
      <c r="L60" s="190">
        <f t="shared" si="60"/>
        <v>0</v>
      </c>
      <c r="M60" s="190">
        <f t="shared" si="60"/>
        <v>0</v>
      </c>
      <c r="N60" s="190">
        <f t="shared" si="60"/>
        <v>0</v>
      </c>
      <c r="O60" s="190">
        <f t="shared" si="60"/>
        <v>0</v>
      </c>
      <c r="P60" s="190">
        <f t="shared" si="60"/>
        <v>0</v>
      </c>
      <c r="Q60" s="190">
        <f t="shared" ref="Q60:AE60" si="61">ROUND(SUM(Q54,Q56)-Q58,5)</f>
        <v>0</v>
      </c>
      <c r="R60" s="190">
        <f t="shared" si="61"/>
        <v>0</v>
      </c>
      <c r="S60" s="190">
        <f t="shared" si="61"/>
        <v>0</v>
      </c>
      <c r="T60" s="190">
        <f t="shared" si="61"/>
        <v>0</v>
      </c>
      <c r="U60" s="190">
        <f t="shared" si="61"/>
        <v>0</v>
      </c>
      <c r="V60" s="190">
        <f t="shared" si="61"/>
        <v>0</v>
      </c>
      <c r="W60" s="190">
        <f t="shared" si="61"/>
        <v>-1E-3</v>
      </c>
      <c r="X60" s="190">
        <f t="shared" si="61"/>
        <v>0</v>
      </c>
      <c r="Y60" s="190">
        <f t="shared" si="61"/>
        <v>0</v>
      </c>
      <c r="Z60" s="190">
        <f t="shared" si="61"/>
        <v>1E-3</v>
      </c>
      <c r="AA60" s="190">
        <f t="shared" si="61"/>
        <v>0</v>
      </c>
      <c r="AB60" s="190">
        <f t="shared" si="61"/>
        <v>-1E-3</v>
      </c>
      <c r="AC60" s="190">
        <f t="shared" si="61"/>
        <v>1E-3</v>
      </c>
      <c r="AD60" s="190">
        <f t="shared" si="61"/>
        <v>0</v>
      </c>
      <c r="AE60" s="190">
        <f t="shared" si="61"/>
        <v>-1E-3</v>
      </c>
    </row>
    <row r="61" spans="2:32" collapsed="1" x14ac:dyDescent="0.2">
      <c r="B61" s="20"/>
      <c r="F61" s="109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</row>
    <row r="62" spans="2:32" ht="16" thickBot="1" x14ac:dyDescent="0.25">
      <c r="C62" s="129" t="s">
        <v>217</v>
      </c>
      <c r="D62" s="130" t="s">
        <v>92</v>
      </c>
      <c r="E62" s="129"/>
      <c r="F62" s="131">
        <f>SUM(H62:AE62)</f>
        <v>-29442.437150000002</v>
      </c>
      <c r="G62" s="129"/>
      <c r="H62" s="134">
        <f t="shared" ref="H62:P62" si="62">H51-H57</f>
        <v>-285.78869999999995</v>
      </c>
      <c r="I62" s="134">
        <f t="shared" si="62"/>
        <v>-594.81152999999995</v>
      </c>
      <c r="J62" s="134">
        <f t="shared" si="62"/>
        <v>-853.14959999999996</v>
      </c>
      <c r="K62" s="134">
        <f t="shared" si="62"/>
        <v>-813.20450000000005</v>
      </c>
      <c r="L62" s="134">
        <f t="shared" si="62"/>
        <v>-592.51460000000009</v>
      </c>
      <c r="M62" s="134">
        <f t="shared" si="62"/>
        <v>-1076.7330999999999</v>
      </c>
      <c r="N62" s="134">
        <f t="shared" si="62"/>
        <v>-1723.70173</v>
      </c>
      <c r="O62" s="134">
        <f t="shared" si="62"/>
        <v>-1172.4915100000001</v>
      </c>
      <c r="P62" s="134">
        <f t="shared" si="62"/>
        <v>-2636.3642</v>
      </c>
      <c r="Q62" s="134">
        <f t="shared" ref="Q62:AE62" si="63">Q51-Q57</f>
        <v>-1236.0298499999999</v>
      </c>
      <c r="R62" s="134">
        <f t="shared" si="63"/>
        <v>-2639.75288</v>
      </c>
      <c r="S62" s="134">
        <f t="shared" si="63"/>
        <v>-998.13340999999991</v>
      </c>
      <c r="T62" s="134">
        <f t="shared" si="63"/>
        <v>-834.62175999999999</v>
      </c>
      <c r="U62" s="134">
        <f t="shared" si="63"/>
        <v>-1060.7196600000002</v>
      </c>
      <c r="V62" s="134">
        <f t="shared" si="63"/>
        <v>-3578.7015700000002</v>
      </c>
      <c r="W62" s="134">
        <f t="shared" si="63"/>
        <v>-1219.6650500000001</v>
      </c>
      <c r="X62" s="134">
        <f t="shared" si="63"/>
        <v>-788.35747000000003</v>
      </c>
      <c r="Y62" s="134">
        <f t="shared" si="63"/>
        <v>-1292.07122</v>
      </c>
      <c r="Z62" s="134">
        <f t="shared" si="63"/>
        <v>-906.00399999999991</v>
      </c>
      <c r="AA62" s="134">
        <f t="shared" si="63"/>
        <v>-736.78936999999985</v>
      </c>
      <c r="AB62" s="134">
        <f t="shared" si="63"/>
        <v>-1406.28286</v>
      </c>
      <c r="AC62" s="134">
        <f t="shared" si="63"/>
        <v>-960.90850000000012</v>
      </c>
      <c r="AD62" s="134">
        <f t="shared" si="63"/>
        <v>-914.8881899999999</v>
      </c>
      <c r="AE62" s="134">
        <f t="shared" si="63"/>
        <v>-1120.75189</v>
      </c>
    </row>
    <row r="63" spans="2:32" x14ac:dyDescent="0.2">
      <c r="F63" s="27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</row>
    <row r="64" spans="2:32" x14ac:dyDescent="0.2">
      <c r="B64" s="20" t="s">
        <v>218</v>
      </c>
      <c r="F64" s="109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</row>
    <row r="65" spans="1:31" x14ac:dyDescent="0.2">
      <c r="C65" t="s">
        <v>126</v>
      </c>
      <c r="D65" s="23" t="s">
        <v>92</v>
      </c>
      <c r="E65" s="123" t="s">
        <v>212</v>
      </c>
      <c r="F65" s="107">
        <f>SUM(H65:AE65)</f>
        <v>433.73530000000005</v>
      </c>
      <c r="H65" s="118">
        <f t="shared" ref="H65:AE66" si="64">SUMIFS(INDEX(_HistIS_M_Data,0,MATCH(H$5,_HistIS_M_MonthEnd,0)),_HistIS_M_Labels,$C65)/1000</f>
        <v>0</v>
      </c>
      <c r="I65" s="118">
        <f t="shared" si="64"/>
        <v>0</v>
      </c>
      <c r="J65" s="118">
        <f t="shared" si="64"/>
        <v>0</v>
      </c>
      <c r="K65" s="118">
        <f t="shared" si="64"/>
        <v>0</v>
      </c>
      <c r="L65" s="118">
        <f t="shared" si="64"/>
        <v>0</v>
      </c>
      <c r="M65" s="118">
        <f t="shared" si="64"/>
        <v>0</v>
      </c>
      <c r="N65" s="118">
        <f t="shared" si="64"/>
        <v>0</v>
      </c>
      <c r="O65" s="118">
        <f t="shared" si="64"/>
        <v>0</v>
      </c>
      <c r="P65" s="118">
        <f t="shared" si="64"/>
        <v>4.0250000000000004</v>
      </c>
      <c r="Q65" s="118">
        <f t="shared" si="64"/>
        <v>0</v>
      </c>
      <c r="R65" s="118">
        <f t="shared" si="64"/>
        <v>3.6173000000000002</v>
      </c>
      <c r="S65" s="118">
        <f t="shared" si="64"/>
        <v>1.1379999999999999</v>
      </c>
      <c r="T65" s="118">
        <f t="shared" si="64"/>
        <v>0</v>
      </c>
      <c r="U65" s="118">
        <f t="shared" si="64"/>
        <v>0</v>
      </c>
      <c r="V65" s="118">
        <f t="shared" si="64"/>
        <v>5.0750000000000002</v>
      </c>
      <c r="W65" s="118">
        <f t="shared" si="64"/>
        <v>7.2</v>
      </c>
      <c r="X65" s="118">
        <f t="shared" si="64"/>
        <v>3.5</v>
      </c>
      <c r="Y65" s="118">
        <f t="shared" si="64"/>
        <v>81.796999999999997</v>
      </c>
      <c r="Z65" s="118">
        <f t="shared" si="64"/>
        <v>64.567999999999998</v>
      </c>
      <c r="AA65" s="118">
        <f t="shared" si="64"/>
        <v>208.739</v>
      </c>
      <c r="AB65" s="118">
        <f t="shared" si="64"/>
        <v>4.6079999999999997</v>
      </c>
      <c r="AC65" s="118">
        <f t="shared" si="64"/>
        <v>3.1459999999999999</v>
      </c>
      <c r="AD65" s="118">
        <f t="shared" si="64"/>
        <v>10.247999999999999</v>
      </c>
      <c r="AE65" s="118">
        <f t="shared" si="64"/>
        <v>36.073999999999998</v>
      </c>
    </row>
    <row r="66" spans="1:31" x14ac:dyDescent="0.2">
      <c r="C66" t="s">
        <v>127</v>
      </c>
      <c r="D66" s="23" t="s">
        <v>92</v>
      </c>
      <c r="E66" s="123" t="s">
        <v>212</v>
      </c>
      <c r="F66" s="107">
        <f>SUM(H66:AE66)</f>
        <v>47.080000000000005</v>
      </c>
      <c r="H66" s="118">
        <f t="shared" si="64"/>
        <v>0</v>
      </c>
      <c r="I66" s="118">
        <f t="shared" si="64"/>
        <v>0</v>
      </c>
      <c r="J66" s="118">
        <f t="shared" si="64"/>
        <v>0</v>
      </c>
      <c r="K66" s="118">
        <f t="shared" si="64"/>
        <v>0</v>
      </c>
      <c r="L66" s="118">
        <f t="shared" si="64"/>
        <v>0</v>
      </c>
      <c r="M66" s="118">
        <f t="shared" si="64"/>
        <v>16.626000000000001</v>
      </c>
      <c r="N66" s="118">
        <f t="shared" si="64"/>
        <v>25.042000000000002</v>
      </c>
      <c r="O66" s="118">
        <f t="shared" si="64"/>
        <v>5.4119999999999999</v>
      </c>
      <c r="P66" s="118">
        <f t="shared" si="64"/>
        <v>0</v>
      </c>
      <c r="Q66" s="118">
        <f t="shared" si="64"/>
        <v>0</v>
      </c>
      <c r="R66" s="118">
        <f t="shared" si="64"/>
        <v>0</v>
      </c>
      <c r="S66" s="118">
        <f t="shared" si="64"/>
        <v>0</v>
      </c>
      <c r="T66" s="118">
        <f t="shared" si="64"/>
        <v>0</v>
      </c>
      <c r="U66" s="118">
        <f t="shared" si="64"/>
        <v>0</v>
      </c>
      <c r="V66" s="118">
        <f t="shared" si="64"/>
        <v>0</v>
      </c>
      <c r="W66" s="118">
        <f t="shared" si="64"/>
        <v>0</v>
      </c>
      <c r="X66" s="118">
        <f t="shared" si="64"/>
        <v>0</v>
      </c>
      <c r="Y66" s="118">
        <f t="shared" si="64"/>
        <v>0</v>
      </c>
      <c r="Z66" s="118">
        <f t="shared" si="64"/>
        <v>0</v>
      </c>
      <c r="AA66" s="118">
        <f t="shared" si="64"/>
        <v>0</v>
      </c>
      <c r="AB66" s="118">
        <f t="shared" si="64"/>
        <v>0</v>
      </c>
      <c r="AC66" s="118">
        <f t="shared" si="64"/>
        <v>0</v>
      </c>
      <c r="AD66" s="118">
        <f t="shared" si="64"/>
        <v>0</v>
      </c>
      <c r="AE66" s="118">
        <f t="shared" si="64"/>
        <v>0</v>
      </c>
    </row>
    <row r="67" spans="1:31" x14ac:dyDescent="0.2">
      <c r="C67" s="42" t="s">
        <v>129</v>
      </c>
      <c r="D67" s="43" t="s">
        <v>92</v>
      </c>
      <c r="E67" s="42"/>
      <c r="F67" s="108">
        <f>SUM(H67:AE67)</f>
        <v>480.81529999999998</v>
      </c>
      <c r="G67" s="42"/>
      <c r="H67" s="115">
        <f>SUM(H65:H66)</f>
        <v>0</v>
      </c>
      <c r="I67" s="115">
        <f t="shared" ref="I67:P67" si="65">SUM(I65:I66)</f>
        <v>0</v>
      </c>
      <c r="J67" s="115">
        <f t="shared" si="65"/>
        <v>0</v>
      </c>
      <c r="K67" s="115">
        <f t="shared" si="65"/>
        <v>0</v>
      </c>
      <c r="L67" s="115">
        <f t="shared" si="65"/>
        <v>0</v>
      </c>
      <c r="M67" s="115">
        <f t="shared" si="65"/>
        <v>16.626000000000001</v>
      </c>
      <c r="N67" s="115">
        <f t="shared" si="65"/>
        <v>25.042000000000002</v>
      </c>
      <c r="O67" s="115">
        <f t="shared" si="65"/>
        <v>5.4119999999999999</v>
      </c>
      <c r="P67" s="115">
        <f t="shared" si="65"/>
        <v>4.0250000000000004</v>
      </c>
      <c r="Q67" s="115">
        <f t="shared" ref="Q67:AE67" si="66">SUM(Q65:Q66)</f>
        <v>0</v>
      </c>
      <c r="R67" s="115">
        <f t="shared" si="66"/>
        <v>3.6173000000000002</v>
      </c>
      <c r="S67" s="115">
        <f t="shared" si="66"/>
        <v>1.1379999999999999</v>
      </c>
      <c r="T67" s="115">
        <f t="shared" si="66"/>
        <v>0</v>
      </c>
      <c r="U67" s="115">
        <f t="shared" si="66"/>
        <v>0</v>
      </c>
      <c r="V67" s="115">
        <f t="shared" si="66"/>
        <v>5.0750000000000002</v>
      </c>
      <c r="W67" s="115">
        <f t="shared" si="66"/>
        <v>7.2</v>
      </c>
      <c r="X67" s="115">
        <f t="shared" si="66"/>
        <v>3.5</v>
      </c>
      <c r="Y67" s="115">
        <f t="shared" si="66"/>
        <v>81.796999999999997</v>
      </c>
      <c r="Z67" s="115">
        <f t="shared" si="66"/>
        <v>64.567999999999998</v>
      </c>
      <c r="AA67" s="115">
        <f t="shared" si="66"/>
        <v>208.739</v>
      </c>
      <c r="AB67" s="115">
        <f t="shared" si="66"/>
        <v>4.6079999999999997</v>
      </c>
      <c r="AC67" s="115">
        <f t="shared" si="66"/>
        <v>3.1459999999999999</v>
      </c>
      <c r="AD67" s="115">
        <f t="shared" si="66"/>
        <v>10.247999999999999</v>
      </c>
      <c r="AE67" s="115">
        <f t="shared" si="66"/>
        <v>36.073999999999998</v>
      </c>
    </row>
    <row r="68" spans="1:31" hidden="1" outlineLevel="1" x14ac:dyDescent="0.2">
      <c r="C68" s="100" t="s">
        <v>218</v>
      </c>
      <c r="D68" s="101" t="s">
        <v>92</v>
      </c>
      <c r="E68" s="100"/>
      <c r="F68" s="110">
        <f>SUM(H68:AE68)</f>
        <v>433.73530000000005</v>
      </c>
      <c r="G68" s="100"/>
      <c r="H68" s="119">
        <f t="shared" ref="H68:AE68" si="67">SUMIFS(INDEX(_HistIS_M_Data,0,MATCH(H$5,_HistIS_M_MonthEnd,0)),_HistIS_M_Labels,$C68)/1000</f>
        <v>0</v>
      </c>
      <c r="I68" s="119">
        <f t="shared" si="67"/>
        <v>0</v>
      </c>
      <c r="J68" s="119">
        <f t="shared" si="67"/>
        <v>0</v>
      </c>
      <c r="K68" s="119">
        <f t="shared" si="67"/>
        <v>0</v>
      </c>
      <c r="L68" s="119">
        <f t="shared" si="67"/>
        <v>0</v>
      </c>
      <c r="M68" s="119">
        <f t="shared" si="67"/>
        <v>0</v>
      </c>
      <c r="N68" s="119">
        <f t="shared" si="67"/>
        <v>0</v>
      </c>
      <c r="O68" s="119">
        <f t="shared" si="67"/>
        <v>0</v>
      </c>
      <c r="P68" s="119">
        <f t="shared" si="67"/>
        <v>4.0250000000000004</v>
      </c>
      <c r="Q68" s="119">
        <f t="shared" si="67"/>
        <v>0</v>
      </c>
      <c r="R68" s="119">
        <f t="shared" si="67"/>
        <v>3.6173000000000002</v>
      </c>
      <c r="S68" s="119">
        <f t="shared" si="67"/>
        <v>1.1379999999999999</v>
      </c>
      <c r="T68" s="119">
        <f t="shared" si="67"/>
        <v>0</v>
      </c>
      <c r="U68" s="119">
        <f t="shared" si="67"/>
        <v>0</v>
      </c>
      <c r="V68" s="119">
        <f t="shared" si="67"/>
        <v>5.0750000000000002</v>
      </c>
      <c r="W68" s="119">
        <f t="shared" si="67"/>
        <v>7.2</v>
      </c>
      <c r="X68" s="119">
        <f t="shared" si="67"/>
        <v>3.5</v>
      </c>
      <c r="Y68" s="119">
        <f t="shared" si="67"/>
        <v>81.796999999999997</v>
      </c>
      <c r="Z68" s="119">
        <f t="shared" si="67"/>
        <v>64.567999999999998</v>
      </c>
      <c r="AA68" s="119">
        <f t="shared" si="67"/>
        <v>208.739</v>
      </c>
      <c r="AB68" s="119">
        <f t="shared" si="67"/>
        <v>4.6079999999999997</v>
      </c>
      <c r="AC68" s="119">
        <f t="shared" si="67"/>
        <v>3.1459999999999999</v>
      </c>
      <c r="AD68" s="119">
        <f t="shared" si="67"/>
        <v>10.247999999999999</v>
      </c>
      <c r="AE68" s="119">
        <f t="shared" si="67"/>
        <v>36.073999999999998</v>
      </c>
    </row>
    <row r="69" spans="1:31" hidden="1" outlineLevel="1" x14ac:dyDescent="0.2">
      <c r="C69" s="100"/>
      <c r="D69" s="101"/>
      <c r="E69" s="100"/>
      <c r="F69" s="110"/>
      <c r="G69" s="100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</row>
    <row r="70" spans="1:31" hidden="1" outlineLevel="1" x14ac:dyDescent="0.2">
      <c r="C70" s="120" t="s">
        <v>215</v>
      </c>
      <c r="D70" s="121"/>
      <c r="E70" s="120"/>
      <c r="F70" s="122">
        <f>SUM(H70:AE70)</f>
        <v>0</v>
      </c>
      <c r="G70" s="120"/>
      <c r="H70" s="190">
        <f>ROUND(H65-H68,5)</f>
        <v>0</v>
      </c>
      <c r="I70" s="190">
        <f t="shared" ref="I70:P70" si="68">ROUND(I65-I68,5)</f>
        <v>0</v>
      </c>
      <c r="J70" s="190">
        <f t="shared" si="68"/>
        <v>0</v>
      </c>
      <c r="K70" s="190">
        <f t="shared" si="68"/>
        <v>0</v>
      </c>
      <c r="L70" s="190">
        <f t="shared" si="68"/>
        <v>0</v>
      </c>
      <c r="M70" s="190">
        <f t="shared" si="68"/>
        <v>0</v>
      </c>
      <c r="N70" s="190">
        <f t="shared" si="68"/>
        <v>0</v>
      </c>
      <c r="O70" s="190">
        <f t="shared" si="68"/>
        <v>0</v>
      </c>
      <c r="P70" s="190">
        <f t="shared" si="68"/>
        <v>0</v>
      </c>
      <c r="Q70" s="190">
        <f t="shared" ref="Q70:AE70" si="69">ROUND(Q65-Q68,5)</f>
        <v>0</v>
      </c>
      <c r="R70" s="190">
        <f t="shared" si="69"/>
        <v>0</v>
      </c>
      <c r="S70" s="190">
        <f t="shared" si="69"/>
        <v>0</v>
      </c>
      <c r="T70" s="190">
        <f t="shared" si="69"/>
        <v>0</v>
      </c>
      <c r="U70" s="190">
        <f t="shared" si="69"/>
        <v>0</v>
      </c>
      <c r="V70" s="190">
        <f t="shared" si="69"/>
        <v>0</v>
      </c>
      <c r="W70" s="190">
        <f t="shared" si="69"/>
        <v>0</v>
      </c>
      <c r="X70" s="190">
        <f t="shared" si="69"/>
        <v>0</v>
      </c>
      <c r="Y70" s="190">
        <f t="shared" si="69"/>
        <v>0</v>
      </c>
      <c r="Z70" s="190">
        <f t="shared" si="69"/>
        <v>0</v>
      </c>
      <c r="AA70" s="190">
        <f t="shared" si="69"/>
        <v>0</v>
      </c>
      <c r="AB70" s="190">
        <f t="shared" si="69"/>
        <v>0</v>
      </c>
      <c r="AC70" s="190">
        <f t="shared" si="69"/>
        <v>0</v>
      </c>
      <c r="AD70" s="190">
        <f t="shared" si="69"/>
        <v>0</v>
      </c>
      <c r="AE70" s="190">
        <f t="shared" si="69"/>
        <v>0</v>
      </c>
    </row>
    <row r="71" spans="1:31" collapsed="1" x14ac:dyDescent="0.2">
      <c r="C71" s="100"/>
      <c r="D71" s="101"/>
      <c r="E71" s="100"/>
      <c r="F71" s="110"/>
      <c r="G71" s="100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</row>
    <row r="72" spans="1:31" ht="16" thickBot="1" x14ac:dyDescent="0.25">
      <c r="C72" s="129" t="s">
        <v>219</v>
      </c>
      <c r="D72" s="130" t="s">
        <v>92</v>
      </c>
      <c r="E72" s="129"/>
      <c r="F72" s="131">
        <f>SUM(H72:AE72)</f>
        <v>-29923.252449999996</v>
      </c>
      <c r="G72" s="129"/>
      <c r="H72" s="134">
        <f>H62-H67</f>
        <v>-285.78869999999995</v>
      </c>
      <c r="I72" s="134">
        <f t="shared" ref="I72:AE72" si="70">I62-I67</f>
        <v>-594.81152999999995</v>
      </c>
      <c r="J72" s="134">
        <f t="shared" si="70"/>
        <v>-853.14959999999996</v>
      </c>
      <c r="K72" s="134">
        <f t="shared" si="70"/>
        <v>-813.20450000000005</v>
      </c>
      <c r="L72" s="134">
        <f t="shared" si="70"/>
        <v>-592.51460000000009</v>
      </c>
      <c r="M72" s="134">
        <f t="shared" si="70"/>
        <v>-1093.3590999999999</v>
      </c>
      <c r="N72" s="134">
        <f t="shared" si="70"/>
        <v>-1748.7437299999999</v>
      </c>
      <c r="O72" s="134">
        <f t="shared" si="70"/>
        <v>-1177.9035100000001</v>
      </c>
      <c r="P72" s="134">
        <f t="shared" si="70"/>
        <v>-2640.3892000000001</v>
      </c>
      <c r="Q72" s="134">
        <f t="shared" si="70"/>
        <v>-1236.0298499999999</v>
      </c>
      <c r="R72" s="134">
        <f t="shared" si="70"/>
        <v>-2643.3701799999999</v>
      </c>
      <c r="S72" s="134">
        <f t="shared" si="70"/>
        <v>-999.27140999999995</v>
      </c>
      <c r="T72" s="134">
        <f t="shared" si="70"/>
        <v>-834.62175999999999</v>
      </c>
      <c r="U72" s="134">
        <f t="shared" si="70"/>
        <v>-1060.7196600000002</v>
      </c>
      <c r="V72" s="134">
        <f t="shared" si="70"/>
        <v>-3583.77657</v>
      </c>
      <c r="W72" s="134">
        <f t="shared" si="70"/>
        <v>-1226.8650500000001</v>
      </c>
      <c r="X72" s="134">
        <f t="shared" si="70"/>
        <v>-791.85747000000003</v>
      </c>
      <c r="Y72" s="134">
        <f t="shared" si="70"/>
        <v>-1373.8682200000001</v>
      </c>
      <c r="Z72" s="134">
        <f t="shared" si="70"/>
        <v>-970.57199999999989</v>
      </c>
      <c r="AA72" s="134">
        <f t="shared" si="70"/>
        <v>-945.52836999999988</v>
      </c>
      <c r="AB72" s="134">
        <f t="shared" si="70"/>
        <v>-1410.89086</v>
      </c>
      <c r="AC72" s="134">
        <f t="shared" si="70"/>
        <v>-964.05450000000008</v>
      </c>
      <c r="AD72" s="134">
        <f t="shared" si="70"/>
        <v>-925.13618999999994</v>
      </c>
      <c r="AE72" s="134">
        <f t="shared" si="70"/>
        <v>-1156.8258900000001</v>
      </c>
    </row>
    <row r="73" spans="1:31" x14ac:dyDescent="0.2">
      <c r="D73" s="23"/>
      <c r="F73" s="107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</row>
    <row r="74" spans="1:31" x14ac:dyDescent="0.2">
      <c r="A74" s="15" t="s">
        <v>220</v>
      </c>
      <c r="B74" s="15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</row>
    <row r="75" spans="1:31" x14ac:dyDescent="0.2">
      <c r="F75" s="27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</row>
    <row r="76" spans="1:31" x14ac:dyDescent="0.2">
      <c r="B76" s="20" t="s">
        <v>102</v>
      </c>
      <c r="F76" s="27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 spans="1:31" x14ac:dyDescent="0.2">
      <c r="C77" t="s">
        <v>102</v>
      </c>
      <c r="D77" s="23" t="s">
        <v>92</v>
      </c>
      <c r="E77" s="123" t="s">
        <v>212</v>
      </c>
      <c r="F77" s="107">
        <f>SUM(H77:AE77)</f>
        <v>212.35</v>
      </c>
      <c r="H77" s="118">
        <f t="shared" ref="H77:AE77" si="71">SUMIFS(INDEX(_HistIS_M_Data,0,MATCH(H$5,_HistIS_M_MonthEnd,0)),_HistIS_M_Labels,$C77)/1000</f>
        <v>0</v>
      </c>
      <c r="I77" s="118">
        <f t="shared" si="71"/>
        <v>0</v>
      </c>
      <c r="J77" s="118">
        <f t="shared" si="71"/>
        <v>0</v>
      </c>
      <c r="K77" s="118">
        <f t="shared" si="71"/>
        <v>0</v>
      </c>
      <c r="L77" s="118">
        <f t="shared" si="71"/>
        <v>0</v>
      </c>
      <c r="M77" s="118">
        <f t="shared" si="71"/>
        <v>0</v>
      </c>
      <c r="N77" s="118">
        <f t="shared" si="71"/>
        <v>0</v>
      </c>
      <c r="O77" s="118">
        <f t="shared" si="71"/>
        <v>0</v>
      </c>
      <c r="P77" s="118">
        <f t="shared" si="71"/>
        <v>0</v>
      </c>
      <c r="Q77" s="118">
        <f t="shared" si="71"/>
        <v>0</v>
      </c>
      <c r="R77" s="118">
        <f t="shared" si="71"/>
        <v>0</v>
      </c>
      <c r="S77" s="118">
        <f t="shared" si="71"/>
        <v>0</v>
      </c>
      <c r="T77" s="118">
        <f t="shared" si="71"/>
        <v>0</v>
      </c>
      <c r="U77" s="118">
        <f t="shared" si="71"/>
        <v>0</v>
      </c>
      <c r="V77" s="118">
        <f t="shared" si="71"/>
        <v>0</v>
      </c>
      <c r="W77" s="118">
        <f t="shared" si="71"/>
        <v>9.7219999999999995</v>
      </c>
      <c r="X77" s="118">
        <f t="shared" si="71"/>
        <v>17.451000000000001</v>
      </c>
      <c r="Y77" s="118">
        <f t="shared" si="71"/>
        <v>34.83</v>
      </c>
      <c r="Z77" s="118">
        <f t="shared" si="71"/>
        <v>27.562000000000001</v>
      </c>
      <c r="AA77" s="118">
        <f t="shared" si="71"/>
        <v>26.809000000000001</v>
      </c>
      <c r="AB77" s="118">
        <f t="shared" si="71"/>
        <v>25.253</v>
      </c>
      <c r="AC77" s="118">
        <f t="shared" si="71"/>
        <v>24.981999999999999</v>
      </c>
      <c r="AD77" s="118">
        <f t="shared" si="71"/>
        <v>22.934000000000001</v>
      </c>
      <c r="AE77" s="118">
        <f t="shared" si="71"/>
        <v>22.806999999999999</v>
      </c>
    </row>
    <row r="78" spans="1:31" x14ac:dyDescent="0.2">
      <c r="C78" t="s">
        <v>174</v>
      </c>
      <c r="D78" s="23" t="s">
        <v>92</v>
      </c>
      <c r="E78" s="123" t="s">
        <v>212</v>
      </c>
      <c r="F78" s="107">
        <f>SUM(H78:AE78)</f>
        <v>908.94194000000005</v>
      </c>
      <c r="H78" s="118">
        <f t="shared" ref="H78:AE78" si="72">SUMIFS(INDEX(_HistIS_M_Data,0,MATCH(H$5,_HistIS_M_MonthEnd,0)),_HistIS_M_Labels,$C78)/1000</f>
        <v>34.969859999999997</v>
      </c>
      <c r="I78" s="118">
        <f t="shared" si="72"/>
        <v>40.894930000000002</v>
      </c>
      <c r="J78" s="118">
        <f t="shared" si="72"/>
        <v>54.251429999999999</v>
      </c>
      <c r="K78" s="118">
        <f t="shared" si="72"/>
        <v>58.667169999999999</v>
      </c>
      <c r="L78" s="118">
        <f t="shared" si="72"/>
        <v>69.167050000000003</v>
      </c>
      <c r="M78" s="118">
        <f t="shared" si="72"/>
        <v>70.23308999999999</v>
      </c>
      <c r="N78" s="118">
        <f t="shared" si="72"/>
        <v>69.258710000000008</v>
      </c>
      <c r="O78" s="118">
        <f t="shared" si="72"/>
        <v>63.56653</v>
      </c>
      <c r="P78" s="118">
        <f t="shared" si="72"/>
        <v>56.891889999999997</v>
      </c>
      <c r="Q78" s="118">
        <f t="shared" si="72"/>
        <v>50.840559999999996</v>
      </c>
      <c r="R78" s="118">
        <f t="shared" si="72"/>
        <v>37.700969999999998</v>
      </c>
      <c r="S78" s="118">
        <f t="shared" si="72"/>
        <v>31.923279999999998</v>
      </c>
      <c r="T78" s="118">
        <f t="shared" si="72"/>
        <v>27.62865</v>
      </c>
      <c r="U78" s="118">
        <f t="shared" si="72"/>
        <v>21.741569999999999</v>
      </c>
      <c r="V78" s="118">
        <f t="shared" si="72"/>
        <v>13.689249999999999</v>
      </c>
      <c r="W78" s="118">
        <f t="shared" si="72"/>
        <v>0</v>
      </c>
      <c r="X78" s="118">
        <f t="shared" si="72"/>
        <v>19.529</v>
      </c>
      <c r="Y78" s="118">
        <f t="shared" si="72"/>
        <v>36.680999999999997</v>
      </c>
      <c r="Z78" s="118">
        <f t="shared" si="72"/>
        <v>37.975000000000001</v>
      </c>
      <c r="AA78" s="118">
        <f t="shared" si="72"/>
        <v>33.222999999999999</v>
      </c>
      <c r="AB78" s="118">
        <f t="shared" si="72"/>
        <v>27.257999999999999</v>
      </c>
      <c r="AC78" s="118">
        <f t="shared" si="72"/>
        <v>22.14</v>
      </c>
      <c r="AD78" s="118">
        <f t="shared" si="72"/>
        <v>17.027000000000001</v>
      </c>
      <c r="AE78" s="118">
        <f t="shared" si="72"/>
        <v>13.683999999999999</v>
      </c>
    </row>
    <row r="79" spans="1:31" x14ac:dyDescent="0.2">
      <c r="C79" s="42" t="s">
        <v>221</v>
      </c>
      <c r="D79" s="43" t="s">
        <v>92</v>
      </c>
      <c r="E79" s="42"/>
      <c r="F79" s="108">
        <f>SUM(H79:AE79)</f>
        <v>-696.59193999999991</v>
      </c>
      <c r="G79" s="42"/>
      <c r="H79" s="125">
        <f>H77-H78</f>
        <v>-34.969859999999997</v>
      </c>
      <c r="I79" s="125">
        <f t="shared" ref="I79:P79" si="73">I77-I78</f>
        <v>-40.894930000000002</v>
      </c>
      <c r="J79" s="125">
        <f t="shared" si="73"/>
        <v>-54.251429999999999</v>
      </c>
      <c r="K79" s="125">
        <f t="shared" si="73"/>
        <v>-58.667169999999999</v>
      </c>
      <c r="L79" s="125">
        <f t="shared" si="73"/>
        <v>-69.167050000000003</v>
      </c>
      <c r="M79" s="125">
        <f t="shared" si="73"/>
        <v>-70.23308999999999</v>
      </c>
      <c r="N79" s="125">
        <f t="shared" si="73"/>
        <v>-69.258710000000008</v>
      </c>
      <c r="O79" s="125">
        <f t="shared" si="73"/>
        <v>-63.56653</v>
      </c>
      <c r="P79" s="125">
        <f t="shared" si="73"/>
        <v>-56.891889999999997</v>
      </c>
      <c r="Q79" s="125">
        <f t="shared" ref="Q79:AE79" si="74">Q77-Q78</f>
        <v>-50.840559999999996</v>
      </c>
      <c r="R79" s="125">
        <f t="shared" si="74"/>
        <v>-37.700969999999998</v>
      </c>
      <c r="S79" s="125">
        <f t="shared" si="74"/>
        <v>-31.923279999999998</v>
      </c>
      <c r="T79" s="125">
        <f t="shared" si="74"/>
        <v>-27.62865</v>
      </c>
      <c r="U79" s="125">
        <f t="shared" si="74"/>
        <v>-21.741569999999999</v>
      </c>
      <c r="V79" s="125">
        <f t="shared" si="74"/>
        <v>-13.689249999999999</v>
      </c>
      <c r="W79" s="125">
        <f t="shared" si="74"/>
        <v>9.7219999999999995</v>
      </c>
      <c r="X79" s="125">
        <f t="shared" si="74"/>
        <v>-2.0779999999999994</v>
      </c>
      <c r="Y79" s="125">
        <f t="shared" si="74"/>
        <v>-1.8509999999999991</v>
      </c>
      <c r="Z79" s="125">
        <f t="shared" si="74"/>
        <v>-10.413</v>
      </c>
      <c r="AA79" s="125">
        <f t="shared" si="74"/>
        <v>-6.4139999999999979</v>
      </c>
      <c r="AB79" s="125">
        <f t="shared" si="74"/>
        <v>-2.004999999999999</v>
      </c>
      <c r="AC79" s="125">
        <f t="shared" si="74"/>
        <v>2.8419999999999987</v>
      </c>
      <c r="AD79" s="125">
        <f t="shared" si="74"/>
        <v>5.907</v>
      </c>
      <c r="AE79" s="125">
        <f t="shared" si="74"/>
        <v>9.1229999999999993</v>
      </c>
    </row>
    <row r="80" spans="1:31" x14ac:dyDescent="0.2">
      <c r="F80" s="27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 spans="1:31" x14ac:dyDescent="0.2">
      <c r="B81" s="20" t="s">
        <v>175</v>
      </c>
      <c r="F81" s="27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</row>
    <row r="82" spans="1:31" x14ac:dyDescent="0.2">
      <c r="C82" t="s">
        <v>175</v>
      </c>
      <c r="D82" s="23" t="s">
        <v>92</v>
      </c>
      <c r="E82" s="123" t="s">
        <v>212</v>
      </c>
      <c r="F82" s="107">
        <f>SUM(H82:AE82)</f>
        <v>32.604579999999999</v>
      </c>
      <c r="H82" s="118">
        <f t="shared" ref="H82:AE82" si="75">SUMIFS(INDEX(_HistIS_M_Data,0,MATCH(H$5,_HistIS_M_MonthEnd,0)),_HistIS_M_Labels,$C82)/1000</f>
        <v>0</v>
      </c>
      <c r="I82" s="118">
        <f t="shared" si="75"/>
        <v>2.8664399999999999</v>
      </c>
      <c r="J82" s="118">
        <f t="shared" si="75"/>
        <v>0</v>
      </c>
      <c r="K82" s="118">
        <f t="shared" si="75"/>
        <v>0</v>
      </c>
      <c r="L82" s="118">
        <f t="shared" si="75"/>
        <v>0</v>
      </c>
      <c r="M82" s="118">
        <f t="shared" si="75"/>
        <v>0</v>
      </c>
      <c r="N82" s="118">
        <f t="shared" si="75"/>
        <v>0</v>
      </c>
      <c r="O82" s="118">
        <f t="shared" si="75"/>
        <v>0</v>
      </c>
      <c r="P82" s="118">
        <f t="shared" si="75"/>
        <v>2.5000000000000001E-2</v>
      </c>
      <c r="Q82" s="118">
        <f t="shared" si="75"/>
        <v>0</v>
      </c>
      <c r="R82" s="118">
        <f t="shared" si="75"/>
        <v>0</v>
      </c>
      <c r="S82" s="118">
        <f t="shared" si="75"/>
        <v>0</v>
      </c>
      <c r="T82" s="118">
        <f t="shared" si="75"/>
        <v>0</v>
      </c>
      <c r="U82" s="118">
        <f t="shared" si="75"/>
        <v>0</v>
      </c>
      <c r="V82" s="118">
        <f t="shared" si="75"/>
        <v>14.921139999999999</v>
      </c>
      <c r="W82" s="118">
        <f t="shared" si="75"/>
        <v>0</v>
      </c>
      <c r="X82" s="118">
        <f t="shared" si="75"/>
        <v>0</v>
      </c>
      <c r="Y82" s="118">
        <f t="shared" si="75"/>
        <v>0</v>
      </c>
      <c r="Z82" s="118">
        <f t="shared" si="75"/>
        <v>0</v>
      </c>
      <c r="AA82" s="118">
        <f t="shared" si="75"/>
        <v>0</v>
      </c>
      <c r="AB82" s="118">
        <f t="shared" si="75"/>
        <v>0</v>
      </c>
      <c r="AC82" s="118">
        <f t="shared" si="75"/>
        <v>0.8</v>
      </c>
      <c r="AD82" s="118">
        <f t="shared" si="75"/>
        <v>0.98099999999999998</v>
      </c>
      <c r="AE82" s="118">
        <f t="shared" si="75"/>
        <v>13.010999999999999</v>
      </c>
    </row>
    <row r="83" spans="1:31" x14ac:dyDescent="0.2">
      <c r="F83" s="27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</row>
    <row r="84" spans="1:31" ht="16" thickBot="1" x14ac:dyDescent="0.25">
      <c r="C84" s="129" t="s">
        <v>173</v>
      </c>
      <c r="D84" s="130" t="s">
        <v>92</v>
      </c>
      <c r="E84" s="129"/>
      <c r="F84" s="131">
        <f>SUM(H84:AE84)</f>
        <v>-29259.265090000001</v>
      </c>
      <c r="G84" s="129"/>
      <c r="H84" s="134">
        <f>H72-H79-H82</f>
        <v>-250.81883999999997</v>
      </c>
      <c r="I84" s="134">
        <f t="shared" ref="I84:P84" si="76">I72-I79-I82</f>
        <v>-556.78303999999991</v>
      </c>
      <c r="J84" s="134">
        <f t="shared" si="76"/>
        <v>-798.89816999999994</v>
      </c>
      <c r="K84" s="134">
        <f t="shared" si="76"/>
        <v>-754.53733000000011</v>
      </c>
      <c r="L84" s="134">
        <f t="shared" si="76"/>
        <v>-523.34755000000007</v>
      </c>
      <c r="M84" s="134">
        <f t="shared" si="76"/>
        <v>-1023.12601</v>
      </c>
      <c r="N84" s="134">
        <f t="shared" si="76"/>
        <v>-1679.4850199999998</v>
      </c>
      <c r="O84" s="134">
        <f t="shared" si="76"/>
        <v>-1114.33698</v>
      </c>
      <c r="P84" s="134">
        <f t="shared" si="76"/>
        <v>-2583.5223100000003</v>
      </c>
      <c r="Q84" s="134">
        <f t="shared" ref="Q84:AE84" si="77">Q72-Q79-Q82</f>
        <v>-1185.1892899999998</v>
      </c>
      <c r="R84" s="134">
        <f t="shared" si="77"/>
        <v>-2605.66921</v>
      </c>
      <c r="S84" s="134">
        <f t="shared" si="77"/>
        <v>-967.34812999999997</v>
      </c>
      <c r="T84" s="134">
        <f t="shared" si="77"/>
        <v>-806.99311</v>
      </c>
      <c r="U84" s="134">
        <f t="shared" si="77"/>
        <v>-1038.9780900000003</v>
      </c>
      <c r="V84" s="134">
        <f t="shared" si="77"/>
        <v>-3585.00846</v>
      </c>
      <c r="W84" s="134">
        <f t="shared" si="77"/>
        <v>-1236.5870500000001</v>
      </c>
      <c r="X84" s="134">
        <f t="shared" si="77"/>
        <v>-789.77947000000006</v>
      </c>
      <c r="Y84" s="134">
        <f t="shared" si="77"/>
        <v>-1372.0172200000002</v>
      </c>
      <c r="Z84" s="134">
        <f t="shared" si="77"/>
        <v>-960.15899999999988</v>
      </c>
      <c r="AA84" s="134">
        <f t="shared" si="77"/>
        <v>-939.11436999999989</v>
      </c>
      <c r="AB84" s="134">
        <f t="shared" si="77"/>
        <v>-1408.8858599999999</v>
      </c>
      <c r="AC84" s="134">
        <f t="shared" si="77"/>
        <v>-967.69650000000001</v>
      </c>
      <c r="AD84" s="134">
        <f t="shared" si="77"/>
        <v>-932.02418999999998</v>
      </c>
      <c r="AE84" s="134">
        <f t="shared" si="77"/>
        <v>-1178.9598900000001</v>
      </c>
    </row>
    <row r="85" spans="1:31" x14ac:dyDescent="0.2">
      <c r="F85" s="27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</row>
    <row r="86" spans="1:31" x14ac:dyDescent="0.2">
      <c r="A86" s="15" t="s">
        <v>222</v>
      </c>
      <c r="B86" s="15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</row>
    <row r="87" spans="1:31" x14ac:dyDescent="0.2">
      <c r="F87" s="27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</row>
    <row r="88" spans="1:31" x14ac:dyDescent="0.2">
      <c r="B88" s="20" t="s">
        <v>223</v>
      </c>
      <c r="F88" s="27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</row>
    <row r="89" spans="1:31" x14ac:dyDescent="0.2">
      <c r="C89" t="s">
        <v>176</v>
      </c>
      <c r="D89" s="23" t="s">
        <v>92</v>
      </c>
      <c r="E89" s="123" t="s">
        <v>224</v>
      </c>
      <c r="F89" s="107"/>
      <c r="H89" s="124">
        <f>G98</f>
        <v>3791.3040000000001</v>
      </c>
      <c r="I89" s="124">
        <f t="shared" ref="I89:P89" si="78">H98</f>
        <v>12169.435649999999</v>
      </c>
      <c r="J89" s="124">
        <f t="shared" si="78"/>
        <v>11289.14467</v>
      </c>
      <c r="K89" s="124">
        <f t="shared" si="78"/>
        <v>16445.41646</v>
      </c>
      <c r="L89" s="124">
        <f t="shared" si="78"/>
        <v>18340.620880000002</v>
      </c>
      <c r="M89" s="124">
        <f t="shared" si="78"/>
        <v>19141.439590000009</v>
      </c>
      <c r="N89" s="124">
        <f t="shared" si="78"/>
        <v>18317.375220000009</v>
      </c>
      <c r="O89" s="124">
        <f t="shared" si="78"/>
        <v>17262.017280000011</v>
      </c>
      <c r="P89" s="124">
        <f t="shared" si="78"/>
        <v>15935.300290000012</v>
      </c>
      <c r="Q89" s="124">
        <f t="shared" ref="Q89" si="79">P98</f>
        <v>14750.146510000013</v>
      </c>
      <c r="R89" s="124">
        <f t="shared" ref="R89" si="80">Q98</f>
        <v>12293.710590000013</v>
      </c>
      <c r="S89" s="124">
        <f t="shared" ref="S89" si="81">R98</f>
        <v>10264.785570000015</v>
      </c>
      <c r="T89" s="124">
        <f t="shared" ref="T89" si="82">S98</f>
        <v>8841.3917300000157</v>
      </c>
      <c r="U89" s="124">
        <f t="shared" ref="U89" si="83">T98</f>
        <v>7958.217440000014</v>
      </c>
      <c r="V89" s="124">
        <f t="shared" ref="V89" si="84">U98</f>
        <v>14459.918840000013</v>
      </c>
      <c r="W89" s="124">
        <f t="shared" ref="W89" si="85">V98</f>
        <v>13080.819370000012</v>
      </c>
      <c r="X89" s="124">
        <f t="shared" ref="X89" si="86">W98</f>
        <v>12825.140160000012</v>
      </c>
      <c r="Y89" s="124">
        <f t="shared" ref="Y89" si="87">X98</f>
        <v>13380.307510000011</v>
      </c>
      <c r="Z89" s="124">
        <f t="shared" ref="Z89" si="88">Y98</f>
        <v>12151.545550000013</v>
      </c>
      <c r="AA89" s="124">
        <f t="shared" ref="AA89" si="89">Z98</f>
        <v>11120.557220000013</v>
      </c>
      <c r="AB89" s="124">
        <f t="shared" ref="AB89" si="90">AA98</f>
        <v>9534.918080000014</v>
      </c>
      <c r="AC89" s="124">
        <f>AB98</f>
        <v>8208.623510000014</v>
      </c>
      <c r="AD89" s="124">
        <f t="shared" ref="AD89" si="91">AC98</f>
        <v>6858.4347300000136</v>
      </c>
      <c r="AE89" s="124">
        <f t="shared" ref="AE89" si="92">AD98</f>
        <v>6148.907350000014</v>
      </c>
    </row>
    <row r="90" spans="1:31" x14ac:dyDescent="0.2">
      <c r="C90" t="s">
        <v>177</v>
      </c>
      <c r="D90" s="23" t="s">
        <v>92</v>
      </c>
      <c r="E90" s="123"/>
      <c r="F90" s="107">
        <f t="shared" ref="F90:F97" si="93">SUM(H90:AE90)</f>
        <v>-29259.265090000001</v>
      </c>
      <c r="H90" s="124">
        <f>H84</f>
        <v>-250.81883999999997</v>
      </c>
      <c r="I90" s="124">
        <f t="shared" ref="I90:P90" si="94">I84</f>
        <v>-556.78303999999991</v>
      </c>
      <c r="J90" s="124">
        <f t="shared" si="94"/>
        <v>-798.89816999999994</v>
      </c>
      <c r="K90" s="124">
        <f t="shared" si="94"/>
        <v>-754.53733000000011</v>
      </c>
      <c r="L90" s="124">
        <f t="shared" si="94"/>
        <v>-523.34755000000007</v>
      </c>
      <c r="M90" s="124">
        <f t="shared" si="94"/>
        <v>-1023.12601</v>
      </c>
      <c r="N90" s="124">
        <f t="shared" si="94"/>
        <v>-1679.4850199999998</v>
      </c>
      <c r="O90" s="124">
        <f t="shared" si="94"/>
        <v>-1114.33698</v>
      </c>
      <c r="P90" s="124">
        <f t="shared" si="94"/>
        <v>-2583.5223100000003</v>
      </c>
      <c r="Q90" s="124">
        <f t="shared" ref="Q90:AE90" si="95">Q84</f>
        <v>-1185.1892899999998</v>
      </c>
      <c r="R90" s="124">
        <f t="shared" si="95"/>
        <v>-2605.66921</v>
      </c>
      <c r="S90" s="124">
        <f t="shared" si="95"/>
        <v>-967.34812999999997</v>
      </c>
      <c r="T90" s="124">
        <f t="shared" si="95"/>
        <v>-806.99311</v>
      </c>
      <c r="U90" s="124">
        <f t="shared" si="95"/>
        <v>-1038.9780900000003</v>
      </c>
      <c r="V90" s="124">
        <f t="shared" si="95"/>
        <v>-3585.00846</v>
      </c>
      <c r="W90" s="124">
        <f t="shared" si="95"/>
        <v>-1236.5870500000001</v>
      </c>
      <c r="X90" s="124">
        <f t="shared" si="95"/>
        <v>-789.77947000000006</v>
      </c>
      <c r="Y90" s="124">
        <f t="shared" si="95"/>
        <v>-1372.0172200000002</v>
      </c>
      <c r="Z90" s="124">
        <f t="shared" si="95"/>
        <v>-960.15899999999988</v>
      </c>
      <c r="AA90" s="124">
        <f t="shared" si="95"/>
        <v>-939.11436999999989</v>
      </c>
      <c r="AB90" s="124">
        <f t="shared" si="95"/>
        <v>-1408.8858599999999</v>
      </c>
      <c r="AC90" s="124">
        <f t="shared" si="95"/>
        <v>-967.69650000000001</v>
      </c>
      <c r="AD90" s="124">
        <f t="shared" si="95"/>
        <v>-932.02418999999998</v>
      </c>
      <c r="AE90" s="124">
        <f t="shared" si="95"/>
        <v>-1178.9598900000001</v>
      </c>
    </row>
    <row r="91" spans="1:31" x14ac:dyDescent="0.2">
      <c r="C91" t="s">
        <v>178</v>
      </c>
      <c r="D91" s="23" t="s">
        <v>92</v>
      </c>
      <c r="F91" s="107">
        <f t="shared" si="93"/>
        <v>-6096.9479499999998</v>
      </c>
      <c r="H91" s="124">
        <f t="shared" ref="H91:P91" si="96">H104</f>
        <v>-1241.0833799999998</v>
      </c>
      <c r="I91" s="124">
        <f t="shared" si="96"/>
        <v>-229.1525</v>
      </c>
      <c r="J91" s="124">
        <f t="shared" si="96"/>
        <v>-148.50089000000003</v>
      </c>
      <c r="K91" s="124">
        <f t="shared" si="96"/>
        <v>463.41822999999999</v>
      </c>
      <c r="L91" s="124">
        <f t="shared" si="96"/>
        <v>-253.19127999999998</v>
      </c>
      <c r="M91" s="124">
        <f t="shared" si="96"/>
        <v>215.97138000000001</v>
      </c>
      <c r="N91" s="124">
        <f t="shared" si="96"/>
        <v>132.50682</v>
      </c>
      <c r="O91" s="124">
        <f t="shared" si="96"/>
        <v>-208.43045000000001</v>
      </c>
      <c r="P91" s="124">
        <f t="shared" si="96"/>
        <v>1399.3981500000002</v>
      </c>
      <c r="Q91" s="124">
        <f t="shared" ref="Q91:AE91" si="97">Q104</f>
        <v>-1270.1829500000001</v>
      </c>
      <c r="R91" s="124">
        <f t="shared" si="97"/>
        <v>577.80786999999998</v>
      </c>
      <c r="S91" s="124">
        <f t="shared" si="97"/>
        <v>-454.98202999999995</v>
      </c>
      <c r="T91" s="124">
        <f t="shared" si="97"/>
        <v>-75.08417000000064</v>
      </c>
      <c r="U91" s="124">
        <f t="shared" si="97"/>
        <v>-835.41061999999999</v>
      </c>
      <c r="V91" s="124">
        <f t="shared" si="97"/>
        <v>-2284.6875</v>
      </c>
      <c r="W91" s="124">
        <f t="shared" si="97"/>
        <v>-1517.24073</v>
      </c>
      <c r="X91" s="124">
        <f t="shared" si="97"/>
        <v>-655.58684000000005</v>
      </c>
      <c r="Y91" s="124">
        <f t="shared" si="97"/>
        <v>194.08329999999998</v>
      </c>
      <c r="Z91" s="124">
        <f t="shared" si="97"/>
        <v>151.36833999999996</v>
      </c>
      <c r="AA91" s="124">
        <f t="shared" si="97"/>
        <v>-474.91640000000001</v>
      </c>
      <c r="AB91" s="124">
        <f t="shared" si="97"/>
        <v>331.72389000000004</v>
      </c>
      <c r="AC91" s="124">
        <f t="shared" si="97"/>
        <v>-235.06468000000001</v>
      </c>
      <c r="AD91" s="124">
        <f t="shared" si="97"/>
        <v>354.10641000000004</v>
      </c>
      <c r="AE91" s="124">
        <f t="shared" si="97"/>
        <v>-33.817920000000015</v>
      </c>
    </row>
    <row r="92" spans="1:31" x14ac:dyDescent="0.2">
      <c r="C92" t="s">
        <v>179</v>
      </c>
      <c r="D92" s="23" t="s">
        <v>92</v>
      </c>
      <c r="F92" s="107">
        <f t="shared" si="93"/>
        <v>-187.08036999999996</v>
      </c>
      <c r="H92" s="124">
        <f>H109</f>
        <v>-0.76516999999999991</v>
      </c>
      <c r="I92" s="124">
        <f t="shared" ref="I92:P92" si="98">I109</f>
        <v>-0.59094000000000002</v>
      </c>
      <c r="J92" s="124">
        <f t="shared" si="98"/>
        <v>-0.59094000000000013</v>
      </c>
      <c r="K92" s="124">
        <f t="shared" si="98"/>
        <v>-2.2181800000000003</v>
      </c>
      <c r="L92" s="124">
        <f t="shared" si="98"/>
        <v>-0.59094000000000002</v>
      </c>
      <c r="M92" s="124">
        <f t="shared" si="98"/>
        <v>-0.59094000000000002</v>
      </c>
      <c r="N92" s="124">
        <f t="shared" si="98"/>
        <v>-0.59094000000000002</v>
      </c>
      <c r="O92" s="124">
        <f t="shared" si="98"/>
        <v>-2.3142600000000004</v>
      </c>
      <c r="P92" s="124">
        <f t="shared" si="98"/>
        <v>-1.02962</v>
      </c>
      <c r="Q92" s="124">
        <f t="shared" ref="Q92:AE92" si="99">Q109</f>
        <v>-1.06368</v>
      </c>
      <c r="R92" s="124">
        <f t="shared" si="99"/>
        <v>-1.06368</v>
      </c>
      <c r="S92" s="124">
        <f t="shared" si="99"/>
        <v>-1.06368</v>
      </c>
      <c r="T92" s="124">
        <f t="shared" si="99"/>
        <v>-1.09701</v>
      </c>
      <c r="U92" s="124">
        <f t="shared" si="99"/>
        <v>-1.09701</v>
      </c>
      <c r="V92" s="124">
        <f t="shared" si="99"/>
        <v>-3.3062600000000004</v>
      </c>
      <c r="W92" s="124">
        <f t="shared" si="99"/>
        <v>-1.85043</v>
      </c>
      <c r="X92" s="124">
        <f t="shared" si="99"/>
        <v>-1.8496299999999999</v>
      </c>
      <c r="Y92" s="124">
        <f t="shared" si="99"/>
        <v>-52.021679999999996</v>
      </c>
      <c r="Z92" s="124">
        <f t="shared" si="99"/>
        <v>-98.391310000000004</v>
      </c>
      <c r="AA92" s="124">
        <f t="shared" si="99"/>
        <v>-2.0470100000000002</v>
      </c>
      <c r="AB92" s="124">
        <f t="shared" si="99"/>
        <v>-2.0472399999999999</v>
      </c>
      <c r="AC92" s="124">
        <f t="shared" si="99"/>
        <v>-2.1422400000000001</v>
      </c>
      <c r="AD92" s="124">
        <f t="shared" si="99"/>
        <v>-2.18024</v>
      </c>
      <c r="AE92" s="124">
        <f t="shared" si="99"/>
        <v>-6.5773399999999995</v>
      </c>
    </row>
    <row r="93" spans="1:31" x14ac:dyDescent="0.2">
      <c r="C93" t="s">
        <v>180</v>
      </c>
      <c r="D93" s="23" t="s">
        <v>92</v>
      </c>
      <c r="F93" s="107">
        <f t="shared" si="93"/>
        <v>-313.64941000000016</v>
      </c>
      <c r="H93" s="124">
        <f>-H124</f>
        <v>-129.18615</v>
      </c>
      <c r="I93" s="124">
        <f t="shared" ref="I93:P93" si="100">-I124</f>
        <v>-93.764499999999998</v>
      </c>
      <c r="J93" s="124">
        <f t="shared" si="100"/>
        <v>-5.7361499999999994</v>
      </c>
      <c r="K93" s="124">
        <f t="shared" si="100"/>
        <v>-11.452500000000001</v>
      </c>
      <c r="L93" s="124">
        <f t="shared" si="100"/>
        <v>-12.04785</v>
      </c>
      <c r="M93" s="124">
        <f t="shared" si="100"/>
        <v>-16.3188</v>
      </c>
      <c r="N93" s="124">
        <f t="shared" si="100"/>
        <v>-7.7888000000000002</v>
      </c>
      <c r="O93" s="124">
        <f t="shared" si="100"/>
        <v>-1.6353</v>
      </c>
      <c r="P93" s="124">
        <f t="shared" si="100"/>
        <v>0</v>
      </c>
      <c r="Q93" s="124">
        <f t="shared" ref="Q93:AE93" si="101">-Q124</f>
        <v>0</v>
      </c>
      <c r="R93" s="124">
        <f t="shared" si="101"/>
        <v>0</v>
      </c>
      <c r="S93" s="124">
        <f t="shared" si="101"/>
        <v>0</v>
      </c>
      <c r="T93" s="124">
        <f t="shared" si="101"/>
        <v>0</v>
      </c>
      <c r="U93" s="124">
        <f t="shared" si="101"/>
        <v>-40.31288</v>
      </c>
      <c r="V93" s="124">
        <f t="shared" si="101"/>
        <v>-6.1222500000000002</v>
      </c>
      <c r="W93" s="124">
        <f t="shared" si="101"/>
        <v>0</v>
      </c>
      <c r="X93" s="124">
        <f t="shared" si="101"/>
        <v>2.3812899999999999</v>
      </c>
      <c r="Y93" s="124">
        <f t="shared" si="101"/>
        <v>1.1906400000000001</v>
      </c>
      <c r="Z93" s="124">
        <f t="shared" si="101"/>
        <v>1.1906400000000001</v>
      </c>
      <c r="AA93" s="124">
        <f t="shared" si="101"/>
        <v>1.1906400000000001</v>
      </c>
      <c r="AB93" s="124">
        <f t="shared" si="101"/>
        <v>1.1906400000000001</v>
      </c>
      <c r="AC93" s="124">
        <f t="shared" si="101"/>
        <v>1.1906400000000001</v>
      </c>
      <c r="AD93" s="124">
        <f t="shared" si="101"/>
        <v>1.1906400000000001</v>
      </c>
      <c r="AE93" s="124">
        <f t="shared" si="101"/>
        <v>1.1906400000000001</v>
      </c>
    </row>
    <row r="94" spans="1:31" x14ac:dyDescent="0.2">
      <c r="C94" t="s">
        <v>181</v>
      </c>
      <c r="D94" s="23" t="s">
        <v>92</v>
      </c>
      <c r="E94" s="123"/>
      <c r="F94" s="107">
        <f t="shared" si="93"/>
        <v>33717.498659999997</v>
      </c>
      <c r="H94" s="124">
        <f t="shared" ref="H94:AE94" si="102">H114</f>
        <v>9999.9851899999994</v>
      </c>
      <c r="I94" s="124">
        <f t="shared" si="102"/>
        <v>0</v>
      </c>
      <c r="J94" s="124">
        <f t="shared" si="102"/>
        <v>6109.9979399999993</v>
      </c>
      <c r="K94" s="124">
        <f t="shared" si="102"/>
        <v>2599.9942000000001</v>
      </c>
      <c r="L94" s="124">
        <f t="shared" si="102"/>
        <v>1589.9963300000002</v>
      </c>
      <c r="M94" s="124">
        <f t="shared" si="102"/>
        <v>0</v>
      </c>
      <c r="N94" s="124">
        <f t="shared" si="102"/>
        <v>500</v>
      </c>
      <c r="O94" s="124">
        <f t="shared" si="102"/>
        <v>0</v>
      </c>
      <c r="P94" s="124">
        <f t="shared" si="102"/>
        <v>0</v>
      </c>
      <c r="Q94" s="124">
        <f t="shared" si="102"/>
        <v>0</v>
      </c>
      <c r="R94" s="124">
        <f t="shared" si="102"/>
        <v>0</v>
      </c>
      <c r="S94" s="124">
        <f t="shared" si="102"/>
        <v>0</v>
      </c>
      <c r="T94" s="124">
        <f t="shared" si="102"/>
        <v>0</v>
      </c>
      <c r="U94" s="124">
        <f t="shared" si="102"/>
        <v>8417.5</v>
      </c>
      <c r="V94" s="124">
        <f t="shared" si="102"/>
        <v>4500.0249999999996</v>
      </c>
      <c r="W94" s="124">
        <f t="shared" si="102"/>
        <v>0</v>
      </c>
      <c r="X94" s="124">
        <f t="shared" si="102"/>
        <v>0</v>
      </c>
      <c r="Y94" s="124">
        <f t="shared" si="102"/>
        <v>0</v>
      </c>
      <c r="Z94" s="124">
        <f t="shared" si="102"/>
        <v>0</v>
      </c>
      <c r="AA94" s="124">
        <f t="shared" si="102"/>
        <v>0</v>
      </c>
      <c r="AB94" s="124">
        <f t="shared" si="102"/>
        <v>0</v>
      </c>
      <c r="AC94" s="124">
        <f t="shared" si="102"/>
        <v>0</v>
      </c>
      <c r="AD94" s="124">
        <f t="shared" si="102"/>
        <v>0</v>
      </c>
      <c r="AE94" s="124">
        <f t="shared" si="102"/>
        <v>0</v>
      </c>
    </row>
    <row r="95" spans="1:31" x14ac:dyDescent="0.2">
      <c r="C95" t="s">
        <v>182</v>
      </c>
      <c r="D95" s="23" t="s">
        <v>92</v>
      </c>
      <c r="E95" s="123"/>
      <c r="F95" s="107">
        <f t="shared" si="93"/>
        <v>3750</v>
      </c>
      <c r="H95" s="124">
        <f>H128</f>
        <v>0</v>
      </c>
      <c r="I95" s="124">
        <f t="shared" ref="I95:AE95" si="103">I128</f>
        <v>0</v>
      </c>
      <c r="J95" s="124">
        <f t="shared" si="103"/>
        <v>0</v>
      </c>
      <c r="K95" s="124">
        <f t="shared" si="103"/>
        <v>0</v>
      </c>
      <c r="L95" s="124">
        <f t="shared" si="103"/>
        <v>0</v>
      </c>
      <c r="M95" s="124">
        <f t="shared" si="103"/>
        <v>0</v>
      </c>
      <c r="N95" s="124">
        <f t="shared" si="103"/>
        <v>0</v>
      </c>
      <c r="O95" s="124">
        <f t="shared" si="103"/>
        <v>0</v>
      </c>
      <c r="P95" s="124">
        <f t="shared" si="103"/>
        <v>0</v>
      </c>
      <c r="Q95" s="124">
        <f t="shared" si="103"/>
        <v>0</v>
      </c>
      <c r="R95" s="124">
        <f t="shared" si="103"/>
        <v>0</v>
      </c>
      <c r="S95" s="124">
        <f t="shared" si="103"/>
        <v>0</v>
      </c>
      <c r="T95" s="124">
        <f t="shared" si="103"/>
        <v>0</v>
      </c>
      <c r="U95" s="124">
        <f t="shared" si="103"/>
        <v>0</v>
      </c>
      <c r="V95" s="124">
        <f t="shared" si="103"/>
        <v>0</v>
      </c>
      <c r="W95" s="124">
        <f t="shared" si="103"/>
        <v>2500</v>
      </c>
      <c r="X95" s="124">
        <f t="shared" si="103"/>
        <v>2000</v>
      </c>
      <c r="Y95" s="124">
        <f t="shared" si="103"/>
        <v>0</v>
      </c>
      <c r="Z95" s="124">
        <f t="shared" si="103"/>
        <v>-125</v>
      </c>
      <c r="AA95" s="124">
        <f t="shared" si="103"/>
        <v>-125</v>
      </c>
      <c r="AB95" s="124">
        <f t="shared" si="103"/>
        <v>-125</v>
      </c>
      <c r="AC95" s="124">
        <f t="shared" si="103"/>
        <v>-125</v>
      </c>
      <c r="AD95" s="124">
        <f t="shared" si="103"/>
        <v>-125</v>
      </c>
      <c r="AE95" s="124">
        <f t="shared" si="103"/>
        <v>-125</v>
      </c>
    </row>
    <row r="96" spans="1:31" x14ac:dyDescent="0.2">
      <c r="C96" t="s">
        <v>183</v>
      </c>
      <c r="D96" s="23" t="s">
        <v>92</v>
      </c>
      <c r="E96" s="123"/>
      <c r="F96" s="107">
        <f t="shared" si="93"/>
        <v>-400</v>
      </c>
      <c r="H96" s="124">
        <f>H119</f>
        <v>0</v>
      </c>
      <c r="I96" s="124">
        <f t="shared" ref="I96:AE96" si="104">I119</f>
        <v>0</v>
      </c>
      <c r="J96" s="124">
        <f t="shared" si="104"/>
        <v>0</v>
      </c>
      <c r="K96" s="124">
        <f t="shared" si="104"/>
        <v>-400</v>
      </c>
      <c r="L96" s="124">
        <f t="shared" si="104"/>
        <v>0</v>
      </c>
      <c r="M96" s="124">
        <f t="shared" si="104"/>
        <v>0</v>
      </c>
      <c r="N96" s="124">
        <f t="shared" si="104"/>
        <v>0</v>
      </c>
      <c r="O96" s="124">
        <f t="shared" si="104"/>
        <v>0</v>
      </c>
      <c r="P96" s="124">
        <f t="shared" si="104"/>
        <v>0</v>
      </c>
      <c r="Q96" s="124">
        <f t="shared" si="104"/>
        <v>0</v>
      </c>
      <c r="R96" s="124">
        <f t="shared" si="104"/>
        <v>0</v>
      </c>
      <c r="S96" s="124">
        <f t="shared" si="104"/>
        <v>0</v>
      </c>
      <c r="T96" s="124">
        <f t="shared" si="104"/>
        <v>0</v>
      </c>
      <c r="U96" s="124">
        <f t="shared" si="104"/>
        <v>0</v>
      </c>
      <c r="V96" s="124">
        <f t="shared" si="104"/>
        <v>0</v>
      </c>
      <c r="W96" s="124">
        <f t="shared" si="104"/>
        <v>0</v>
      </c>
      <c r="X96" s="124">
        <f t="shared" si="104"/>
        <v>0</v>
      </c>
      <c r="Y96" s="124">
        <f t="shared" si="104"/>
        <v>0</v>
      </c>
      <c r="Z96" s="124">
        <f t="shared" si="104"/>
        <v>0</v>
      </c>
      <c r="AA96" s="124">
        <f t="shared" si="104"/>
        <v>0</v>
      </c>
      <c r="AB96" s="124">
        <f t="shared" si="104"/>
        <v>0</v>
      </c>
      <c r="AC96" s="124">
        <f t="shared" si="104"/>
        <v>0</v>
      </c>
      <c r="AD96" s="124">
        <f t="shared" si="104"/>
        <v>0</v>
      </c>
      <c r="AE96" s="124">
        <f t="shared" si="104"/>
        <v>0</v>
      </c>
    </row>
    <row r="97" spans="2:31" x14ac:dyDescent="0.2">
      <c r="C97" t="s">
        <v>184</v>
      </c>
      <c r="D97" s="23" t="s">
        <v>92</v>
      </c>
      <c r="E97" s="123"/>
      <c r="F97" s="107">
        <f t="shared" si="93"/>
        <v>-227.35400000000001</v>
      </c>
      <c r="H97" s="124">
        <f>H105</f>
        <v>0</v>
      </c>
      <c r="I97" s="124">
        <f t="shared" ref="I97:AE97" si="105">I105</f>
        <v>0</v>
      </c>
      <c r="J97" s="124">
        <f t="shared" si="105"/>
        <v>0</v>
      </c>
      <c r="K97" s="124">
        <f t="shared" si="105"/>
        <v>0</v>
      </c>
      <c r="L97" s="124">
        <f t="shared" si="105"/>
        <v>0</v>
      </c>
      <c r="M97" s="124">
        <f t="shared" si="105"/>
        <v>0</v>
      </c>
      <c r="N97" s="124">
        <f t="shared" si="105"/>
        <v>0</v>
      </c>
      <c r="O97" s="124">
        <f t="shared" si="105"/>
        <v>0</v>
      </c>
      <c r="P97" s="124">
        <f t="shared" si="105"/>
        <v>0</v>
      </c>
      <c r="Q97" s="124">
        <f t="shared" si="105"/>
        <v>0</v>
      </c>
      <c r="R97" s="124">
        <f t="shared" si="105"/>
        <v>0</v>
      </c>
      <c r="S97" s="124">
        <f t="shared" si="105"/>
        <v>0</v>
      </c>
      <c r="T97" s="124">
        <f t="shared" si="105"/>
        <v>0</v>
      </c>
      <c r="U97" s="124">
        <f t="shared" si="105"/>
        <v>0</v>
      </c>
      <c r="V97" s="124">
        <f t="shared" si="105"/>
        <v>0</v>
      </c>
      <c r="W97" s="124">
        <f t="shared" si="105"/>
        <v>-1E-3</v>
      </c>
      <c r="X97" s="124">
        <f t="shared" si="105"/>
        <v>2E-3</v>
      </c>
      <c r="Y97" s="124">
        <f t="shared" si="105"/>
        <v>3.0000000000000001E-3</v>
      </c>
      <c r="Z97" s="124">
        <f t="shared" si="105"/>
        <v>3.0000000000000001E-3</v>
      </c>
      <c r="AA97" s="124">
        <f t="shared" si="105"/>
        <v>-45.751999999999995</v>
      </c>
      <c r="AB97" s="124">
        <f t="shared" si="105"/>
        <v>-123.27599999999998</v>
      </c>
      <c r="AC97" s="124">
        <f t="shared" si="105"/>
        <v>-21.476000000000028</v>
      </c>
      <c r="AD97" s="124">
        <f t="shared" si="105"/>
        <v>-5.6199999999999761</v>
      </c>
      <c r="AE97" s="124">
        <f t="shared" si="105"/>
        <v>-31.237000000000023</v>
      </c>
    </row>
    <row r="98" spans="2:31" x14ac:dyDescent="0.2">
      <c r="C98" s="42" t="s">
        <v>137</v>
      </c>
      <c r="D98" s="43" t="s">
        <v>92</v>
      </c>
      <c r="E98" s="128">
        <f>3791304/1000</f>
        <v>3791.3040000000001</v>
      </c>
      <c r="F98" s="126"/>
      <c r="G98" s="98">
        <f>E98</f>
        <v>3791.3040000000001</v>
      </c>
      <c r="H98" s="125">
        <f t="shared" ref="H98:AE98" si="106">SUM(H89:H97)</f>
        <v>12169.435649999999</v>
      </c>
      <c r="I98" s="125">
        <f t="shared" si="106"/>
        <v>11289.14467</v>
      </c>
      <c r="J98" s="125">
        <f t="shared" si="106"/>
        <v>16445.41646</v>
      </c>
      <c r="K98" s="125">
        <f t="shared" si="106"/>
        <v>18340.620880000002</v>
      </c>
      <c r="L98" s="125">
        <f t="shared" si="106"/>
        <v>19141.439590000009</v>
      </c>
      <c r="M98" s="125">
        <f t="shared" si="106"/>
        <v>18317.375220000009</v>
      </c>
      <c r="N98" s="125">
        <f t="shared" si="106"/>
        <v>17262.017280000011</v>
      </c>
      <c r="O98" s="125">
        <f t="shared" si="106"/>
        <v>15935.300290000012</v>
      </c>
      <c r="P98" s="125">
        <f t="shared" si="106"/>
        <v>14750.146510000013</v>
      </c>
      <c r="Q98" s="125">
        <f t="shared" si="106"/>
        <v>12293.710590000013</v>
      </c>
      <c r="R98" s="125">
        <f t="shared" si="106"/>
        <v>10264.785570000015</v>
      </c>
      <c r="S98" s="125">
        <f t="shared" si="106"/>
        <v>8841.3917300000157</v>
      </c>
      <c r="T98" s="125">
        <f t="shared" si="106"/>
        <v>7958.217440000014</v>
      </c>
      <c r="U98" s="125">
        <f t="shared" si="106"/>
        <v>14459.918840000013</v>
      </c>
      <c r="V98" s="125">
        <f t="shared" si="106"/>
        <v>13080.819370000012</v>
      </c>
      <c r="W98" s="125">
        <f t="shared" si="106"/>
        <v>12825.140160000012</v>
      </c>
      <c r="X98" s="125">
        <f t="shared" si="106"/>
        <v>13380.307510000011</v>
      </c>
      <c r="Y98" s="125">
        <f t="shared" si="106"/>
        <v>12151.545550000013</v>
      </c>
      <c r="Z98" s="125">
        <f t="shared" si="106"/>
        <v>11120.557220000013</v>
      </c>
      <c r="AA98" s="125">
        <f t="shared" si="106"/>
        <v>9534.918080000014</v>
      </c>
      <c r="AB98" s="125">
        <f t="shared" si="106"/>
        <v>8208.623510000014</v>
      </c>
      <c r="AC98" s="125">
        <f t="shared" si="106"/>
        <v>6858.4347300000136</v>
      </c>
      <c r="AD98" s="125">
        <f t="shared" si="106"/>
        <v>6148.907350000014</v>
      </c>
      <c r="AE98" s="125">
        <f t="shared" si="106"/>
        <v>4774.5058400000134</v>
      </c>
    </row>
    <row r="99" spans="2:31" hidden="1" outlineLevel="1" x14ac:dyDescent="0.2">
      <c r="C99" s="100" t="s">
        <v>225</v>
      </c>
      <c r="D99" s="100"/>
      <c r="E99" s="132" t="s">
        <v>224</v>
      </c>
      <c r="F99" s="133"/>
      <c r="G99" s="100"/>
      <c r="H99" s="135">
        <v>12169.43597</v>
      </c>
      <c r="I99" s="135">
        <v>11289.144990000001</v>
      </c>
      <c r="J99" s="135">
        <v>16445.41678</v>
      </c>
      <c r="K99" s="135">
        <v>18340.621199999998</v>
      </c>
      <c r="L99" s="135">
        <v>19141.439910000001</v>
      </c>
      <c r="M99" s="135">
        <v>18317.375540000001</v>
      </c>
      <c r="N99" s="135">
        <v>17262.017600000003</v>
      </c>
      <c r="O99" s="135">
        <v>15935.300610000002</v>
      </c>
      <c r="P99" s="135">
        <v>14750.14683</v>
      </c>
      <c r="Q99" s="135">
        <v>12293.710590000008</v>
      </c>
      <c r="R99" s="135">
        <v>10264.785570000009</v>
      </c>
      <c r="S99" s="135">
        <v>8841.3917300000103</v>
      </c>
      <c r="T99" s="135">
        <v>7958.2174000000005</v>
      </c>
      <c r="U99" s="135">
        <v>14459.91894</v>
      </c>
      <c r="V99" s="135">
        <v>13080.819089999999</v>
      </c>
      <c r="W99" s="135">
        <v>12825.14019</v>
      </c>
      <c r="X99" s="135">
        <v>13380.30752</v>
      </c>
      <c r="Y99" s="135">
        <v>12151.545529999999</v>
      </c>
      <c r="Z99" s="135">
        <v>11120.55673</v>
      </c>
      <c r="AA99" s="135">
        <v>9534.9184600000008</v>
      </c>
      <c r="AB99" s="135">
        <v>8208.6240099999995</v>
      </c>
      <c r="AC99" s="135">
        <v>6858.4349000000002</v>
      </c>
      <c r="AD99" s="135">
        <v>6148.9071900000008</v>
      </c>
      <c r="AE99" s="135">
        <v>4774.5057999999999</v>
      </c>
    </row>
    <row r="100" spans="2:31" hidden="1" outlineLevel="1" x14ac:dyDescent="0.2">
      <c r="C100" s="100"/>
      <c r="D100" s="100"/>
      <c r="E100" s="132"/>
      <c r="F100" s="133"/>
      <c r="G100" s="100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</row>
    <row r="101" spans="2:31" hidden="1" outlineLevel="1" x14ac:dyDescent="0.2">
      <c r="C101" s="120" t="s">
        <v>215</v>
      </c>
      <c r="D101" s="121"/>
      <c r="E101" s="120"/>
      <c r="F101" s="122">
        <f>SUM(H101:AE101)</f>
        <v>0</v>
      </c>
      <c r="G101" s="120"/>
      <c r="H101" s="190">
        <f>ROUND(H98-H99,3)</f>
        <v>0</v>
      </c>
      <c r="I101" s="190">
        <f t="shared" ref="I101:P101" si="107">ROUND(I98-I99,3)</f>
        <v>0</v>
      </c>
      <c r="J101" s="190">
        <f t="shared" si="107"/>
        <v>0</v>
      </c>
      <c r="K101" s="190">
        <f t="shared" si="107"/>
        <v>0</v>
      </c>
      <c r="L101" s="190">
        <f t="shared" si="107"/>
        <v>0</v>
      </c>
      <c r="M101" s="190">
        <f t="shared" si="107"/>
        <v>0</v>
      </c>
      <c r="N101" s="190">
        <f t="shared" si="107"/>
        <v>0</v>
      </c>
      <c r="O101" s="190">
        <f t="shared" si="107"/>
        <v>0</v>
      </c>
      <c r="P101" s="190">
        <f t="shared" si="107"/>
        <v>0</v>
      </c>
      <c r="Q101" s="190">
        <f t="shared" ref="Q101:AE101" si="108">ROUND(Q98-Q99,3)</f>
        <v>0</v>
      </c>
      <c r="R101" s="190">
        <f t="shared" si="108"/>
        <v>0</v>
      </c>
      <c r="S101" s="190">
        <f t="shared" si="108"/>
        <v>0</v>
      </c>
      <c r="T101" s="190">
        <f t="shared" si="108"/>
        <v>0</v>
      </c>
      <c r="U101" s="190">
        <f t="shared" si="108"/>
        <v>0</v>
      </c>
      <c r="V101" s="190">
        <f t="shared" si="108"/>
        <v>0</v>
      </c>
      <c r="W101" s="190">
        <f t="shared" si="108"/>
        <v>0</v>
      </c>
      <c r="X101" s="190">
        <f t="shared" si="108"/>
        <v>0</v>
      </c>
      <c r="Y101" s="190">
        <f t="shared" si="108"/>
        <v>0</v>
      </c>
      <c r="Z101" s="190">
        <f t="shared" si="108"/>
        <v>0</v>
      </c>
      <c r="AA101" s="190">
        <f t="shared" si="108"/>
        <v>0</v>
      </c>
      <c r="AB101" s="190">
        <f t="shared" si="108"/>
        <v>0</v>
      </c>
      <c r="AC101" s="190">
        <f t="shared" si="108"/>
        <v>0</v>
      </c>
      <c r="AD101" s="190">
        <f t="shared" si="108"/>
        <v>0</v>
      </c>
      <c r="AE101" s="190">
        <f t="shared" si="108"/>
        <v>0</v>
      </c>
    </row>
    <row r="102" spans="2:31" collapsed="1" x14ac:dyDescent="0.2">
      <c r="F102" s="27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</row>
    <row r="103" spans="2:31" x14ac:dyDescent="0.2">
      <c r="B103" s="20" t="s">
        <v>226</v>
      </c>
      <c r="F103" s="27"/>
      <c r="H103" s="25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</row>
    <row r="104" spans="2:31" x14ac:dyDescent="0.2">
      <c r="C104" t="s">
        <v>227</v>
      </c>
      <c r="D104" s="23" t="s">
        <v>92</v>
      </c>
      <c r="E104" s="123" t="s">
        <v>213</v>
      </c>
      <c r="F104" s="107">
        <f>SUM(H104:AE104)</f>
        <v>-6096.9479499999998</v>
      </c>
      <c r="H104" s="118">
        <f t="shared" ref="H104:AE104" si="109">SUMIFS(INDEX(_HistCFS_M_Data,0,MATCH(H$5,_HistCFS_M_MonthEnd,0)),_HistCFS_M_Labels,$C104)/1000</f>
        <v>-1241.0833799999998</v>
      </c>
      <c r="I104" s="118">
        <f t="shared" si="109"/>
        <v>-229.1525</v>
      </c>
      <c r="J104" s="118">
        <f t="shared" si="109"/>
        <v>-148.50089000000003</v>
      </c>
      <c r="K104" s="118">
        <f t="shared" si="109"/>
        <v>463.41822999999999</v>
      </c>
      <c r="L104" s="118">
        <f t="shared" si="109"/>
        <v>-253.19127999999998</v>
      </c>
      <c r="M104" s="118">
        <f t="shared" si="109"/>
        <v>215.97138000000001</v>
      </c>
      <c r="N104" s="118">
        <f t="shared" si="109"/>
        <v>132.50682</v>
      </c>
      <c r="O104" s="118">
        <f t="shared" si="109"/>
        <v>-208.43045000000001</v>
      </c>
      <c r="P104" s="118">
        <f t="shared" si="109"/>
        <v>1399.3981500000002</v>
      </c>
      <c r="Q104" s="118">
        <f t="shared" si="109"/>
        <v>-1270.1829500000001</v>
      </c>
      <c r="R104" s="118">
        <f t="shared" si="109"/>
        <v>577.80786999999998</v>
      </c>
      <c r="S104" s="118">
        <f t="shared" si="109"/>
        <v>-454.98202999999995</v>
      </c>
      <c r="T104" s="118">
        <f t="shared" si="109"/>
        <v>-75.08417000000064</v>
      </c>
      <c r="U104" s="118">
        <f t="shared" si="109"/>
        <v>-835.41061999999999</v>
      </c>
      <c r="V104" s="118">
        <f t="shared" si="109"/>
        <v>-2284.6875</v>
      </c>
      <c r="W104" s="118">
        <f t="shared" si="109"/>
        <v>-1517.24073</v>
      </c>
      <c r="X104" s="118">
        <f t="shared" si="109"/>
        <v>-655.58684000000005</v>
      </c>
      <c r="Y104" s="118">
        <f t="shared" si="109"/>
        <v>194.08329999999998</v>
      </c>
      <c r="Z104" s="118">
        <f t="shared" si="109"/>
        <v>151.36833999999996</v>
      </c>
      <c r="AA104" s="118">
        <f t="shared" si="109"/>
        <v>-474.91640000000001</v>
      </c>
      <c r="AB104" s="118">
        <f t="shared" si="109"/>
        <v>331.72389000000004</v>
      </c>
      <c r="AC104" s="118">
        <f t="shared" si="109"/>
        <v>-235.06468000000001</v>
      </c>
      <c r="AD104" s="118">
        <f t="shared" si="109"/>
        <v>354.10641000000004</v>
      </c>
      <c r="AE104" s="118">
        <f t="shared" si="109"/>
        <v>-33.817920000000015</v>
      </c>
    </row>
    <row r="105" spans="2:31" x14ac:dyDescent="0.2">
      <c r="C105" t="s">
        <v>228</v>
      </c>
      <c r="D105" s="23" t="s">
        <v>92</v>
      </c>
      <c r="E105" s="123"/>
      <c r="F105" s="107">
        <f>SUM(H105:AE105)</f>
        <v>-227.35400000000001</v>
      </c>
      <c r="H105" s="117">
        <v>0</v>
      </c>
      <c r="I105" s="117">
        <v>0</v>
      </c>
      <c r="J105" s="117">
        <v>0</v>
      </c>
      <c r="K105" s="117">
        <v>0</v>
      </c>
      <c r="L105" s="117">
        <v>0</v>
      </c>
      <c r="M105" s="117">
        <v>0</v>
      </c>
      <c r="N105" s="117">
        <v>0</v>
      </c>
      <c r="O105" s="117">
        <v>0</v>
      </c>
      <c r="P105" s="117">
        <v>0</v>
      </c>
      <c r="Q105" s="117">
        <v>0</v>
      </c>
      <c r="R105" s="117">
        <v>0</v>
      </c>
      <c r="S105" s="117">
        <v>0</v>
      </c>
      <c r="T105" s="117">
        <v>0</v>
      </c>
      <c r="U105" s="117">
        <v>0</v>
      </c>
      <c r="V105" s="117">
        <v>0</v>
      </c>
      <c r="W105" s="117">
        <v>-1E-3</v>
      </c>
      <c r="X105" s="117">
        <v>2E-3</v>
      </c>
      <c r="Y105" s="117">
        <v>3.0000000000000001E-3</v>
      </c>
      <c r="Z105" s="117">
        <v>3.0000000000000001E-3</v>
      </c>
      <c r="AA105" s="117">
        <v>-45.751999999999995</v>
      </c>
      <c r="AB105" s="117">
        <v>-123.27599999999998</v>
      </c>
      <c r="AC105" s="117">
        <v>-21.476000000000028</v>
      </c>
      <c r="AD105" s="117">
        <v>-5.6199999999999761</v>
      </c>
      <c r="AE105" s="117">
        <v>-31.237000000000023</v>
      </c>
    </row>
    <row r="106" spans="2:31" x14ac:dyDescent="0.2">
      <c r="D106" s="23"/>
      <c r="E106" s="123"/>
      <c r="F106" s="107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</row>
    <row r="107" spans="2:31" x14ac:dyDescent="0.2">
      <c r="C107" t="s">
        <v>229</v>
      </c>
      <c r="D107" s="23" t="s">
        <v>92</v>
      </c>
      <c r="E107" s="123" t="s">
        <v>212</v>
      </c>
      <c r="F107" s="107">
        <f>SUM(H107:AE107)</f>
        <v>193.05955000000003</v>
      </c>
      <c r="H107" s="118">
        <f t="shared" ref="H107:AE107" si="110">SUMIFS(INDEX(_HistIS_M_Data,0,MATCH(H$5,_HistIS_M_MonthEnd,0)),_HistIS_M_Labels,$C107)/1000</f>
        <v>0.80346999999999991</v>
      </c>
      <c r="I107" s="118">
        <f t="shared" si="110"/>
        <v>0.62924000000000002</v>
      </c>
      <c r="J107" s="118">
        <f t="shared" si="110"/>
        <v>0.6900400000000001</v>
      </c>
      <c r="K107" s="118">
        <f t="shared" si="110"/>
        <v>0.69572000000000001</v>
      </c>
      <c r="L107" s="118">
        <f t="shared" si="110"/>
        <v>0.71330000000000005</v>
      </c>
      <c r="M107" s="118">
        <f t="shared" si="110"/>
        <v>0.70450999999999997</v>
      </c>
      <c r="N107" s="118">
        <f t="shared" si="110"/>
        <v>0.70450999999999997</v>
      </c>
      <c r="O107" s="118">
        <f t="shared" si="110"/>
        <v>2.4278300000000006</v>
      </c>
      <c r="P107" s="118">
        <f t="shared" si="110"/>
        <v>1.1431899999999999</v>
      </c>
      <c r="Q107" s="118">
        <f t="shared" si="110"/>
        <v>1.1772499999999999</v>
      </c>
      <c r="R107" s="118">
        <f t="shared" si="110"/>
        <v>1.1772499999999999</v>
      </c>
      <c r="S107" s="118">
        <f t="shared" si="110"/>
        <v>1.1772499999999999</v>
      </c>
      <c r="T107" s="118">
        <f t="shared" si="110"/>
        <v>1.21058</v>
      </c>
      <c r="U107" s="118">
        <f t="shared" si="110"/>
        <v>1.21058</v>
      </c>
      <c r="V107" s="118">
        <f t="shared" si="110"/>
        <v>3.4198300000000006</v>
      </c>
      <c r="W107" s="118">
        <f t="shared" si="110"/>
        <v>1.964</v>
      </c>
      <c r="X107" s="118">
        <f t="shared" si="110"/>
        <v>2.347</v>
      </c>
      <c r="Y107" s="118">
        <f t="shared" si="110"/>
        <v>52.628999999999998</v>
      </c>
      <c r="Z107" s="118">
        <f t="shared" si="110"/>
        <v>99.093000000000004</v>
      </c>
      <c r="AA107" s="118">
        <f t="shared" si="110"/>
        <v>2.8170000000000002</v>
      </c>
      <c r="AB107" s="118">
        <f t="shared" si="110"/>
        <v>3.02</v>
      </c>
      <c r="AC107" s="118">
        <f t="shared" si="110"/>
        <v>3.1150000000000002</v>
      </c>
      <c r="AD107" s="118">
        <f t="shared" si="110"/>
        <v>3.153</v>
      </c>
      <c r="AE107" s="118">
        <f t="shared" si="110"/>
        <v>7.0369999999999999</v>
      </c>
    </row>
    <row r="108" spans="2:31" x14ac:dyDescent="0.2">
      <c r="C108" t="s">
        <v>229</v>
      </c>
      <c r="D108" s="23" t="s">
        <v>92</v>
      </c>
      <c r="E108" s="123" t="s">
        <v>213</v>
      </c>
      <c r="F108" s="107">
        <f>SUM(H108:AE108)</f>
        <v>5.9791800000000004</v>
      </c>
      <c r="H108" s="118">
        <f t="shared" ref="H108:AE108" si="111">SUMIFS(INDEX(_HistCFS_M_Data,0,MATCH(H$5,_HistCFS_M_MonthEnd,0)),_HistCFS_M_Labels,$C108)/1000</f>
        <v>3.8299999999999994E-2</v>
      </c>
      <c r="I108" s="118">
        <f t="shared" si="111"/>
        <v>3.8299999999999994E-2</v>
      </c>
      <c r="J108" s="118">
        <f t="shared" si="111"/>
        <v>9.9099999999999994E-2</v>
      </c>
      <c r="K108" s="118">
        <f t="shared" si="111"/>
        <v>-1.5224600000000001</v>
      </c>
      <c r="L108" s="118">
        <f t="shared" si="111"/>
        <v>0.12236</v>
      </c>
      <c r="M108" s="118">
        <f t="shared" si="111"/>
        <v>0.11356999999999999</v>
      </c>
      <c r="N108" s="118">
        <f t="shared" si="111"/>
        <v>0.11356999999999999</v>
      </c>
      <c r="O108" s="118">
        <f t="shared" si="111"/>
        <v>0.11356999999999999</v>
      </c>
      <c r="P108" s="118">
        <f t="shared" si="111"/>
        <v>0.11356999999999999</v>
      </c>
      <c r="Q108" s="118">
        <f t="shared" si="111"/>
        <v>0.11356999999999999</v>
      </c>
      <c r="R108" s="118">
        <f t="shared" si="111"/>
        <v>0.11356999999999999</v>
      </c>
      <c r="S108" s="118">
        <f t="shared" si="111"/>
        <v>0.11356999999999999</v>
      </c>
      <c r="T108" s="118">
        <f t="shared" si="111"/>
        <v>0.11356999999999999</v>
      </c>
      <c r="U108" s="118">
        <f t="shared" si="111"/>
        <v>0.11356999999999999</v>
      </c>
      <c r="V108" s="118">
        <f t="shared" si="111"/>
        <v>0.11356999999999999</v>
      </c>
      <c r="W108" s="118">
        <f t="shared" si="111"/>
        <v>0.11356999999999999</v>
      </c>
      <c r="X108" s="118">
        <f t="shared" si="111"/>
        <v>0.49736999999999998</v>
      </c>
      <c r="Y108" s="118">
        <f t="shared" si="111"/>
        <v>0.60732000000000008</v>
      </c>
      <c r="Z108" s="118">
        <f t="shared" si="111"/>
        <v>0.70169000000000004</v>
      </c>
      <c r="AA108" s="118">
        <f t="shared" si="111"/>
        <v>0.76999000000000006</v>
      </c>
      <c r="AB108" s="118">
        <f t="shared" si="111"/>
        <v>0.97275999999999996</v>
      </c>
      <c r="AC108" s="118">
        <f t="shared" si="111"/>
        <v>0.97275999999999996</v>
      </c>
      <c r="AD108" s="118">
        <f t="shared" si="111"/>
        <v>0.97275999999999996</v>
      </c>
      <c r="AE108" s="118">
        <f t="shared" si="111"/>
        <v>0.45966000000000001</v>
      </c>
    </row>
    <row r="109" spans="2:31" x14ac:dyDescent="0.2">
      <c r="C109" s="42" t="s">
        <v>230</v>
      </c>
      <c r="D109" s="43" t="s">
        <v>92</v>
      </c>
      <c r="E109" s="127"/>
      <c r="F109" s="108">
        <f>SUM(H109:AE109)</f>
        <v>-187.08036999999996</v>
      </c>
      <c r="G109" s="42"/>
      <c r="H109" s="115">
        <f>H108-H107</f>
        <v>-0.76516999999999991</v>
      </c>
      <c r="I109" s="115">
        <f t="shared" ref="I109:P109" si="112">I108-I107</f>
        <v>-0.59094000000000002</v>
      </c>
      <c r="J109" s="115">
        <f t="shared" si="112"/>
        <v>-0.59094000000000013</v>
      </c>
      <c r="K109" s="115">
        <f t="shared" si="112"/>
        <v>-2.2181800000000003</v>
      </c>
      <c r="L109" s="115">
        <f t="shared" si="112"/>
        <v>-0.59094000000000002</v>
      </c>
      <c r="M109" s="115">
        <f t="shared" si="112"/>
        <v>-0.59094000000000002</v>
      </c>
      <c r="N109" s="115">
        <f t="shared" si="112"/>
        <v>-0.59094000000000002</v>
      </c>
      <c r="O109" s="115">
        <f t="shared" si="112"/>
        <v>-2.3142600000000004</v>
      </c>
      <c r="P109" s="115">
        <f t="shared" si="112"/>
        <v>-1.02962</v>
      </c>
      <c r="Q109" s="115">
        <f t="shared" ref="Q109:AE109" si="113">Q108-Q107</f>
        <v>-1.06368</v>
      </c>
      <c r="R109" s="115">
        <f t="shared" si="113"/>
        <v>-1.06368</v>
      </c>
      <c r="S109" s="115">
        <f t="shared" si="113"/>
        <v>-1.06368</v>
      </c>
      <c r="T109" s="115">
        <f t="shared" si="113"/>
        <v>-1.09701</v>
      </c>
      <c r="U109" s="115">
        <f t="shared" si="113"/>
        <v>-1.09701</v>
      </c>
      <c r="V109" s="115">
        <f t="shared" si="113"/>
        <v>-3.3062600000000004</v>
      </c>
      <c r="W109" s="115">
        <f t="shared" si="113"/>
        <v>-1.85043</v>
      </c>
      <c r="X109" s="115">
        <f t="shared" si="113"/>
        <v>-1.8496299999999999</v>
      </c>
      <c r="Y109" s="115">
        <f t="shared" si="113"/>
        <v>-52.021679999999996</v>
      </c>
      <c r="Z109" s="115">
        <f t="shared" si="113"/>
        <v>-98.391310000000004</v>
      </c>
      <c r="AA109" s="115">
        <f t="shared" si="113"/>
        <v>-2.0470100000000002</v>
      </c>
      <c r="AB109" s="115">
        <f t="shared" si="113"/>
        <v>-2.0472399999999999</v>
      </c>
      <c r="AC109" s="115">
        <f t="shared" si="113"/>
        <v>-2.1422400000000001</v>
      </c>
      <c r="AD109" s="115">
        <f t="shared" si="113"/>
        <v>-2.18024</v>
      </c>
      <c r="AE109" s="115">
        <f t="shared" si="113"/>
        <v>-6.5773399999999995</v>
      </c>
    </row>
    <row r="110" spans="2:31" x14ac:dyDescent="0.2">
      <c r="F110" s="27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4"/>
    </row>
    <row r="111" spans="2:31" x14ac:dyDescent="0.2">
      <c r="B111" s="20" t="s">
        <v>186</v>
      </c>
      <c r="F111" s="27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</row>
    <row r="112" spans="2:31" x14ac:dyDescent="0.2">
      <c r="C112" t="s">
        <v>187</v>
      </c>
      <c r="D112" s="23" t="s">
        <v>92</v>
      </c>
      <c r="E112" s="123" t="s">
        <v>213</v>
      </c>
      <c r="F112" s="107">
        <f>SUM(H112:AE112)</f>
        <v>20799.97366</v>
      </c>
      <c r="H112" s="118">
        <f t="shared" ref="H112:AE113" si="114">SUMIFS(INDEX(_HistCFS_M_Data,0,MATCH(H$5,_HistCFS_M_MonthEnd,0)),_HistCFS_M_Labels,$C112)/1000</f>
        <v>9999.9851899999994</v>
      </c>
      <c r="I112" s="118">
        <f t="shared" si="114"/>
        <v>0</v>
      </c>
      <c r="J112" s="118">
        <f t="shared" si="114"/>
        <v>6109.9979399999993</v>
      </c>
      <c r="K112" s="118">
        <f t="shared" si="114"/>
        <v>2599.9942000000001</v>
      </c>
      <c r="L112" s="118">
        <f t="shared" si="114"/>
        <v>1589.9963300000002</v>
      </c>
      <c r="M112" s="118">
        <f t="shared" si="114"/>
        <v>0</v>
      </c>
      <c r="N112" s="118">
        <f t="shared" si="114"/>
        <v>500</v>
      </c>
      <c r="O112" s="118">
        <f t="shared" si="114"/>
        <v>0</v>
      </c>
      <c r="P112" s="118">
        <f t="shared" si="114"/>
        <v>0</v>
      </c>
      <c r="Q112" s="118">
        <f t="shared" si="114"/>
        <v>0</v>
      </c>
      <c r="R112" s="118">
        <f t="shared" si="114"/>
        <v>0</v>
      </c>
      <c r="S112" s="118">
        <f t="shared" si="114"/>
        <v>0</v>
      </c>
      <c r="T112" s="118">
        <f t="shared" si="114"/>
        <v>0</v>
      </c>
      <c r="U112" s="118">
        <f t="shared" si="114"/>
        <v>0</v>
      </c>
      <c r="V112" s="118">
        <f t="shared" si="114"/>
        <v>0</v>
      </c>
      <c r="W112" s="118">
        <f t="shared" si="114"/>
        <v>0</v>
      </c>
      <c r="X112" s="118">
        <f t="shared" si="114"/>
        <v>0</v>
      </c>
      <c r="Y112" s="118">
        <f t="shared" si="114"/>
        <v>0</v>
      </c>
      <c r="Z112" s="118">
        <f t="shared" si="114"/>
        <v>0</v>
      </c>
      <c r="AA112" s="118">
        <f t="shared" si="114"/>
        <v>0</v>
      </c>
      <c r="AB112" s="118">
        <f t="shared" si="114"/>
        <v>0</v>
      </c>
      <c r="AC112" s="118">
        <f t="shared" si="114"/>
        <v>0</v>
      </c>
      <c r="AD112" s="118">
        <f t="shared" si="114"/>
        <v>0</v>
      </c>
      <c r="AE112" s="118">
        <f t="shared" si="114"/>
        <v>0</v>
      </c>
    </row>
    <row r="113" spans="2:31" x14ac:dyDescent="0.2">
      <c r="C113" t="s">
        <v>188</v>
      </c>
      <c r="D113" s="23" t="s">
        <v>92</v>
      </c>
      <c r="E113" s="123" t="s">
        <v>213</v>
      </c>
      <c r="F113" s="107">
        <f>SUM(H113:AE113)</f>
        <v>12917.525</v>
      </c>
      <c r="H113" s="118">
        <f t="shared" si="114"/>
        <v>0</v>
      </c>
      <c r="I113" s="118">
        <f t="shared" si="114"/>
        <v>0</v>
      </c>
      <c r="J113" s="118">
        <f t="shared" si="114"/>
        <v>0</v>
      </c>
      <c r="K113" s="118">
        <f t="shared" si="114"/>
        <v>0</v>
      </c>
      <c r="L113" s="118">
        <f t="shared" si="114"/>
        <v>0</v>
      </c>
      <c r="M113" s="118">
        <f t="shared" si="114"/>
        <v>0</v>
      </c>
      <c r="N113" s="118">
        <f t="shared" si="114"/>
        <v>0</v>
      </c>
      <c r="O113" s="118">
        <f t="shared" si="114"/>
        <v>0</v>
      </c>
      <c r="P113" s="118">
        <f t="shared" si="114"/>
        <v>0</v>
      </c>
      <c r="Q113" s="118">
        <f t="shared" si="114"/>
        <v>0</v>
      </c>
      <c r="R113" s="118">
        <f t="shared" si="114"/>
        <v>0</v>
      </c>
      <c r="S113" s="118">
        <f t="shared" si="114"/>
        <v>0</v>
      </c>
      <c r="T113" s="118">
        <f t="shared" si="114"/>
        <v>0</v>
      </c>
      <c r="U113" s="118">
        <f t="shared" si="114"/>
        <v>8417.5</v>
      </c>
      <c r="V113" s="118">
        <f t="shared" si="114"/>
        <v>4500.0249999999996</v>
      </c>
      <c r="W113" s="118">
        <f t="shared" si="114"/>
        <v>0</v>
      </c>
      <c r="X113" s="118">
        <f t="shared" si="114"/>
        <v>0</v>
      </c>
      <c r="Y113" s="118">
        <f t="shared" si="114"/>
        <v>0</v>
      </c>
      <c r="Z113" s="118">
        <f t="shared" si="114"/>
        <v>0</v>
      </c>
      <c r="AA113" s="118">
        <f t="shared" si="114"/>
        <v>0</v>
      </c>
      <c r="AB113" s="118">
        <f t="shared" si="114"/>
        <v>0</v>
      </c>
      <c r="AC113" s="118">
        <f t="shared" si="114"/>
        <v>0</v>
      </c>
      <c r="AD113" s="118">
        <f t="shared" si="114"/>
        <v>0</v>
      </c>
      <c r="AE113" s="118">
        <f t="shared" si="114"/>
        <v>0</v>
      </c>
    </row>
    <row r="114" spans="2:31" x14ac:dyDescent="0.2">
      <c r="C114" s="42" t="s">
        <v>189</v>
      </c>
      <c r="D114" s="43" t="s">
        <v>92</v>
      </c>
      <c r="E114" s="42"/>
      <c r="F114" s="108">
        <f>SUM(H114:AE114)</f>
        <v>33717.498659999997</v>
      </c>
      <c r="G114" s="42"/>
      <c r="H114" s="125">
        <f t="shared" ref="H114:AE114" si="115">SUM(H112:H113)</f>
        <v>9999.9851899999994</v>
      </c>
      <c r="I114" s="125">
        <f t="shared" si="115"/>
        <v>0</v>
      </c>
      <c r="J114" s="125">
        <f t="shared" si="115"/>
        <v>6109.9979399999993</v>
      </c>
      <c r="K114" s="125">
        <f t="shared" si="115"/>
        <v>2599.9942000000001</v>
      </c>
      <c r="L114" s="125">
        <f t="shared" si="115"/>
        <v>1589.9963300000002</v>
      </c>
      <c r="M114" s="125">
        <f t="shared" si="115"/>
        <v>0</v>
      </c>
      <c r="N114" s="125">
        <f t="shared" si="115"/>
        <v>500</v>
      </c>
      <c r="O114" s="125">
        <f t="shared" si="115"/>
        <v>0</v>
      </c>
      <c r="P114" s="125">
        <f t="shared" si="115"/>
        <v>0</v>
      </c>
      <c r="Q114" s="125">
        <f t="shared" si="115"/>
        <v>0</v>
      </c>
      <c r="R114" s="125">
        <f t="shared" si="115"/>
        <v>0</v>
      </c>
      <c r="S114" s="125">
        <f t="shared" si="115"/>
        <v>0</v>
      </c>
      <c r="T114" s="125">
        <f t="shared" si="115"/>
        <v>0</v>
      </c>
      <c r="U114" s="125">
        <f t="shared" si="115"/>
        <v>8417.5</v>
      </c>
      <c r="V114" s="125">
        <f t="shared" si="115"/>
        <v>4500.0249999999996</v>
      </c>
      <c r="W114" s="125">
        <f t="shared" si="115"/>
        <v>0</v>
      </c>
      <c r="X114" s="125">
        <f t="shared" si="115"/>
        <v>0</v>
      </c>
      <c r="Y114" s="125">
        <f t="shared" si="115"/>
        <v>0</v>
      </c>
      <c r="Z114" s="125">
        <f t="shared" si="115"/>
        <v>0</v>
      </c>
      <c r="AA114" s="125">
        <f t="shared" si="115"/>
        <v>0</v>
      </c>
      <c r="AB114" s="125">
        <f t="shared" si="115"/>
        <v>0</v>
      </c>
      <c r="AC114" s="125">
        <f t="shared" si="115"/>
        <v>0</v>
      </c>
      <c r="AD114" s="125">
        <f t="shared" si="115"/>
        <v>0</v>
      </c>
      <c r="AE114" s="125">
        <f t="shared" si="115"/>
        <v>0</v>
      </c>
    </row>
    <row r="115" spans="2:31" x14ac:dyDescent="0.2">
      <c r="F115" s="27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</row>
    <row r="116" spans="2:31" x14ac:dyDescent="0.2">
      <c r="C116" t="s">
        <v>190</v>
      </c>
      <c r="D116" s="23" t="s">
        <v>92</v>
      </c>
      <c r="E116" s="123" t="s">
        <v>213</v>
      </c>
      <c r="F116" s="107">
        <f>SUM(H116:AE116)</f>
        <v>383.98800000000006</v>
      </c>
      <c r="H116" s="118">
        <f t="shared" ref="H116:AE116" si="116">SUMIFS(INDEX(_HistCFS_M_Data,0,MATCH(H$5,_HistCFS_M_MonthEnd,0)),_HistCFS_M_Labels,$C116)/1000</f>
        <v>0</v>
      </c>
      <c r="I116" s="118">
        <f t="shared" si="116"/>
        <v>0</v>
      </c>
      <c r="J116" s="118">
        <f t="shared" si="116"/>
        <v>0</v>
      </c>
      <c r="K116" s="118">
        <f t="shared" si="116"/>
        <v>-400</v>
      </c>
      <c r="L116" s="118">
        <f t="shared" si="116"/>
        <v>0</v>
      </c>
      <c r="M116" s="118">
        <f t="shared" si="116"/>
        <v>0</v>
      </c>
      <c r="N116" s="118">
        <f t="shared" si="116"/>
        <v>0</v>
      </c>
      <c r="O116" s="118">
        <f t="shared" si="116"/>
        <v>0</v>
      </c>
      <c r="P116" s="118">
        <f t="shared" si="116"/>
        <v>0</v>
      </c>
      <c r="Q116" s="118">
        <f t="shared" si="116"/>
        <v>0</v>
      </c>
      <c r="R116" s="118">
        <f t="shared" si="116"/>
        <v>0</v>
      </c>
      <c r="S116" s="118">
        <f t="shared" si="116"/>
        <v>0</v>
      </c>
      <c r="T116" s="118">
        <f t="shared" si="116"/>
        <v>0</v>
      </c>
      <c r="U116" s="118">
        <f t="shared" si="116"/>
        <v>0</v>
      </c>
      <c r="V116" s="118">
        <f t="shared" si="116"/>
        <v>0</v>
      </c>
      <c r="W116" s="118">
        <f t="shared" si="116"/>
        <v>0</v>
      </c>
      <c r="X116" s="118">
        <f t="shared" si="116"/>
        <v>0</v>
      </c>
      <c r="Y116" s="118">
        <f t="shared" si="116"/>
        <v>0</v>
      </c>
      <c r="Z116" s="118">
        <f t="shared" si="116"/>
        <v>0</v>
      </c>
      <c r="AA116" s="118">
        <f t="shared" si="116"/>
        <v>0</v>
      </c>
      <c r="AB116" s="118">
        <f t="shared" si="116"/>
        <v>0</v>
      </c>
      <c r="AC116" s="118">
        <f t="shared" si="116"/>
        <v>783.98800000000006</v>
      </c>
      <c r="AD116" s="118">
        <f t="shared" si="116"/>
        <v>0</v>
      </c>
      <c r="AE116" s="118">
        <f t="shared" si="116"/>
        <v>0</v>
      </c>
    </row>
    <row r="117" spans="2:31" x14ac:dyDescent="0.2">
      <c r="C117" t="s">
        <v>231</v>
      </c>
      <c r="D117" s="23" t="s">
        <v>92</v>
      </c>
      <c r="E117" s="123" t="s">
        <v>212</v>
      </c>
      <c r="F117" s="107">
        <f>SUM(H117:AE117)</f>
        <v>-483.988</v>
      </c>
      <c r="H117" s="118">
        <f t="shared" ref="H117:AE117" si="117">-SUMIFS(INDEX(_HistIS_M_Data,0,MATCH(H$5,_HistIS_M_MonthEnd,0)),_HistIS_M_Labels,$C117)/1000</f>
        <v>0</v>
      </c>
      <c r="I117" s="118">
        <f t="shared" si="117"/>
        <v>0</v>
      </c>
      <c r="J117" s="118">
        <f t="shared" si="117"/>
        <v>0</v>
      </c>
      <c r="K117" s="118">
        <f t="shared" si="117"/>
        <v>0</v>
      </c>
      <c r="L117" s="118">
        <f t="shared" si="117"/>
        <v>0</v>
      </c>
      <c r="M117" s="118">
        <f t="shared" si="117"/>
        <v>0</v>
      </c>
      <c r="N117" s="118">
        <f t="shared" si="117"/>
        <v>0</v>
      </c>
      <c r="O117" s="118">
        <f t="shared" si="117"/>
        <v>0</v>
      </c>
      <c r="P117" s="118">
        <f t="shared" si="117"/>
        <v>0</v>
      </c>
      <c r="Q117" s="118">
        <f t="shared" si="117"/>
        <v>0</v>
      </c>
      <c r="R117" s="118">
        <f t="shared" si="117"/>
        <v>0</v>
      </c>
      <c r="S117" s="118">
        <f t="shared" si="117"/>
        <v>0</v>
      </c>
      <c r="T117" s="118">
        <f t="shared" si="117"/>
        <v>0</v>
      </c>
      <c r="U117" s="118">
        <f t="shared" si="117"/>
        <v>0</v>
      </c>
      <c r="V117" s="118">
        <f t="shared" si="117"/>
        <v>0</v>
      </c>
      <c r="W117" s="118">
        <f t="shared" si="117"/>
        <v>0</v>
      </c>
      <c r="X117" s="118">
        <f t="shared" si="117"/>
        <v>0</v>
      </c>
      <c r="Y117" s="118">
        <f t="shared" si="117"/>
        <v>0</v>
      </c>
      <c r="Z117" s="118">
        <f t="shared" si="117"/>
        <v>0</v>
      </c>
      <c r="AA117" s="118">
        <f t="shared" si="117"/>
        <v>0</v>
      </c>
      <c r="AB117" s="118">
        <f t="shared" si="117"/>
        <v>0</v>
      </c>
      <c r="AC117" s="118">
        <f t="shared" si="117"/>
        <v>-483.988</v>
      </c>
      <c r="AD117" s="118">
        <f t="shared" si="117"/>
        <v>0</v>
      </c>
      <c r="AE117" s="118">
        <f t="shared" si="117"/>
        <v>0</v>
      </c>
    </row>
    <row r="118" spans="2:31" x14ac:dyDescent="0.2">
      <c r="C118" t="s">
        <v>231</v>
      </c>
      <c r="D118" s="23" t="s">
        <v>92</v>
      </c>
      <c r="E118" s="123" t="s">
        <v>213</v>
      </c>
      <c r="F118" s="107">
        <f>SUM(H118:AE118)</f>
        <v>-300</v>
      </c>
      <c r="H118" s="118">
        <f t="shared" ref="H118:AE118" si="118">SUMIFS(INDEX(_HistCFS_M_Data,0,MATCH(H$5,_HistCFS_M_MonthEnd,0)),_HistCFS_M_Labels,$C118)/1000</f>
        <v>0</v>
      </c>
      <c r="I118" s="118">
        <f t="shared" si="118"/>
        <v>0</v>
      </c>
      <c r="J118" s="118">
        <f t="shared" si="118"/>
        <v>0</v>
      </c>
      <c r="K118" s="118">
        <f t="shared" si="118"/>
        <v>0</v>
      </c>
      <c r="L118" s="118">
        <f t="shared" si="118"/>
        <v>0</v>
      </c>
      <c r="M118" s="118">
        <f t="shared" si="118"/>
        <v>0</v>
      </c>
      <c r="N118" s="118">
        <f t="shared" si="118"/>
        <v>0</v>
      </c>
      <c r="O118" s="118">
        <f t="shared" si="118"/>
        <v>0</v>
      </c>
      <c r="P118" s="118">
        <f t="shared" si="118"/>
        <v>0</v>
      </c>
      <c r="Q118" s="118">
        <f t="shared" si="118"/>
        <v>0</v>
      </c>
      <c r="R118" s="118">
        <f t="shared" si="118"/>
        <v>0</v>
      </c>
      <c r="S118" s="118">
        <f t="shared" si="118"/>
        <v>0</v>
      </c>
      <c r="T118" s="118">
        <f t="shared" si="118"/>
        <v>0</v>
      </c>
      <c r="U118" s="118">
        <f t="shared" si="118"/>
        <v>0</v>
      </c>
      <c r="V118" s="118">
        <f t="shared" si="118"/>
        <v>0</v>
      </c>
      <c r="W118" s="118">
        <f t="shared" si="118"/>
        <v>0</v>
      </c>
      <c r="X118" s="118">
        <f t="shared" si="118"/>
        <v>0</v>
      </c>
      <c r="Y118" s="118">
        <f t="shared" si="118"/>
        <v>0</v>
      </c>
      <c r="Z118" s="118">
        <f t="shared" si="118"/>
        <v>0</v>
      </c>
      <c r="AA118" s="118">
        <f t="shared" si="118"/>
        <v>0</v>
      </c>
      <c r="AB118" s="118">
        <f t="shared" si="118"/>
        <v>0</v>
      </c>
      <c r="AC118" s="118">
        <f t="shared" si="118"/>
        <v>-300</v>
      </c>
      <c r="AD118" s="118">
        <f t="shared" si="118"/>
        <v>0</v>
      </c>
      <c r="AE118" s="118">
        <f t="shared" si="118"/>
        <v>0</v>
      </c>
    </row>
    <row r="119" spans="2:31" x14ac:dyDescent="0.2">
      <c r="C119" s="42" t="s">
        <v>232</v>
      </c>
      <c r="D119" s="43" t="s">
        <v>92</v>
      </c>
      <c r="E119" s="42"/>
      <c r="F119" s="108">
        <f>SUM(H119:AE119)</f>
        <v>-400</v>
      </c>
      <c r="G119" s="42"/>
      <c r="H119" s="125">
        <f>SUM(H116:H118)</f>
        <v>0</v>
      </c>
      <c r="I119" s="125">
        <f t="shared" ref="I119:AE119" si="119">SUM(I116:I118)</f>
        <v>0</v>
      </c>
      <c r="J119" s="125">
        <f t="shared" si="119"/>
        <v>0</v>
      </c>
      <c r="K119" s="125">
        <f t="shared" si="119"/>
        <v>-400</v>
      </c>
      <c r="L119" s="125">
        <f t="shared" si="119"/>
        <v>0</v>
      </c>
      <c r="M119" s="125">
        <f t="shared" si="119"/>
        <v>0</v>
      </c>
      <c r="N119" s="125">
        <f t="shared" si="119"/>
        <v>0</v>
      </c>
      <c r="O119" s="125">
        <f t="shared" si="119"/>
        <v>0</v>
      </c>
      <c r="P119" s="125">
        <f t="shared" si="119"/>
        <v>0</v>
      </c>
      <c r="Q119" s="125">
        <f t="shared" si="119"/>
        <v>0</v>
      </c>
      <c r="R119" s="125">
        <f t="shared" si="119"/>
        <v>0</v>
      </c>
      <c r="S119" s="125">
        <f t="shared" si="119"/>
        <v>0</v>
      </c>
      <c r="T119" s="125">
        <f t="shared" si="119"/>
        <v>0</v>
      </c>
      <c r="U119" s="125">
        <f t="shared" si="119"/>
        <v>0</v>
      </c>
      <c r="V119" s="125">
        <f t="shared" si="119"/>
        <v>0</v>
      </c>
      <c r="W119" s="125">
        <f t="shared" si="119"/>
        <v>0</v>
      </c>
      <c r="X119" s="125">
        <f t="shared" si="119"/>
        <v>0</v>
      </c>
      <c r="Y119" s="125">
        <f t="shared" si="119"/>
        <v>0</v>
      </c>
      <c r="Z119" s="125">
        <f t="shared" si="119"/>
        <v>0</v>
      </c>
      <c r="AA119" s="125">
        <f t="shared" si="119"/>
        <v>0</v>
      </c>
      <c r="AB119" s="125">
        <f t="shared" si="119"/>
        <v>0</v>
      </c>
      <c r="AC119" s="125">
        <f t="shared" si="119"/>
        <v>0</v>
      </c>
      <c r="AD119" s="125">
        <f t="shared" si="119"/>
        <v>0</v>
      </c>
      <c r="AE119" s="125">
        <f t="shared" si="119"/>
        <v>0</v>
      </c>
    </row>
    <row r="120" spans="2:31" x14ac:dyDescent="0.2">
      <c r="F120" s="106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</row>
    <row r="121" spans="2:31" x14ac:dyDescent="0.2">
      <c r="B121" s="20" t="s">
        <v>233</v>
      </c>
      <c r="F121" s="27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</row>
    <row r="122" spans="2:31" x14ac:dyDescent="0.2">
      <c r="C122" t="s">
        <v>192</v>
      </c>
      <c r="D122" s="23" t="s">
        <v>92</v>
      </c>
      <c r="E122" s="123" t="s">
        <v>213</v>
      </c>
      <c r="F122" s="107">
        <f>SUM(H122:AE122)</f>
        <v>277.93004999999994</v>
      </c>
      <c r="H122" s="118">
        <f t="shared" ref="H122:AE123" si="120">-SUMIFS(INDEX(_HistCFS_M_Data,0,MATCH(H$5,_HistCFS_M_MonthEnd,0)),_HistCFS_M_Labels,$C122)/1000</f>
        <v>129.18615</v>
      </c>
      <c r="I122" s="118">
        <f t="shared" si="120"/>
        <v>93.764499999999998</v>
      </c>
      <c r="J122" s="118">
        <f t="shared" si="120"/>
        <v>5.7361499999999994</v>
      </c>
      <c r="K122" s="118">
        <f t="shared" si="120"/>
        <v>11.452500000000001</v>
      </c>
      <c r="L122" s="118">
        <f t="shared" si="120"/>
        <v>12.04785</v>
      </c>
      <c r="M122" s="118">
        <f t="shared" si="120"/>
        <v>16.3188</v>
      </c>
      <c r="N122" s="118">
        <f t="shared" si="120"/>
        <v>7.7888000000000002</v>
      </c>
      <c r="O122" s="118">
        <f t="shared" si="120"/>
        <v>1.6353</v>
      </c>
      <c r="P122" s="118">
        <f t="shared" si="120"/>
        <v>0</v>
      </c>
      <c r="Q122" s="118">
        <f t="shared" si="120"/>
        <v>0</v>
      </c>
      <c r="R122" s="118">
        <f t="shared" si="120"/>
        <v>0</v>
      </c>
      <c r="S122" s="118">
        <f t="shared" si="120"/>
        <v>0</v>
      </c>
      <c r="T122" s="118">
        <f t="shared" si="120"/>
        <v>0</v>
      </c>
      <c r="U122" s="118">
        <f t="shared" si="120"/>
        <v>0</v>
      </c>
      <c r="V122" s="118">
        <f t="shared" si="120"/>
        <v>0</v>
      </c>
      <c r="W122" s="118">
        <f t="shared" si="120"/>
        <v>0</v>
      </c>
      <c r="X122" s="118">
        <f t="shared" si="120"/>
        <v>0</v>
      </c>
      <c r="Y122" s="118">
        <f t="shared" si="120"/>
        <v>0</v>
      </c>
      <c r="Z122" s="118">
        <f t="shared" si="120"/>
        <v>0</v>
      </c>
      <c r="AA122" s="118">
        <f t="shared" si="120"/>
        <v>0</v>
      </c>
      <c r="AB122" s="118">
        <f t="shared" si="120"/>
        <v>0</v>
      </c>
      <c r="AC122" s="118">
        <f t="shared" si="120"/>
        <v>0</v>
      </c>
      <c r="AD122" s="118">
        <f t="shared" si="120"/>
        <v>0</v>
      </c>
      <c r="AE122" s="118">
        <f t="shared" si="120"/>
        <v>0</v>
      </c>
    </row>
    <row r="123" spans="2:31" x14ac:dyDescent="0.2">
      <c r="C123" t="s">
        <v>193</v>
      </c>
      <c r="D123" s="23" t="s">
        <v>92</v>
      </c>
      <c r="E123" s="123" t="s">
        <v>213</v>
      </c>
      <c r="F123" s="107">
        <f>SUM(H123:AE123)</f>
        <v>35.719359999999988</v>
      </c>
      <c r="H123" s="118">
        <f t="shared" si="120"/>
        <v>0</v>
      </c>
      <c r="I123" s="118">
        <f t="shared" si="120"/>
        <v>0</v>
      </c>
      <c r="J123" s="118">
        <f t="shared" si="120"/>
        <v>0</v>
      </c>
      <c r="K123" s="118">
        <f t="shared" si="120"/>
        <v>0</v>
      </c>
      <c r="L123" s="118">
        <f t="shared" si="120"/>
        <v>0</v>
      </c>
      <c r="M123" s="118">
        <f t="shared" si="120"/>
        <v>0</v>
      </c>
      <c r="N123" s="118">
        <f t="shared" si="120"/>
        <v>0</v>
      </c>
      <c r="O123" s="118">
        <f t="shared" si="120"/>
        <v>0</v>
      </c>
      <c r="P123" s="118">
        <f t="shared" si="120"/>
        <v>0</v>
      </c>
      <c r="Q123" s="118">
        <f t="shared" si="120"/>
        <v>0</v>
      </c>
      <c r="R123" s="118">
        <f t="shared" si="120"/>
        <v>0</v>
      </c>
      <c r="S123" s="118">
        <f t="shared" si="120"/>
        <v>0</v>
      </c>
      <c r="T123" s="118">
        <f t="shared" si="120"/>
        <v>0</v>
      </c>
      <c r="U123" s="118">
        <f t="shared" si="120"/>
        <v>40.31288</v>
      </c>
      <c r="V123" s="118">
        <f t="shared" si="120"/>
        <v>6.1222500000000002</v>
      </c>
      <c r="W123" s="118">
        <f t="shared" si="120"/>
        <v>0</v>
      </c>
      <c r="X123" s="118">
        <f t="shared" si="120"/>
        <v>-2.3812899999999999</v>
      </c>
      <c r="Y123" s="118">
        <f t="shared" si="120"/>
        <v>-1.1906400000000001</v>
      </c>
      <c r="Z123" s="118">
        <f t="shared" si="120"/>
        <v>-1.1906400000000001</v>
      </c>
      <c r="AA123" s="118">
        <f t="shared" si="120"/>
        <v>-1.1906400000000001</v>
      </c>
      <c r="AB123" s="118">
        <f t="shared" si="120"/>
        <v>-1.1906400000000001</v>
      </c>
      <c r="AC123" s="118">
        <f t="shared" si="120"/>
        <v>-1.1906400000000001</v>
      </c>
      <c r="AD123" s="118">
        <f t="shared" si="120"/>
        <v>-1.1906400000000001</v>
      </c>
      <c r="AE123" s="118">
        <f t="shared" si="120"/>
        <v>-1.1906400000000001</v>
      </c>
    </row>
    <row r="124" spans="2:31" x14ac:dyDescent="0.2">
      <c r="C124" s="42" t="s">
        <v>194</v>
      </c>
      <c r="D124" s="43" t="s">
        <v>92</v>
      </c>
      <c r="E124" s="42"/>
      <c r="F124" s="108">
        <f>SUM(H124:AE124)</f>
        <v>313.64941000000016</v>
      </c>
      <c r="G124" s="42"/>
      <c r="H124" s="125">
        <f t="shared" ref="H124:AE124" si="121">SUM(H122:H123)</f>
        <v>129.18615</v>
      </c>
      <c r="I124" s="125">
        <f t="shared" si="121"/>
        <v>93.764499999999998</v>
      </c>
      <c r="J124" s="125">
        <f t="shared" si="121"/>
        <v>5.7361499999999994</v>
      </c>
      <c r="K124" s="125">
        <f t="shared" si="121"/>
        <v>11.452500000000001</v>
      </c>
      <c r="L124" s="125">
        <f t="shared" si="121"/>
        <v>12.04785</v>
      </c>
      <c r="M124" s="125">
        <f t="shared" si="121"/>
        <v>16.3188</v>
      </c>
      <c r="N124" s="125">
        <f t="shared" si="121"/>
        <v>7.7888000000000002</v>
      </c>
      <c r="O124" s="125">
        <f t="shared" si="121"/>
        <v>1.6353</v>
      </c>
      <c r="P124" s="125">
        <f t="shared" si="121"/>
        <v>0</v>
      </c>
      <c r="Q124" s="125">
        <f t="shared" si="121"/>
        <v>0</v>
      </c>
      <c r="R124" s="125">
        <f t="shared" si="121"/>
        <v>0</v>
      </c>
      <c r="S124" s="125">
        <f t="shared" si="121"/>
        <v>0</v>
      </c>
      <c r="T124" s="125">
        <f t="shared" si="121"/>
        <v>0</v>
      </c>
      <c r="U124" s="125">
        <f t="shared" si="121"/>
        <v>40.31288</v>
      </c>
      <c r="V124" s="125">
        <f t="shared" si="121"/>
        <v>6.1222500000000002</v>
      </c>
      <c r="W124" s="125">
        <f t="shared" si="121"/>
        <v>0</v>
      </c>
      <c r="X124" s="125">
        <f t="shared" si="121"/>
        <v>-2.3812899999999999</v>
      </c>
      <c r="Y124" s="125">
        <f t="shared" si="121"/>
        <v>-1.1906400000000001</v>
      </c>
      <c r="Z124" s="125">
        <f t="shared" si="121"/>
        <v>-1.1906400000000001</v>
      </c>
      <c r="AA124" s="125">
        <f t="shared" si="121"/>
        <v>-1.1906400000000001</v>
      </c>
      <c r="AB124" s="125">
        <f t="shared" si="121"/>
        <v>-1.1906400000000001</v>
      </c>
      <c r="AC124" s="125">
        <f t="shared" si="121"/>
        <v>-1.1906400000000001</v>
      </c>
      <c r="AD124" s="125">
        <f t="shared" si="121"/>
        <v>-1.1906400000000001</v>
      </c>
      <c r="AE124" s="125">
        <f t="shared" si="121"/>
        <v>-1.1906400000000001</v>
      </c>
    </row>
    <row r="125" spans="2:31" x14ac:dyDescent="0.2">
      <c r="F125" s="27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</row>
    <row r="126" spans="2:31" x14ac:dyDescent="0.2">
      <c r="B126" s="20" t="s">
        <v>76</v>
      </c>
      <c r="E126" s="152"/>
      <c r="F126" s="27"/>
      <c r="H126" s="239"/>
      <c r="I126" s="239"/>
      <c r="J126" s="239"/>
      <c r="K126" s="239"/>
      <c r="L126" s="239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</row>
    <row r="127" spans="2:31" x14ac:dyDescent="0.2">
      <c r="C127" t="s">
        <v>134</v>
      </c>
      <c r="D127" s="23" t="s">
        <v>92</v>
      </c>
      <c r="E127" s="123"/>
      <c r="F127" s="27"/>
      <c r="H127" s="114">
        <f>G129</f>
        <v>0</v>
      </c>
      <c r="I127" s="114">
        <f t="shared" ref="I127:L127" si="122">H129</f>
        <v>0</v>
      </c>
      <c r="J127" s="114">
        <f t="shared" si="122"/>
        <v>0</v>
      </c>
      <c r="K127" s="114">
        <f t="shared" si="122"/>
        <v>0</v>
      </c>
      <c r="L127" s="114">
        <f t="shared" si="122"/>
        <v>0</v>
      </c>
      <c r="M127" s="114">
        <f t="shared" ref="M127" si="123">L129</f>
        <v>0</v>
      </c>
      <c r="N127" s="114">
        <f t="shared" ref="N127" si="124">M129</f>
        <v>0</v>
      </c>
      <c r="O127" s="114">
        <f t="shared" ref="O127" si="125">N129</f>
        <v>0</v>
      </c>
      <c r="P127" s="114">
        <f t="shared" ref="P127" si="126">O129</f>
        <v>0</v>
      </c>
      <c r="Q127" s="114">
        <f t="shared" ref="Q127" si="127">P129</f>
        <v>0</v>
      </c>
      <c r="R127" s="114">
        <f t="shared" ref="R127" si="128">Q129</f>
        <v>0</v>
      </c>
      <c r="S127" s="114">
        <f t="shared" ref="S127" si="129">R129</f>
        <v>0</v>
      </c>
      <c r="T127" s="114">
        <f t="shared" ref="T127" si="130">S129</f>
        <v>0</v>
      </c>
      <c r="U127" s="114">
        <f t="shared" ref="U127" si="131">T129</f>
        <v>0</v>
      </c>
      <c r="V127" s="114">
        <f t="shared" ref="V127" si="132">U129</f>
        <v>0</v>
      </c>
      <c r="W127" s="114">
        <f t="shared" ref="W127" si="133">V129</f>
        <v>0</v>
      </c>
      <c r="X127" s="114">
        <f t="shared" ref="X127" si="134">W129</f>
        <v>2500</v>
      </c>
      <c r="Y127" s="114">
        <f t="shared" ref="Y127" si="135">X129</f>
        <v>4500</v>
      </c>
      <c r="Z127" s="114">
        <f t="shared" ref="Z127" si="136">Y129</f>
        <v>4500</v>
      </c>
      <c r="AA127" s="114">
        <f t="shared" ref="AA127" si="137">Z129</f>
        <v>4375</v>
      </c>
      <c r="AB127" s="114">
        <f t="shared" ref="AB127" si="138">AA129</f>
        <v>4250</v>
      </c>
      <c r="AC127" s="114">
        <f>AB129</f>
        <v>4125</v>
      </c>
      <c r="AD127" s="114">
        <f t="shared" ref="AD127" si="139">AC129</f>
        <v>4000</v>
      </c>
      <c r="AE127" s="114">
        <f t="shared" ref="AE127" si="140">AD129</f>
        <v>3875</v>
      </c>
    </row>
    <row r="128" spans="2:31" x14ac:dyDescent="0.2">
      <c r="C128" t="s">
        <v>195</v>
      </c>
      <c r="D128" s="23" t="s">
        <v>92</v>
      </c>
      <c r="E128" s="123" t="s">
        <v>213</v>
      </c>
      <c r="F128" s="107">
        <f>SUM(H128:AE128)</f>
        <v>3750</v>
      </c>
      <c r="H128" s="118">
        <f t="shared" ref="H128:AE128" si="141">SUMIFS(INDEX(_HistCFS_M_Data,0,MATCH(H$5,_HistCFS_M_MonthEnd,0)),_HistCFS_M_Labels,$C128)/1000</f>
        <v>0</v>
      </c>
      <c r="I128" s="118">
        <f t="shared" si="141"/>
        <v>0</v>
      </c>
      <c r="J128" s="118">
        <f t="shared" si="141"/>
        <v>0</v>
      </c>
      <c r="K128" s="118">
        <f t="shared" si="141"/>
        <v>0</v>
      </c>
      <c r="L128" s="118">
        <f t="shared" si="141"/>
        <v>0</v>
      </c>
      <c r="M128" s="118">
        <f t="shared" si="141"/>
        <v>0</v>
      </c>
      <c r="N128" s="118">
        <f t="shared" si="141"/>
        <v>0</v>
      </c>
      <c r="O128" s="118">
        <f t="shared" si="141"/>
        <v>0</v>
      </c>
      <c r="P128" s="118">
        <f t="shared" si="141"/>
        <v>0</v>
      </c>
      <c r="Q128" s="118">
        <f t="shared" si="141"/>
        <v>0</v>
      </c>
      <c r="R128" s="118">
        <f t="shared" si="141"/>
        <v>0</v>
      </c>
      <c r="S128" s="118">
        <f t="shared" si="141"/>
        <v>0</v>
      </c>
      <c r="T128" s="118">
        <f t="shared" si="141"/>
        <v>0</v>
      </c>
      <c r="U128" s="118">
        <f t="shared" si="141"/>
        <v>0</v>
      </c>
      <c r="V128" s="118">
        <f t="shared" si="141"/>
        <v>0</v>
      </c>
      <c r="W128" s="118">
        <f t="shared" si="141"/>
        <v>2500</v>
      </c>
      <c r="X128" s="118">
        <f t="shared" si="141"/>
        <v>2000</v>
      </c>
      <c r="Y128" s="118">
        <f t="shared" si="141"/>
        <v>0</v>
      </c>
      <c r="Z128" s="118">
        <f t="shared" si="141"/>
        <v>-125</v>
      </c>
      <c r="AA128" s="118">
        <f t="shared" si="141"/>
        <v>-125</v>
      </c>
      <c r="AB128" s="118">
        <f t="shared" si="141"/>
        <v>-125</v>
      </c>
      <c r="AC128" s="118">
        <f t="shared" si="141"/>
        <v>-125</v>
      </c>
      <c r="AD128" s="118">
        <f t="shared" si="141"/>
        <v>-125</v>
      </c>
      <c r="AE128" s="118">
        <f t="shared" si="141"/>
        <v>-125</v>
      </c>
    </row>
    <row r="129" spans="3:31" x14ac:dyDescent="0.2">
      <c r="C129" s="42" t="s">
        <v>137</v>
      </c>
      <c r="D129" s="43" t="s">
        <v>92</v>
      </c>
      <c r="E129" s="136"/>
      <c r="F129" s="126"/>
      <c r="G129" s="98">
        <v>0</v>
      </c>
      <c r="H129" s="125">
        <f>SUM(H127:H128)</f>
        <v>0</v>
      </c>
      <c r="I129" s="125">
        <f t="shared" ref="I129:AE129" si="142">SUM(I127:I128)</f>
        <v>0</v>
      </c>
      <c r="J129" s="125">
        <f t="shared" si="142"/>
        <v>0</v>
      </c>
      <c r="K129" s="125">
        <f t="shared" si="142"/>
        <v>0</v>
      </c>
      <c r="L129" s="125">
        <f t="shared" si="142"/>
        <v>0</v>
      </c>
      <c r="M129" s="125">
        <f t="shared" si="142"/>
        <v>0</v>
      </c>
      <c r="N129" s="125">
        <f t="shared" si="142"/>
        <v>0</v>
      </c>
      <c r="O129" s="125">
        <f t="shared" si="142"/>
        <v>0</v>
      </c>
      <c r="P129" s="125">
        <f t="shared" si="142"/>
        <v>0</v>
      </c>
      <c r="Q129" s="125">
        <f t="shared" si="142"/>
        <v>0</v>
      </c>
      <c r="R129" s="125">
        <f t="shared" si="142"/>
        <v>0</v>
      </c>
      <c r="S129" s="125">
        <f t="shared" si="142"/>
        <v>0</v>
      </c>
      <c r="T129" s="125">
        <f t="shared" si="142"/>
        <v>0</v>
      </c>
      <c r="U129" s="125">
        <f t="shared" si="142"/>
        <v>0</v>
      </c>
      <c r="V129" s="125">
        <f t="shared" si="142"/>
        <v>0</v>
      </c>
      <c r="W129" s="125">
        <f t="shared" si="142"/>
        <v>2500</v>
      </c>
      <c r="X129" s="125">
        <f t="shared" si="142"/>
        <v>4500</v>
      </c>
      <c r="Y129" s="125">
        <f t="shared" si="142"/>
        <v>4500</v>
      </c>
      <c r="Z129" s="125">
        <f t="shared" si="142"/>
        <v>4375</v>
      </c>
      <c r="AA129" s="125">
        <f t="shared" si="142"/>
        <v>4250</v>
      </c>
      <c r="AB129" s="125">
        <f t="shared" si="142"/>
        <v>4125</v>
      </c>
      <c r="AC129" s="125">
        <f t="shared" si="142"/>
        <v>4000</v>
      </c>
      <c r="AD129" s="125">
        <f t="shared" si="142"/>
        <v>3875</v>
      </c>
      <c r="AE129" s="125">
        <f t="shared" si="142"/>
        <v>3750</v>
      </c>
    </row>
  </sheetData>
  <conditionalFormatting sqref="F49:AE49">
    <cfRule type="cellIs" dxfId="3" priority="4" operator="greaterThan">
      <formula>0</formula>
    </cfRule>
  </conditionalFormatting>
  <conditionalFormatting sqref="F60:AE60">
    <cfRule type="cellIs" dxfId="2" priority="3" operator="greaterThan">
      <formula>0</formula>
    </cfRule>
  </conditionalFormatting>
  <conditionalFormatting sqref="F70:AE70">
    <cfRule type="cellIs" dxfId="1" priority="2" operator="greaterThan">
      <formula>0</formula>
    </cfRule>
  </conditionalFormatting>
  <conditionalFormatting sqref="F101:AE101">
    <cfRule type="cellIs" dxfId="0" priority="1" operator="greaterThan">
      <formula>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394C-AC40-4BC2-A41A-AED1C95A805F}">
  <sheetPr>
    <tabColor theme="4"/>
  </sheetPr>
  <dimension ref="A1"/>
  <sheetViews>
    <sheetView showGridLines="0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5C86-96FD-4588-B2DE-D1C29A77007C}">
  <sheetPr>
    <pageSetUpPr fitToPage="1"/>
  </sheetPr>
  <dimension ref="A1:AO148"/>
  <sheetViews>
    <sheetView showGridLines="0" zoomScaleNormal="100" workbookViewId="0">
      <pane xSplit="1" ySplit="5" topLeftCell="B6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baseColWidth="10" defaultColWidth="0" defaultRowHeight="15" outlineLevelRow="2" outlineLevelCol="1" x14ac:dyDescent="0.2"/>
  <cols>
    <col min="1" max="1" width="40.83203125" style="2" customWidth="1"/>
    <col min="2" max="2" width="8.5" style="2" hidden="1" customWidth="1"/>
    <col min="3" max="3" width="19.83203125" style="2" hidden="1" customWidth="1"/>
    <col min="4" max="4" width="1.6640625" style="2" customWidth="1"/>
    <col min="5" max="16" width="10.5" style="5" customWidth="1" outlineLevel="1"/>
    <col min="17" max="28" width="10.5" style="2" customWidth="1" outlineLevel="1"/>
    <col min="29" max="29" width="2.5" style="2" customWidth="1"/>
    <col min="30" max="37" width="10.5" style="2" customWidth="1" outlineLevel="1"/>
    <col min="38" max="38" width="2.5" style="2" customWidth="1"/>
    <col min="39" max="40" width="10.5" style="2" customWidth="1" outlineLevel="1"/>
    <col min="41" max="41" width="8.6640625" style="2" customWidth="1"/>
    <col min="42" max="16384" width="0" style="2" hidden="1"/>
  </cols>
  <sheetData>
    <row r="1" spans="1:40" ht="18" x14ac:dyDescent="0.2">
      <c r="A1" s="17" t="s">
        <v>234</v>
      </c>
      <c r="B1" s="17"/>
      <c r="C1" s="17"/>
      <c r="D1" s="1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40" ht="18" x14ac:dyDescent="0.2">
      <c r="A2" s="17" t="s">
        <v>235</v>
      </c>
      <c r="B2" s="17"/>
      <c r="C2" s="17"/>
      <c r="D2" s="1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40" x14ac:dyDescent="0.2">
      <c r="A3" s="18" t="s">
        <v>236</v>
      </c>
      <c r="B3" s="18"/>
      <c r="C3" s="18"/>
      <c r="D3" s="1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40" x14ac:dyDescent="0.2">
      <c r="E4" s="30" t="s">
        <v>237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D4" s="30" t="s">
        <v>238</v>
      </c>
      <c r="AM4" s="2" t="s">
        <v>239</v>
      </c>
    </row>
    <row r="5" spans="1:40" ht="16" x14ac:dyDescent="0.2">
      <c r="A5" s="66" t="s">
        <v>240</v>
      </c>
      <c r="B5" s="66"/>
      <c r="C5" s="66"/>
      <c r="D5" s="66"/>
      <c r="E5" s="67">
        <v>45322</v>
      </c>
      <c r="F5" s="67">
        <v>45351</v>
      </c>
      <c r="G5" s="67">
        <v>45382</v>
      </c>
      <c r="H5" s="67">
        <v>45412</v>
      </c>
      <c r="I5" s="67">
        <v>45443</v>
      </c>
      <c r="J5" s="67">
        <v>45473</v>
      </c>
      <c r="K5" s="67">
        <v>45504</v>
      </c>
      <c r="L5" s="67">
        <v>45535</v>
      </c>
      <c r="M5" s="67">
        <v>45565</v>
      </c>
      <c r="N5" s="67">
        <v>45596</v>
      </c>
      <c r="O5" s="67">
        <v>45626</v>
      </c>
      <c r="P5" s="67">
        <v>45657</v>
      </c>
      <c r="Q5" s="67">
        <v>45688</v>
      </c>
      <c r="R5" s="67">
        <v>45716</v>
      </c>
      <c r="S5" s="67">
        <v>45747</v>
      </c>
      <c r="T5" s="67">
        <v>45777</v>
      </c>
      <c r="U5" s="67">
        <v>45808</v>
      </c>
      <c r="V5" s="67">
        <v>45838</v>
      </c>
      <c r="W5" s="67">
        <v>45869</v>
      </c>
      <c r="X5" s="67">
        <v>45900</v>
      </c>
      <c r="Y5" s="67">
        <f>EOMONTH(X5,1)</f>
        <v>45930</v>
      </c>
      <c r="Z5" s="67">
        <f t="shared" ref="Z5:AB5" si="0">EOMONTH(Y5,1)</f>
        <v>45961</v>
      </c>
      <c r="AA5" s="67">
        <f t="shared" si="0"/>
        <v>45991</v>
      </c>
      <c r="AB5" s="67">
        <f t="shared" si="0"/>
        <v>46022</v>
      </c>
      <c r="AC5" s="68"/>
      <c r="AD5" s="69">
        <f>$E$6</f>
        <v>45382</v>
      </c>
      <c r="AE5" s="70">
        <f>EOMONTH(AD5,3)</f>
        <v>45473</v>
      </c>
      <c r="AF5" s="70">
        <f t="shared" ref="AF5:AH5" si="1">EOMONTH(AE5,3)</f>
        <v>45565</v>
      </c>
      <c r="AG5" s="70">
        <f t="shared" si="1"/>
        <v>45657</v>
      </c>
      <c r="AH5" s="70">
        <f t="shared" si="1"/>
        <v>45747</v>
      </c>
      <c r="AI5" s="70">
        <f t="shared" ref="AI5" si="2">EOMONTH(AH5,3)</f>
        <v>45838</v>
      </c>
      <c r="AJ5" s="70">
        <f t="shared" ref="AJ5" si="3">EOMONTH(AI5,3)</f>
        <v>45930</v>
      </c>
      <c r="AK5" s="70">
        <f t="shared" ref="AK5" si="4">EOMONTH(AJ5,3)</f>
        <v>46022</v>
      </c>
      <c r="AL5" s="68"/>
      <c r="AM5" s="69">
        <f>$E$7</f>
        <v>45657</v>
      </c>
      <c r="AN5" s="70">
        <f>EOMONTH(AM5,12)</f>
        <v>46022</v>
      </c>
    </row>
    <row r="6" spans="1:40" ht="16" x14ac:dyDescent="0.2">
      <c r="A6" s="71" t="s">
        <v>241</v>
      </c>
      <c r="B6" s="66"/>
      <c r="C6" s="66"/>
      <c r="D6" s="66"/>
      <c r="E6" s="72">
        <f>DATE(YEAR(E5),ROUNDUP(MONTH(E5)/3,0)*3+1,1)-1</f>
        <v>45382</v>
      </c>
      <c r="F6" s="72">
        <f t="shared" ref="F6:S6" si="5">DATE(YEAR(F5),ROUNDUP(MONTH(F5)/3,0)*3+1,1)-1</f>
        <v>45382</v>
      </c>
      <c r="G6" s="72">
        <f t="shared" si="5"/>
        <v>45382</v>
      </c>
      <c r="H6" s="72">
        <f t="shared" si="5"/>
        <v>45473</v>
      </c>
      <c r="I6" s="72">
        <f t="shared" si="5"/>
        <v>45473</v>
      </c>
      <c r="J6" s="72">
        <f t="shared" si="5"/>
        <v>45473</v>
      </c>
      <c r="K6" s="72">
        <f t="shared" si="5"/>
        <v>45565</v>
      </c>
      <c r="L6" s="72">
        <f t="shared" si="5"/>
        <v>45565</v>
      </c>
      <c r="M6" s="72">
        <f t="shared" si="5"/>
        <v>45565</v>
      </c>
      <c r="N6" s="72">
        <f t="shared" si="5"/>
        <v>45657</v>
      </c>
      <c r="O6" s="72">
        <f t="shared" si="5"/>
        <v>45657</v>
      </c>
      <c r="P6" s="72">
        <f t="shared" si="5"/>
        <v>45657</v>
      </c>
      <c r="Q6" s="72">
        <f t="shared" si="5"/>
        <v>45747</v>
      </c>
      <c r="R6" s="72">
        <f t="shared" si="5"/>
        <v>45747</v>
      </c>
      <c r="S6" s="72">
        <f t="shared" si="5"/>
        <v>45747</v>
      </c>
      <c r="T6" s="72">
        <f t="shared" ref="T6:X6" si="6">DATE(YEAR(T5),ROUNDUP(MONTH(T5)/3,0)*3+1,1)-1</f>
        <v>45838</v>
      </c>
      <c r="U6" s="72">
        <f t="shared" si="6"/>
        <v>45838</v>
      </c>
      <c r="V6" s="72">
        <f t="shared" si="6"/>
        <v>45838</v>
      </c>
      <c r="W6" s="72">
        <f t="shared" si="6"/>
        <v>45930</v>
      </c>
      <c r="X6" s="72">
        <f t="shared" si="6"/>
        <v>45930</v>
      </c>
      <c r="Y6" s="72">
        <f t="shared" ref="Y6:AB6" si="7">DATE(YEAR(Y5),ROUNDUP(MONTH(Y5)/3,0)*3+1,1)-1</f>
        <v>45930</v>
      </c>
      <c r="Z6" s="72">
        <f t="shared" si="7"/>
        <v>46022</v>
      </c>
      <c r="AA6" s="72">
        <f t="shared" si="7"/>
        <v>46022</v>
      </c>
      <c r="AB6" s="72">
        <f t="shared" si="7"/>
        <v>46022</v>
      </c>
      <c r="AC6" s="73"/>
      <c r="AD6" s="72">
        <f t="shared" ref="AD6" si="8">DATE(YEAR(AD5),ROUNDUP(MONTH(AD5)/3,0)*3+1,1)-1</f>
        <v>45382</v>
      </c>
      <c r="AE6" s="72">
        <f t="shared" ref="AE6" si="9">DATE(YEAR(AE5),ROUNDUP(MONTH(AE5)/3,0)*3+1,1)-1</f>
        <v>45473</v>
      </c>
      <c r="AF6" s="72">
        <f t="shared" ref="AF6" si="10">DATE(YEAR(AF5),ROUNDUP(MONTH(AF5)/3,0)*3+1,1)-1</f>
        <v>45565</v>
      </c>
      <c r="AG6" s="72">
        <f t="shared" ref="AG6" si="11">DATE(YEAR(AG5),ROUNDUP(MONTH(AG5)/3,0)*3+1,1)-1</f>
        <v>45657</v>
      </c>
      <c r="AH6" s="72">
        <f t="shared" ref="AH6:AM6" si="12">DATE(YEAR(AH5),ROUNDUP(MONTH(AH5)/3,0)*3+1,1)-1</f>
        <v>45747</v>
      </c>
      <c r="AI6" s="72">
        <f t="shared" ref="AI6:AK6" si="13">DATE(YEAR(AI5),ROUNDUP(MONTH(AI5)/3,0)*3+1,1)-1</f>
        <v>45838</v>
      </c>
      <c r="AJ6" s="72">
        <f t="shared" si="13"/>
        <v>45930</v>
      </c>
      <c r="AK6" s="72">
        <f t="shared" si="13"/>
        <v>46022</v>
      </c>
      <c r="AL6" s="73"/>
      <c r="AM6" s="72">
        <f t="shared" si="12"/>
        <v>45657</v>
      </c>
      <c r="AN6" s="72">
        <f t="shared" ref="AN6" si="14">DATE(YEAR(AN5),ROUNDUP(MONTH(AN5)/3,0)*3+1,1)-1</f>
        <v>46022</v>
      </c>
    </row>
    <row r="7" spans="1:40" ht="16" x14ac:dyDescent="0.2">
      <c r="A7" s="74" t="s">
        <v>197</v>
      </c>
      <c r="B7" s="80" t="s">
        <v>242</v>
      </c>
      <c r="C7" s="75" t="s">
        <v>243</v>
      </c>
      <c r="D7" s="75"/>
      <c r="E7" s="76">
        <f>DATE(YEAR(E5),12,31)</f>
        <v>45657</v>
      </c>
      <c r="F7" s="76">
        <f t="shared" ref="F7:AH7" si="15">DATE(YEAR(F5),12,31)</f>
        <v>45657</v>
      </c>
      <c r="G7" s="76">
        <f t="shared" si="15"/>
        <v>45657</v>
      </c>
      <c r="H7" s="76">
        <f t="shared" si="15"/>
        <v>45657</v>
      </c>
      <c r="I7" s="76">
        <f t="shared" si="15"/>
        <v>45657</v>
      </c>
      <c r="J7" s="76">
        <f t="shared" si="15"/>
        <v>45657</v>
      </c>
      <c r="K7" s="76">
        <f t="shared" si="15"/>
        <v>45657</v>
      </c>
      <c r="L7" s="76">
        <f t="shared" si="15"/>
        <v>45657</v>
      </c>
      <c r="M7" s="76">
        <f t="shared" si="15"/>
        <v>45657</v>
      </c>
      <c r="N7" s="76">
        <f t="shared" si="15"/>
        <v>45657</v>
      </c>
      <c r="O7" s="76">
        <f t="shared" si="15"/>
        <v>45657</v>
      </c>
      <c r="P7" s="76">
        <f t="shared" si="15"/>
        <v>45657</v>
      </c>
      <c r="Q7" s="76">
        <f t="shared" si="15"/>
        <v>46022</v>
      </c>
      <c r="R7" s="76">
        <f t="shared" si="15"/>
        <v>46022</v>
      </c>
      <c r="S7" s="76">
        <f t="shared" si="15"/>
        <v>46022</v>
      </c>
      <c r="T7" s="76">
        <f t="shared" ref="T7:X7" si="16">DATE(YEAR(T5),12,31)</f>
        <v>46022</v>
      </c>
      <c r="U7" s="76">
        <f t="shared" si="16"/>
        <v>46022</v>
      </c>
      <c r="V7" s="76">
        <f t="shared" si="16"/>
        <v>46022</v>
      </c>
      <c r="W7" s="76">
        <f t="shared" si="16"/>
        <v>46022</v>
      </c>
      <c r="X7" s="76">
        <f t="shared" si="16"/>
        <v>46022</v>
      </c>
      <c r="Y7" s="76">
        <f t="shared" ref="Y7:AB7" si="17">DATE(YEAR(Y5),12,31)</f>
        <v>46022</v>
      </c>
      <c r="Z7" s="76">
        <f t="shared" si="17"/>
        <v>46022</v>
      </c>
      <c r="AA7" s="76">
        <f t="shared" si="17"/>
        <v>46022</v>
      </c>
      <c r="AB7" s="76">
        <f t="shared" si="17"/>
        <v>46022</v>
      </c>
      <c r="AC7" s="73"/>
      <c r="AD7" s="76">
        <f t="shared" si="15"/>
        <v>45657</v>
      </c>
      <c r="AE7" s="76">
        <f t="shared" si="15"/>
        <v>45657</v>
      </c>
      <c r="AF7" s="76">
        <f t="shared" si="15"/>
        <v>45657</v>
      </c>
      <c r="AG7" s="76">
        <f t="shared" si="15"/>
        <v>45657</v>
      </c>
      <c r="AH7" s="76">
        <f t="shared" si="15"/>
        <v>46022</v>
      </c>
      <c r="AI7" s="76">
        <f t="shared" ref="AI7:AK7" si="18">DATE(YEAR(AI5),12,31)</f>
        <v>46022</v>
      </c>
      <c r="AJ7" s="76">
        <f t="shared" si="18"/>
        <v>46022</v>
      </c>
      <c r="AK7" s="76">
        <f t="shared" si="18"/>
        <v>46022</v>
      </c>
      <c r="AL7" s="73"/>
      <c r="AM7" s="76">
        <f t="shared" ref="AM7:AN7" si="19">DATE(YEAR(AM5),12,31)</f>
        <v>45657</v>
      </c>
      <c r="AN7" s="76">
        <f t="shared" si="19"/>
        <v>46022</v>
      </c>
    </row>
    <row r="8" spans="1:40" x14ac:dyDescent="0.2">
      <c r="A8" s="3" t="s">
        <v>112</v>
      </c>
      <c r="B8" s="77"/>
      <c r="C8" s="77" t="s">
        <v>91</v>
      </c>
      <c r="D8" s="77"/>
      <c r="E8" s="44">
        <f>0</f>
        <v>0</v>
      </c>
      <c r="F8" s="44">
        <f>0</f>
        <v>0</v>
      </c>
      <c r="G8" s="44">
        <f>0</f>
        <v>0</v>
      </c>
      <c r="H8" s="44">
        <f>0</f>
        <v>0</v>
      </c>
      <c r="I8" s="44">
        <f>0</f>
        <v>0</v>
      </c>
      <c r="J8" s="44">
        <f>0</f>
        <v>0</v>
      </c>
      <c r="K8" s="44">
        <f>0</f>
        <v>0</v>
      </c>
      <c r="L8" s="44">
        <f>0</f>
        <v>0</v>
      </c>
      <c r="M8" s="44">
        <f>0</f>
        <v>0</v>
      </c>
      <c r="N8" s="44">
        <f>0</f>
        <v>0</v>
      </c>
      <c r="O8" s="44">
        <f>0</f>
        <v>0</v>
      </c>
      <c r="P8" s="44">
        <f>0</f>
        <v>0</v>
      </c>
      <c r="Q8" s="44">
        <f>0</f>
        <v>0</v>
      </c>
      <c r="R8" s="44">
        <f>0</f>
        <v>0</v>
      </c>
      <c r="S8" s="44">
        <f>0</f>
        <v>0</v>
      </c>
      <c r="T8" s="44">
        <f>0</f>
        <v>0</v>
      </c>
      <c r="U8" s="44">
        <f>0</f>
        <v>0</v>
      </c>
      <c r="V8" s="44">
        <f>0</f>
        <v>0</v>
      </c>
      <c r="W8" s="44">
        <f>0</f>
        <v>0</v>
      </c>
      <c r="X8" s="44">
        <f>0</f>
        <v>0</v>
      </c>
      <c r="Y8" s="44">
        <f>0</f>
        <v>0</v>
      </c>
      <c r="Z8" s="44">
        <f>0</f>
        <v>0</v>
      </c>
      <c r="AA8" s="44">
        <f>0</f>
        <v>0</v>
      </c>
      <c r="AB8" s="44">
        <f>0</f>
        <v>0</v>
      </c>
      <c r="AD8" s="48">
        <f t="shared" ref="AD8:AK10" si="20">SUMIFS($E8:$AB8,$E$6:$AB$6,AD$5)</f>
        <v>0</v>
      </c>
      <c r="AE8" s="48">
        <f t="shared" si="20"/>
        <v>0</v>
      </c>
      <c r="AF8" s="48">
        <f t="shared" si="20"/>
        <v>0</v>
      </c>
      <c r="AG8" s="48">
        <f t="shared" si="20"/>
        <v>0</v>
      </c>
      <c r="AH8" s="48">
        <f t="shared" si="20"/>
        <v>0</v>
      </c>
      <c r="AI8" s="48">
        <f t="shared" si="20"/>
        <v>0</v>
      </c>
      <c r="AJ8" s="48">
        <f t="shared" si="20"/>
        <v>0</v>
      </c>
      <c r="AK8" s="48">
        <f t="shared" si="20"/>
        <v>0</v>
      </c>
      <c r="AL8" s="53"/>
      <c r="AM8" s="48">
        <f t="shared" ref="AM8:AN25" si="21">SUMIFS($E8:$AB8,$E$7:$AB$7,AM$5)</f>
        <v>0</v>
      </c>
      <c r="AN8" s="48">
        <f t="shared" si="21"/>
        <v>0</v>
      </c>
    </row>
    <row r="9" spans="1:40" x14ac:dyDescent="0.2">
      <c r="A9" s="3" t="s">
        <v>244</v>
      </c>
      <c r="B9" s="77"/>
      <c r="C9" s="77"/>
      <c r="D9" s="77"/>
      <c r="E9" s="44">
        <f>0</f>
        <v>0</v>
      </c>
      <c r="F9" s="44">
        <f>0</f>
        <v>0</v>
      </c>
      <c r="G9" s="44">
        <f>0</f>
        <v>0</v>
      </c>
      <c r="H9" s="44">
        <f>0</f>
        <v>0</v>
      </c>
      <c r="I9" s="44">
        <f>0</f>
        <v>0</v>
      </c>
      <c r="J9" s="44">
        <f>0</f>
        <v>0</v>
      </c>
      <c r="K9" s="44">
        <f>0</f>
        <v>0</v>
      </c>
      <c r="L9" s="44">
        <f>0</f>
        <v>0</v>
      </c>
      <c r="M9" s="44">
        <f>0</f>
        <v>0</v>
      </c>
      <c r="N9" s="44">
        <f>0</f>
        <v>0</v>
      </c>
      <c r="O9" s="44">
        <f>0</f>
        <v>0</v>
      </c>
      <c r="P9" s="44">
        <f>0</f>
        <v>0</v>
      </c>
      <c r="Q9" s="44">
        <f>0</f>
        <v>0</v>
      </c>
      <c r="R9" s="44">
        <f>0</f>
        <v>0</v>
      </c>
      <c r="S9" s="44">
        <f>0</f>
        <v>0</v>
      </c>
      <c r="T9" s="44">
        <f>0</f>
        <v>0</v>
      </c>
      <c r="U9" s="44">
        <f>0</f>
        <v>0</v>
      </c>
      <c r="V9" s="44">
        <f>0</f>
        <v>0</v>
      </c>
      <c r="W9" s="44">
        <f>0</f>
        <v>0</v>
      </c>
      <c r="X9" s="44">
        <f>0</f>
        <v>0</v>
      </c>
      <c r="Y9" s="44">
        <f>0</f>
        <v>0</v>
      </c>
      <c r="Z9" s="44">
        <f>0</f>
        <v>0</v>
      </c>
      <c r="AA9" s="44">
        <f>0</f>
        <v>0</v>
      </c>
      <c r="AB9" s="44">
        <f>0</f>
        <v>0</v>
      </c>
      <c r="AD9" s="48">
        <f t="shared" si="20"/>
        <v>0</v>
      </c>
      <c r="AE9" s="48">
        <f t="shared" si="20"/>
        <v>0</v>
      </c>
      <c r="AF9" s="48">
        <f t="shared" si="20"/>
        <v>0</v>
      </c>
      <c r="AG9" s="48">
        <f t="shared" si="20"/>
        <v>0</v>
      </c>
      <c r="AH9" s="48">
        <f t="shared" si="20"/>
        <v>0</v>
      </c>
      <c r="AI9" s="48">
        <f t="shared" si="20"/>
        <v>0</v>
      </c>
      <c r="AJ9" s="48">
        <f t="shared" si="20"/>
        <v>0</v>
      </c>
      <c r="AK9" s="48">
        <f t="shared" si="20"/>
        <v>0</v>
      </c>
      <c r="AL9" s="53"/>
      <c r="AM9" s="48">
        <f t="shared" si="21"/>
        <v>0</v>
      </c>
      <c r="AN9" s="48">
        <f t="shared" si="21"/>
        <v>0</v>
      </c>
    </row>
    <row r="10" spans="1:40" x14ac:dyDescent="0.2">
      <c r="A10" s="3" t="s">
        <v>245</v>
      </c>
      <c r="B10" s="77"/>
      <c r="C10" s="77"/>
      <c r="D10" s="77"/>
      <c r="E10" s="13">
        <f>E8-E9</f>
        <v>0</v>
      </c>
      <c r="F10" s="13">
        <f t="shared" ref="F10:S10" si="22">F8-F9</f>
        <v>0</v>
      </c>
      <c r="G10" s="13">
        <f t="shared" si="22"/>
        <v>0</v>
      </c>
      <c r="H10" s="13">
        <f t="shared" si="22"/>
        <v>0</v>
      </c>
      <c r="I10" s="13">
        <f t="shared" si="22"/>
        <v>0</v>
      </c>
      <c r="J10" s="13">
        <f t="shared" si="22"/>
        <v>0</v>
      </c>
      <c r="K10" s="13">
        <f t="shared" si="22"/>
        <v>0</v>
      </c>
      <c r="L10" s="13">
        <f t="shared" si="22"/>
        <v>0</v>
      </c>
      <c r="M10" s="13">
        <f t="shared" si="22"/>
        <v>0</v>
      </c>
      <c r="N10" s="13">
        <f t="shared" si="22"/>
        <v>0</v>
      </c>
      <c r="O10" s="13">
        <f t="shared" si="22"/>
        <v>0</v>
      </c>
      <c r="P10" s="13">
        <f t="shared" si="22"/>
        <v>0</v>
      </c>
      <c r="Q10" s="13">
        <f t="shared" si="22"/>
        <v>0</v>
      </c>
      <c r="R10" s="13">
        <f t="shared" si="22"/>
        <v>0</v>
      </c>
      <c r="S10" s="13">
        <f t="shared" si="22"/>
        <v>0</v>
      </c>
      <c r="T10" s="13">
        <f t="shared" ref="T10:AB10" si="23">T8-T9</f>
        <v>0</v>
      </c>
      <c r="U10" s="13">
        <f t="shared" si="23"/>
        <v>0</v>
      </c>
      <c r="V10" s="13">
        <f t="shared" si="23"/>
        <v>0</v>
      </c>
      <c r="W10" s="13">
        <f t="shared" si="23"/>
        <v>0</v>
      </c>
      <c r="X10" s="13">
        <f t="shared" si="23"/>
        <v>0</v>
      </c>
      <c r="Y10" s="13">
        <f t="shared" si="23"/>
        <v>0</v>
      </c>
      <c r="Z10" s="13">
        <f t="shared" si="23"/>
        <v>0</v>
      </c>
      <c r="AA10" s="13">
        <f t="shared" si="23"/>
        <v>0</v>
      </c>
      <c r="AB10" s="13">
        <f t="shared" si="23"/>
        <v>0</v>
      </c>
      <c r="AD10" s="49">
        <f t="shared" si="20"/>
        <v>0</v>
      </c>
      <c r="AE10" s="49">
        <f t="shared" si="20"/>
        <v>0</v>
      </c>
      <c r="AF10" s="49">
        <f t="shared" si="20"/>
        <v>0</v>
      </c>
      <c r="AG10" s="49">
        <f t="shared" si="20"/>
        <v>0</v>
      </c>
      <c r="AH10" s="49">
        <f t="shared" si="20"/>
        <v>0</v>
      </c>
      <c r="AI10" s="49">
        <f t="shared" si="20"/>
        <v>0</v>
      </c>
      <c r="AJ10" s="49">
        <f t="shared" si="20"/>
        <v>0</v>
      </c>
      <c r="AK10" s="49">
        <f t="shared" si="20"/>
        <v>0</v>
      </c>
      <c r="AL10" s="53"/>
      <c r="AM10" s="49">
        <f t="shared" si="21"/>
        <v>0</v>
      </c>
      <c r="AN10" s="49">
        <f t="shared" si="21"/>
        <v>0</v>
      </c>
    </row>
    <row r="11" spans="1:40" x14ac:dyDescent="0.2">
      <c r="A11" s="3" t="s">
        <v>93</v>
      </c>
      <c r="B11" s="77"/>
      <c r="C11" s="77"/>
      <c r="D11" s="77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D11" s="48"/>
      <c r="AE11" s="48"/>
      <c r="AF11" s="48"/>
      <c r="AG11" s="48"/>
      <c r="AH11" s="48"/>
      <c r="AI11" s="48"/>
      <c r="AJ11" s="48"/>
      <c r="AK11" s="48"/>
      <c r="AL11" s="53"/>
      <c r="AM11" s="48">
        <f t="shared" si="21"/>
        <v>0</v>
      </c>
      <c r="AN11" s="48">
        <f t="shared" si="21"/>
        <v>0</v>
      </c>
    </row>
    <row r="12" spans="1:40" x14ac:dyDescent="0.2">
      <c r="A12" s="3" t="s">
        <v>246</v>
      </c>
      <c r="B12" s="77" t="s">
        <v>247</v>
      </c>
      <c r="C12" s="240" t="s">
        <v>157</v>
      </c>
      <c r="D12" s="77"/>
      <c r="E12" s="44">
        <f>0</f>
        <v>0</v>
      </c>
      <c r="F12" s="44">
        <f>0</f>
        <v>0</v>
      </c>
      <c r="G12" s="44">
        <f>0</f>
        <v>0</v>
      </c>
      <c r="H12" s="45">
        <f>2142.15</f>
        <v>2142.15</v>
      </c>
      <c r="I12" s="45">
        <f>925</f>
        <v>925</v>
      </c>
      <c r="J12" s="45">
        <f>584.56</f>
        <v>584.55999999999995</v>
      </c>
      <c r="K12" s="44">
        <f>0</f>
        <v>0</v>
      </c>
      <c r="L12" s="44">
        <f>0</f>
        <v>0</v>
      </c>
      <c r="M12" s="44">
        <f>0</f>
        <v>0</v>
      </c>
      <c r="N12" s="45">
        <f>177.12</f>
        <v>177.12</v>
      </c>
      <c r="O12" s="45">
        <f>4812.54</f>
        <v>4812.54</v>
      </c>
      <c r="P12" s="44">
        <f>0</f>
        <v>0</v>
      </c>
      <c r="Q12" s="44">
        <f>0</f>
        <v>0</v>
      </c>
      <c r="R12" s="44">
        <v>6000</v>
      </c>
      <c r="S12" s="44">
        <f>0</f>
        <v>0</v>
      </c>
      <c r="T12" s="44">
        <v>0</v>
      </c>
      <c r="U12" s="44">
        <v>29618</v>
      </c>
      <c r="V12" s="44">
        <v>29411</v>
      </c>
      <c r="W12" s="44">
        <v>7724</v>
      </c>
      <c r="X12" s="44">
        <v>2444</v>
      </c>
      <c r="Y12" s="44">
        <v>25476</v>
      </c>
      <c r="Z12" s="44">
        <v>25281</v>
      </c>
      <c r="AA12" s="44">
        <v>15093</v>
      </c>
      <c r="AB12" s="44">
        <v>12888</v>
      </c>
      <c r="AD12" s="48">
        <f t="shared" ref="AD12:AK25" si="24">SUMIFS($E12:$AB12,$E$6:$AB$6,AD$5)</f>
        <v>0</v>
      </c>
      <c r="AE12" s="48">
        <f t="shared" si="24"/>
        <v>3651.71</v>
      </c>
      <c r="AF12" s="48">
        <f t="shared" si="24"/>
        <v>0</v>
      </c>
      <c r="AG12" s="48">
        <f t="shared" si="24"/>
        <v>4989.66</v>
      </c>
      <c r="AH12" s="48">
        <f t="shared" si="24"/>
        <v>6000</v>
      </c>
      <c r="AI12" s="48">
        <f t="shared" si="24"/>
        <v>59029</v>
      </c>
      <c r="AJ12" s="48">
        <f t="shared" si="24"/>
        <v>35644</v>
      </c>
      <c r="AK12" s="48">
        <f t="shared" si="24"/>
        <v>53262</v>
      </c>
      <c r="AL12" s="53"/>
      <c r="AM12" s="48">
        <f t="shared" si="21"/>
        <v>8641.369999999999</v>
      </c>
      <c r="AN12" s="48">
        <f t="shared" si="21"/>
        <v>153935</v>
      </c>
    </row>
    <row r="13" spans="1:40" x14ac:dyDescent="0.2">
      <c r="A13" s="3" t="s">
        <v>248</v>
      </c>
      <c r="B13" s="77" t="s">
        <v>249</v>
      </c>
      <c r="C13" s="240" t="s">
        <v>157</v>
      </c>
      <c r="D13" s="77"/>
      <c r="E13" s="44">
        <f>0</f>
        <v>0</v>
      </c>
      <c r="F13" s="45">
        <f>3840</f>
        <v>3840</v>
      </c>
      <c r="G13" s="44">
        <f>0</f>
        <v>0</v>
      </c>
      <c r="H13" s="45">
        <f>3988</f>
        <v>3988</v>
      </c>
      <c r="I13" s="44">
        <f>0</f>
        <v>0</v>
      </c>
      <c r="J13" s="45">
        <f>1140</f>
        <v>1140</v>
      </c>
      <c r="K13" s="45">
        <f>3125</f>
        <v>3125</v>
      </c>
      <c r="L13" s="45">
        <f>3006</f>
        <v>3006</v>
      </c>
      <c r="M13" s="45">
        <f>1367.16</f>
        <v>1367.16</v>
      </c>
      <c r="N13" s="45">
        <f>-136.75</f>
        <v>-136.75</v>
      </c>
      <c r="O13" s="45">
        <f>8887.38</f>
        <v>8887.3799999999992</v>
      </c>
      <c r="P13" s="45">
        <f>4636.26</f>
        <v>4636.26</v>
      </c>
      <c r="Q13" s="45">
        <v>315</v>
      </c>
      <c r="R13" s="45">
        <v>7997.27</v>
      </c>
      <c r="S13" s="45">
        <v>215.91</v>
      </c>
      <c r="T13" s="45">
        <v>1606</v>
      </c>
      <c r="U13" s="45">
        <v>411</v>
      </c>
      <c r="V13" s="45">
        <v>1271</v>
      </c>
      <c r="W13" s="45">
        <v>3110</v>
      </c>
      <c r="X13" s="45"/>
      <c r="Y13" s="45">
        <v>5804</v>
      </c>
      <c r="Z13" s="45">
        <v>2059</v>
      </c>
      <c r="AA13" s="45">
        <v>505</v>
      </c>
      <c r="AB13" s="45">
        <v>1375</v>
      </c>
      <c r="AD13" s="50">
        <f t="shared" si="24"/>
        <v>3840</v>
      </c>
      <c r="AE13" s="50">
        <f t="shared" si="24"/>
        <v>5128</v>
      </c>
      <c r="AF13" s="50">
        <f t="shared" si="24"/>
        <v>7498.16</v>
      </c>
      <c r="AG13" s="50">
        <f t="shared" si="24"/>
        <v>13386.89</v>
      </c>
      <c r="AH13" s="50">
        <f t="shared" si="24"/>
        <v>8528.18</v>
      </c>
      <c r="AI13" s="50">
        <f t="shared" si="24"/>
        <v>3288</v>
      </c>
      <c r="AJ13" s="50">
        <f t="shared" si="24"/>
        <v>8914</v>
      </c>
      <c r="AK13" s="50">
        <f t="shared" si="24"/>
        <v>3939</v>
      </c>
      <c r="AL13" s="53"/>
      <c r="AM13" s="50">
        <f t="shared" si="21"/>
        <v>29853.050000000003</v>
      </c>
      <c r="AN13" s="50">
        <f t="shared" si="21"/>
        <v>24669.18</v>
      </c>
    </row>
    <row r="14" spans="1:40" x14ac:dyDescent="0.2">
      <c r="A14" s="3" t="s">
        <v>250</v>
      </c>
      <c r="B14" s="77" t="s">
        <v>251</v>
      </c>
      <c r="C14" s="240" t="s">
        <v>158</v>
      </c>
      <c r="D14" s="77"/>
      <c r="E14" s="44">
        <f>0</f>
        <v>0</v>
      </c>
      <c r="F14" s="44">
        <f>0</f>
        <v>0</v>
      </c>
      <c r="G14" s="44">
        <f>0</f>
        <v>0</v>
      </c>
      <c r="H14" s="44">
        <f>0</f>
        <v>0</v>
      </c>
      <c r="I14" s="44">
        <f>0</f>
        <v>0</v>
      </c>
      <c r="J14" s="44">
        <f>0</f>
        <v>0</v>
      </c>
      <c r="K14" s="45">
        <f>5000</f>
        <v>5000</v>
      </c>
      <c r="L14" s="45">
        <f>2291.66</f>
        <v>2291.66</v>
      </c>
      <c r="M14" s="45">
        <f>42016.25</f>
        <v>42016.25</v>
      </c>
      <c r="N14" s="45">
        <f>20000</f>
        <v>20000</v>
      </c>
      <c r="O14" s="45">
        <f>20000</f>
        <v>20000</v>
      </c>
      <c r="P14" s="45">
        <f>25000</f>
        <v>25000</v>
      </c>
      <c r="Q14" s="45">
        <v>20000</v>
      </c>
      <c r="R14" s="45">
        <f>0</f>
        <v>0</v>
      </c>
      <c r="S14" s="45">
        <v>9975</v>
      </c>
      <c r="T14" s="45">
        <v>34000</v>
      </c>
      <c r="U14" s="45">
        <v>70000</v>
      </c>
      <c r="V14" s="45">
        <v>50000</v>
      </c>
      <c r="W14" s="45">
        <v>30000</v>
      </c>
      <c r="X14" s="45">
        <v>50000</v>
      </c>
      <c r="Y14" s="45">
        <v>50000</v>
      </c>
      <c r="Z14" s="45">
        <v>75000</v>
      </c>
      <c r="AA14" s="45">
        <v>50000</v>
      </c>
      <c r="AB14" s="45">
        <v>95000</v>
      </c>
      <c r="AD14" s="50">
        <f t="shared" si="24"/>
        <v>0</v>
      </c>
      <c r="AE14" s="50">
        <f t="shared" si="24"/>
        <v>0</v>
      </c>
      <c r="AF14" s="50">
        <f t="shared" si="24"/>
        <v>49307.91</v>
      </c>
      <c r="AG14" s="50">
        <f t="shared" si="24"/>
        <v>65000</v>
      </c>
      <c r="AH14" s="50">
        <f t="shared" si="24"/>
        <v>29975</v>
      </c>
      <c r="AI14" s="50">
        <f t="shared" si="24"/>
        <v>154000</v>
      </c>
      <c r="AJ14" s="50">
        <f t="shared" si="24"/>
        <v>130000</v>
      </c>
      <c r="AK14" s="50">
        <f t="shared" si="24"/>
        <v>220000</v>
      </c>
      <c r="AL14" s="53"/>
      <c r="AM14" s="50">
        <f t="shared" si="21"/>
        <v>114307.91</v>
      </c>
      <c r="AN14" s="50">
        <f t="shared" si="21"/>
        <v>533975</v>
      </c>
    </row>
    <row r="15" spans="1:40" outlineLevel="1" x14ac:dyDescent="0.2">
      <c r="A15" s="96" t="s">
        <v>252</v>
      </c>
      <c r="B15" s="78" t="s">
        <v>253</v>
      </c>
      <c r="C15" s="78"/>
      <c r="D15" s="78"/>
      <c r="E15" s="12">
        <f>0</f>
        <v>0</v>
      </c>
      <c r="F15" s="12">
        <f>0</f>
        <v>0</v>
      </c>
      <c r="G15" s="12">
        <f>0</f>
        <v>0</v>
      </c>
      <c r="H15" s="12">
        <f>0</f>
        <v>0</v>
      </c>
      <c r="I15" s="12">
        <f>0</f>
        <v>0</v>
      </c>
      <c r="J15" s="12">
        <f>0</f>
        <v>0</v>
      </c>
      <c r="K15" s="12">
        <f>0</f>
        <v>0</v>
      </c>
      <c r="L15" s="12">
        <f>0</f>
        <v>0</v>
      </c>
      <c r="M15" s="12">
        <f>0</f>
        <v>0</v>
      </c>
      <c r="N15" s="12">
        <f>0</f>
        <v>0</v>
      </c>
      <c r="O15" s="12">
        <f>0</f>
        <v>0</v>
      </c>
      <c r="P15" s="12">
        <f>0</f>
        <v>0</v>
      </c>
      <c r="Q15" s="12">
        <f>0</f>
        <v>0</v>
      </c>
      <c r="R15" s="12">
        <f>0</f>
        <v>0</v>
      </c>
      <c r="S15" s="12">
        <f>0</f>
        <v>0</v>
      </c>
      <c r="T15" s="12">
        <v>0</v>
      </c>
      <c r="U15" s="12">
        <v>0</v>
      </c>
      <c r="V15" s="12"/>
      <c r="W15" s="12"/>
      <c r="X15" s="12"/>
      <c r="Y15" s="12"/>
      <c r="Z15" s="12"/>
      <c r="AA15" s="12"/>
      <c r="AB15" s="12"/>
      <c r="AD15" s="48">
        <f t="shared" si="24"/>
        <v>0</v>
      </c>
      <c r="AE15" s="48">
        <f t="shared" si="24"/>
        <v>0</v>
      </c>
      <c r="AF15" s="48">
        <f t="shared" si="24"/>
        <v>0</v>
      </c>
      <c r="AG15" s="48">
        <f t="shared" si="24"/>
        <v>0</v>
      </c>
      <c r="AH15" s="48">
        <f t="shared" si="24"/>
        <v>0</v>
      </c>
      <c r="AI15" s="48">
        <f t="shared" si="24"/>
        <v>0</v>
      </c>
      <c r="AJ15" s="48">
        <f t="shared" si="24"/>
        <v>0</v>
      </c>
      <c r="AK15" s="48">
        <f t="shared" si="24"/>
        <v>0</v>
      </c>
      <c r="AL15" s="53"/>
      <c r="AM15" s="48">
        <f t="shared" si="21"/>
        <v>0</v>
      </c>
      <c r="AN15" s="48">
        <f t="shared" si="21"/>
        <v>0</v>
      </c>
    </row>
    <row r="16" spans="1:40" outlineLevel="1" x14ac:dyDescent="0.2">
      <c r="A16" s="37" t="s">
        <v>254</v>
      </c>
      <c r="B16" s="77" t="s">
        <v>255</v>
      </c>
      <c r="C16" s="77"/>
      <c r="D16" s="77"/>
      <c r="E16" s="45">
        <f>114019.76</f>
        <v>114019.76</v>
      </c>
      <c r="F16" s="45">
        <f>132307.76</f>
        <v>132307.76</v>
      </c>
      <c r="G16" s="45">
        <f>132307.76</f>
        <v>132307.76</v>
      </c>
      <c r="H16" s="45">
        <f>138307.77</f>
        <v>138307.76999999999</v>
      </c>
      <c r="I16" s="45">
        <f>219580.91</f>
        <v>219580.91</v>
      </c>
      <c r="J16" s="45">
        <f>149282.78</f>
        <v>149282.78</v>
      </c>
      <c r="K16" s="45">
        <f>160175.06</f>
        <v>160175.06</v>
      </c>
      <c r="L16" s="45">
        <f>170673.17</f>
        <v>170673.17</v>
      </c>
      <c r="M16" s="45">
        <f>201802.94</f>
        <v>201802.94</v>
      </c>
      <c r="N16" s="45">
        <f>193851.4</f>
        <v>193851.4</v>
      </c>
      <c r="O16" s="45">
        <f>190885.81</f>
        <v>190885.81</v>
      </c>
      <c r="P16" s="45">
        <f>342048.79</f>
        <v>342048.79</v>
      </c>
      <c r="Q16" s="45">
        <v>247436.4</v>
      </c>
      <c r="R16" s="45">
        <v>229092.07</v>
      </c>
      <c r="S16" s="45">
        <v>230600.36</v>
      </c>
      <c r="T16" s="45">
        <v>295527</v>
      </c>
      <c r="U16" s="45">
        <v>344462</v>
      </c>
      <c r="V16" s="45">
        <v>350068</v>
      </c>
      <c r="W16" s="45">
        <v>361639</v>
      </c>
      <c r="X16" s="45">
        <v>376572</v>
      </c>
      <c r="Y16" s="45">
        <v>413287</v>
      </c>
      <c r="Z16" s="45">
        <v>428019</v>
      </c>
      <c r="AA16" s="45">
        <v>434564</v>
      </c>
      <c r="AB16" s="45">
        <v>442737</v>
      </c>
      <c r="AD16" s="50">
        <f t="shared" si="24"/>
        <v>378635.28</v>
      </c>
      <c r="AE16" s="50">
        <f t="shared" si="24"/>
        <v>507171.45999999996</v>
      </c>
      <c r="AF16" s="50">
        <f t="shared" si="24"/>
        <v>532651.16999999993</v>
      </c>
      <c r="AG16" s="50">
        <f t="shared" si="24"/>
        <v>726786</v>
      </c>
      <c r="AH16" s="50">
        <f t="shared" si="24"/>
        <v>707128.83</v>
      </c>
      <c r="AI16" s="50">
        <f t="shared" si="24"/>
        <v>990057</v>
      </c>
      <c r="AJ16" s="50">
        <f t="shared" si="24"/>
        <v>1151498</v>
      </c>
      <c r="AK16" s="50">
        <f t="shared" si="24"/>
        <v>1305320</v>
      </c>
      <c r="AL16" s="53"/>
      <c r="AM16" s="50">
        <f t="shared" si="21"/>
        <v>2145243.9099999997</v>
      </c>
      <c r="AN16" s="50">
        <f t="shared" si="21"/>
        <v>4154003.83</v>
      </c>
    </row>
    <row r="17" spans="1:40" outlineLevel="1" x14ac:dyDescent="0.2">
      <c r="A17" s="37" t="s">
        <v>256</v>
      </c>
      <c r="B17" s="77" t="s">
        <v>257</v>
      </c>
      <c r="C17" s="77"/>
      <c r="D17" s="77"/>
      <c r="E17" s="45">
        <f>12379.52</f>
        <v>12379.52</v>
      </c>
      <c r="F17" s="45">
        <f>10778.2</f>
        <v>10778.2</v>
      </c>
      <c r="G17" s="45">
        <f>9379.02</f>
        <v>9379.02</v>
      </c>
      <c r="H17" s="45">
        <f>-12816.11</f>
        <v>-12816.11</v>
      </c>
      <c r="I17" s="45">
        <f>17004.84</f>
        <v>17004.84</v>
      </c>
      <c r="J17" s="45">
        <f>-20716.7</f>
        <v>-20716.7</v>
      </c>
      <c r="K17" s="45">
        <f>10138.03</f>
        <v>10138.030000000001</v>
      </c>
      <c r="L17" s="45">
        <f>11282.58</f>
        <v>11282.58</v>
      </c>
      <c r="M17" s="45">
        <f>-24361.6</f>
        <v>-24361.599999999999</v>
      </c>
      <c r="N17" s="45">
        <f>11106.98</f>
        <v>11106.98</v>
      </c>
      <c r="O17" s="45">
        <f>10889.88</f>
        <v>10889.88</v>
      </c>
      <c r="P17" s="45">
        <f>8204.99</f>
        <v>8204.99</v>
      </c>
      <c r="Q17" s="45">
        <v>21767.05</v>
      </c>
      <c r="R17" s="45">
        <v>19514.91</v>
      </c>
      <c r="S17" s="45">
        <v>22261.51</v>
      </c>
      <c r="T17" s="45">
        <v>24372</v>
      </c>
      <c r="U17" s="45">
        <v>27874</v>
      </c>
      <c r="V17" s="45">
        <v>26735</v>
      </c>
      <c r="W17" s="45">
        <v>27644</v>
      </c>
      <c r="X17" s="45">
        <v>25770</v>
      </c>
      <c r="Y17" s="45">
        <v>28395</v>
      </c>
      <c r="Z17" s="45">
        <v>25939</v>
      </c>
      <c r="AA17" s="45">
        <v>25621</v>
      </c>
      <c r="AB17" s="45">
        <v>20368</v>
      </c>
      <c r="AD17" s="50">
        <f t="shared" si="24"/>
        <v>32536.74</v>
      </c>
      <c r="AE17" s="50">
        <f t="shared" si="24"/>
        <v>-16527.97</v>
      </c>
      <c r="AF17" s="50">
        <f t="shared" si="24"/>
        <v>-2940.989999999998</v>
      </c>
      <c r="AG17" s="50">
        <f t="shared" si="24"/>
        <v>30201.85</v>
      </c>
      <c r="AH17" s="50">
        <f t="shared" si="24"/>
        <v>63543.47</v>
      </c>
      <c r="AI17" s="50">
        <f t="shared" si="24"/>
        <v>78981</v>
      </c>
      <c r="AJ17" s="50">
        <f t="shared" si="24"/>
        <v>81809</v>
      </c>
      <c r="AK17" s="50">
        <f t="shared" si="24"/>
        <v>71928</v>
      </c>
      <c r="AL17" s="53"/>
      <c r="AM17" s="50">
        <f t="shared" si="21"/>
        <v>43269.630000000005</v>
      </c>
      <c r="AN17" s="50">
        <f t="shared" si="21"/>
        <v>296261.46999999997</v>
      </c>
    </row>
    <row r="18" spans="1:40" outlineLevel="1" x14ac:dyDescent="0.2">
      <c r="A18" s="37" t="s">
        <v>258</v>
      </c>
      <c r="B18" s="77" t="s">
        <v>259</v>
      </c>
      <c r="C18" s="77"/>
      <c r="D18" s="77"/>
      <c r="E18" s="45">
        <f>15024.37</f>
        <v>15024.37</v>
      </c>
      <c r="F18" s="45">
        <f>150916.18</f>
        <v>150916.18</v>
      </c>
      <c r="G18" s="45">
        <f>17431.31</f>
        <v>17431.310000000001</v>
      </c>
      <c r="H18" s="45">
        <f>17580.31</f>
        <v>17580.310000000001</v>
      </c>
      <c r="I18" s="45">
        <f>24796.97</f>
        <v>24796.97</v>
      </c>
      <c r="J18" s="45">
        <f>21618.88</f>
        <v>21618.880000000001</v>
      </c>
      <c r="K18" s="45">
        <f>21945.47</f>
        <v>21945.47</v>
      </c>
      <c r="L18" s="45">
        <f>22032.7</f>
        <v>22032.7</v>
      </c>
      <c r="M18" s="45">
        <f>23221.44</f>
        <v>23221.439999999999</v>
      </c>
      <c r="N18" s="45">
        <f>22323.23</f>
        <v>22323.23</v>
      </c>
      <c r="O18" s="45">
        <f>5053.68</f>
        <v>5053.68</v>
      </c>
      <c r="P18" s="45">
        <f>1831.56</f>
        <v>1831.56</v>
      </c>
      <c r="Q18" s="45">
        <f>0</f>
        <v>0</v>
      </c>
      <c r="R18" s="45">
        <v>155032.82</v>
      </c>
      <c r="S18" s="45">
        <v>43348.61</v>
      </c>
      <c r="T18" s="45">
        <v>17406</v>
      </c>
      <c r="U18" s="45">
        <v>22738</v>
      </c>
      <c r="V18" s="45">
        <v>27660</v>
      </c>
      <c r="W18" s="45">
        <v>31850</v>
      </c>
      <c r="X18" s="45">
        <v>35450</v>
      </c>
      <c r="Y18" s="45">
        <v>39107</v>
      </c>
      <c r="Z18" s="45">
        <v>38553</v>
      </c>
      <c r="AA18" s="45">
        <v>41203</v>
      </c>
      <c r="AB18" s="45">
        <v>42159</v>
      </c>
      <c r="AD18" s="50">
        <f t="shared" si="24"/>
        <v>183371.86</v>
      </c>
      <c r="AE18" s="50">
        <f t="shared" si="24"/>
        <v>63996.160000000003</v>
      </c>
      <c r="AF18" s="50">
        <f t="shared" si="24"/>
        <v>67199.61</v>
      </c>
      <c r="AG18" s="50">
        <f t="shared" si="24"/>
        <v>29208.47</v>
      </c>
      <c r="AH18" s="50">
        <f t="shared" si="24"/>
        <v>198381.43</v>
      </c>
      <c r="AI18" s="50">
        <f t="shared" si="24"/>
        <v>67804</v>
      </c>
      <c r="AJ18" s="50">
        <f t="shared" si="24"/>
        <v>106407</v>
      </c>
      <c r="AK18" s="50">
        <f t="shared" si="24"/>
        <v>121915</v>
      </c>
      <c r="AL18" s="53"/>
      <c r="AM18" s="50">
        <f t="shared" si="21"/>
        <v>343776.1</v>
      </c>
      <c r="AN18" s="50">
        <f t="shared" si="21"/>
        <v>494507.43</v>
      </c>
    </row>
    <row r="19" spans="1:40" outlineLevel="1" x14ac:dyDescent="0.2">
      <c r="A19" s="37" t="s">
        <v>260</v>
      </c>
      <c r="B19" s="77" t="s">
        <v>261</v>
      </c>
      <c r="C19" s="77"/>
      <c r="D19" s="77"/>
      <c r="E19" s="45">
        <f>125000</f>
        <v>125000</v>
      </c>
      <c r="F19" s="44">
        <f>0</f>
        <v>0</v>
      </c>
      <c r="G19" s="44">
        <f>0</f>
        <v>0</v>
      </c>
      <c r="H19" s="44">
        <f>0</f>
        <v>0</v>
      </c>
      <c r="I19" s="44">
        <f>0</f>
        <v>0</v>
      </c>
      <c r="J19" s="44">
        <f>0</f>
        <v>0</v>
      </c>
      <c r="K19" s="44">
        <f>0</f>
        <v>0</v>
      </c>
      <c r="L19" s="44">
        <f>0</f>
        <v>0</v>
      </c>
      <c r="M19" s="44">
        <f>0</f>
        <v>0</v>
      </c>
      <c r="N19" s="44">
        <f>0</f>
        <v>0</v>
      </c>
      <c r="O19" s="44">
        <f>0</f>
        <v>0</v>
      </c>
      <c r="P19" s="44">
        <f>0</f>
        <v>0</v>
      </c>
      <c r="Q19" s="44">
        <f>0</f>
        <v>0</v>
      </c>
      <c r="R19" s="44">
        <f>0</f>
        <v>0</v>
      </c>
      <c r="S19" s="44">
        <v>20018</v>
      </c>
      <c r="T19" s="44">
        <v>0</v>
      </c>
      <c r="U19" s="44">
        <v>0</v>
      </c>
      <c r="V19" s="44"/>
      <c r="W19" s="44"/>
      <c r="X19" s="44"/>
      <c r="Y19" s="44"/>
      <c r="Z19" s="44"/>
      <c r="AA19" s="44"/>
      <c r="AB19" s="44"/>
      <c r="AD19" s="48">
        <f t="shared" si="24"/>
        <v>125000</v>
      </c>
      <c r="AE19" s="48">
        <f t="shared" si="24"/>
        <v>0</v>
      </c>
      <c r="AF19" s="48">
        <f t="shared" si="24"/>
        <v>0</v>
      </c>
      <c r="AG19" s="48">
        <f t="shared" si="24"/>
        <v>0</v>
      </c>
      <c r="AH19" s="48">
        <f t="shared" si="24"/>
        <v>20018</v>
      </c>
      <c r="AI19" s="48">
        <f t="shared" si="24"/>
        <v>0</v>
      </c>
      <c r="AJ19" s="48">
        <f t="shared" si="24"/>
        <v>0</v>
      </c>
      <c r="AK19" s="48">
        <f t="shared" si="24"/>
        <v>0</v>
      </c>
      <c r="AL19" s="53"/>
      <c r="AM19" s="48">
        <f t="shared" si="21"/>
        <v>125000</v>
      </c>
      <c r="AN19" s="48">
        <f t="shared" si="21"/>
        <v>20018</v>
      </c>
    </row>
    <row r="20" spans="1:40" outlineLevel="1" x14ac:dyDescent="0.2">
      <c r="A20" s="37" t="s">
        <v>262</v>
      </c>
      <c r="B20" s="77" t="s">
        <v>263</v>
      </c>
      <c r="C20" s="77"/>
      <c r="D20" s="77"/>
      <c r="E20" s="44">
        <f>0</f>
        <v>0</v>
      </c>
      <c r="F20" s="44">
        <f>0</f>
        <v>0</v>
      </c>
      <c r="G20" s="44">
        <f>0</f>
        <v>0</v>
      </c>
      <c r="H20" s="44">
        <f>0</f>
        <v>0</v>
      </c>
      <c r="I20" s="44">
        <f>0</f>
        <v>0</v>
      </c>
      <c r="J20" s="44">
        <f>0</f>
        <v>0</v>
      </c>
      <c r="K20" s="45">
        <f>25000</f>
        <v>25000</v>
      </c>
      <c r="L20" s="44">
        <f>0</f>
        <v>0</v>
      </c>
      <c r="M20" s="44">
        <f>0</f>
        <v>0</v>
      </c>
      <c r="N20" s="44">
        <f>0</f>
        <v>0</v>
      </c>
      <c r="O20" s="44">
        <f>0</f>
        <v>0</v>
      </c>
      <c r="P20" s="44">
        <f>0</f>
        <v>0</v>
      </c>
      <c r="Q20" s="44">
        <f>0</f>
        <v>0</v>
      </c>
      <c r="R20" s="44">
        <f>0</f>
        <v>0</v>
      </c>
      <c r="S20" s="44">
        <f>0</f>
        <v>0</v>
      </c>
      <c r="T20" s="44">
        <v>0</v>
      </c>
      <c r="U20" s="44">
        <v>0</v>
      </c>
      <c r="V20" s="44"/>
      <c r="W20" s="44"/>
      <c r="X20" s="44">
        <v>2953</v>
      </c>
      <c r="Y20" s="44"/>
      <c r="Z20" s="44"/>
      <c r="AA20" s="44"/>
      <c r="AB20" s="44"/>
      <c r="AD20" s="48">
        <f t="shared" si="24"/>
        <v>0</v>
      </c>
      <c r="AE20" s="48">
        <f t="shared" si="24"/>
        <v>0</v>
      </c>
      <c r="AF20" s="48">
        <f t="shared" si="24"/>
        <v>25000</v>
      </c>
      <c r="AG20" s="48">
        <f t="shared" si="24"/>
        <v>0</v>
      </c>
      <c r="AH20" s="48">
        <f t="shared" si="24"/>
        <v>0</v>
      </c>
      <c r="AI20" s="48">
        <f t="shared" si="24"/>
        <v>0</v>
      </c>
      <c r="AJ20" s="48">
        <f t="shared" si="24"/>
        <v>2953</v>
      </c>
      <c r="AK20" s="48">
        <f t="shared" si="24"/>
        <v>0</v>
      </c>
      <c r="AL20" s="53"/>
      <c r="AM20" s="48">
        <f t="shared" si="21"/>
        <v>25000</v>
      </c>
      <c r="AN20" s="48">
        <f t="shared" si="21"/>
        <v>2953</v>
      </c>
    </row>
    <row r="21" spans="1:40" outlineLevel="1" x14ac:dyDescent="0.2">
      <c r="A21" s="37" t="s">
        <v>264</v>
      </c>
      <c r="B21" s="77" t="s">
        <v>265</v>
      </c>
      <c r="C21" s="77"/>
      <c r="D21" s="77"/>
      <c r="E21" s="45">
        <f>946.85</f>
        <v>946.85</v>
      </c>
      <c r="F21" s="45">
        <f>411</f>
        <v>411</v>
      </c>
      <c r="G21" s="45">
        <f>1275.32</f>
        <v>1275.32</v>
      </c>
      <c r="H21" s="45">
        <f>884.37</f>
        <v>884.37</v>
      </c>
      <c r="I21" s="45">
        <f>614.86</f>
        <v>614.86</v>
      </c>
      <c r="J21" s="45">
        <f>1128.32</f>
        <v>1128.32</v>
      </c>
      <c r="K21" s="45">
        <f>445.84</f>
        <v>445.84</v>
      </c>
      <c r="L21" s="45">
        <f>995.17</f>
        <v>995.17</v>
      </c>
      <c r="M21" s="45">
        <f>4884.66</f>
        <v>4884.66</v>
      </c>
      <c r="N21" s="45">
        <f>3193.29</f>
        <v>3193.29</v>
      </c>
      <c r="O21" s="45">
        <f>3142.69</f>
        <v>3142.69</v>
      </c>
      <c r="P21" s="45">
        <f>3148.47</f>
        <v>3148.47</v>
      </c>
      <c r="Q21" s="45">
        <v>3644.8</v>
      </c>
      <c r="R21" s="45">
        <v>3078.82</v>
      </c>
      <c r="S21" s="45">
        <v>4194.79</v>
      </c>
      <c r="T21" s="45">
        <v>4256</v>
      </c>
      <c r="U21" s="45">
        <v>4795</v>
      </c>
      <c r="V21" s="45">
        <v>5389</v>
      </c>
      <c r="W21" s="45">
        <v>5508</v>
      </c>
      <c r="X21" s="45">
        <v>5588</v>
      </c>
      <c r="Y21" s="45">
        <v>6278</v>
      </c>
      <c r="Z21" s="45">
        <v>6736</v>
      </c>
      <c r="AA21" s="45">
        <v>5992</v>
      </c>
      <c r="AB21" s="45">
        <v>6449</v>
      </c>
      <c r="AD21" s="50">
        <f t="shared" si="24"/>
        <v>2633.17</v>
      </c>
      <c r="AE21" s="50">
        <f t="shared" si="24"/>
        <v>2627.55</v>
      </c>
      <c r="AF21" s="50">
        <f t="shared" si="24"/>
        <v>6325.67</v>
      </c>
      <c r="AG21" s="50">
        <f t="shared" si="24"/>
        <v>9484.4499999999989</v>
      </c>
      <c r="AH21" s="50">
        <f t="shared" si="24"/>
        <v>10918.41</v>
      </c>
      <c r="AI21" s="50">
        <f t="shared" si="24"/>
        <v>14440</v>
      </c>
      <c r="AJ21" s="50">
        <f t="shared" si="24"/>
        <v>17374</v>
      </c>
      <c r="AK21" s="50">
        <f t="shared" si="24"/>
        <v>19177</v>
      </c>
      <c r="AL21" s="53"/>
      <c r="AM21" s="50">
        <f t="shared" si="21"/>
        <v>21070.84</v>
      </c>
      <c r="AN21" s="50">
        <f t="shared" si="21"/>
        <v>61909.41</v>
      </c>
    </row>
    <row r="22" spans="1:40" x14ac:dyDescent="0.2">
      <c r="A22" s="3" t="s">
        <v>266</v>
      </c>
      <c r="B22" s="77" t="s">
        <v>253</v>
      </c>
      <c r="C22" s="240" t="s">
        <v>116</v>
      </c>
      <c r="D22" s="77"/>
      <c r="E22" s="13">
        <f>SUM(E15:E21)</f>
        <v>267370.5</v>
      </c>
      <c r="F22" s="13">
        <f t="shared" ref="F22:S22" si="25">SUM(F15:F21)</f>
        <v>294413.14</v>
      </c>
      <c r="G22" s="13">
        <f t="shared" si="25"/>
        <v>160393.41</v>
      </c>
      <c r="H22" s="13">
        <f t="shared" si="25"/>
        <v>143956.34</v>
      </c>
      <c r="I22" s="13">
        <f t="shared" si="25"/>
        <v>261997.58</v>
      </c>
      <c r="J22" s="13">
        <f t="shared" si="25"/>
        <v>151313.28</v>
      </c>
      <c r="K22" s="13">
        <f t="shared" si="25"/>
        <v>217704.4</v>
      </c>
      <c r="L22" s="13">
        <f t="shared" si="25"/>
        <v>204983.62000000002</v>
      </c>
      <c r="M22" s="13">
        <f t="shared" si="25"/>
        <v>205547.44</v>
      </c>
      <c r="N22" s="13">
        <f t="shared" si="25"/>
        <v>230474.90000000002</v>
      </c>
      <c r="O22" s="13">
        <f t="shared" si="25"/>
        <v>209972.06</v>
      </c>
      <c r="P22" s="13">
        <f t="shared" si="25"/>
        <v>355233.80999999994</v>
      </c>
      <c r="Q22" s="13">
        <f t="shared" si="25"/>
        <v>272848.25</v>
      </c>
      <c r="R22" s="13">
        <f t="shared" si="25"/>
        <v>406718.62000000005</v>
      </c>
      <c r="S22" s="13">
        <f t="shared" si="25"/>
        <v>320423.26999999996</v>
      </c>
      <c r="T22" s="13">
        <v>341561</v>
      </c>
      <c r="U22" s="13">
        <v>399868</v>
      </c>
      <c r="V22" s="13">
        <v>409853</v>
      </c>
      <c r="W22" s="13">
        <v>426641</v>
      </c>
      <c r="X22" s="13">
        <v>446332</v>
      </c>
      <c r="Y22" s="13">
        <v>487067</v>
      </c>
      <c r="Z22" s="13">
        <v>499247</v>
      </c>
      <c r="AA22" s="13">
        <v>507379</v>
      </c>
      <c r="AB22" s="13">
        <v>511714</v>
      </c>
      <c r="AD22" s="49">
        <f t="shared" si="24"/>
        <v>722177.05</v>
      </c>
      <c r="AE22" s="49">
        <f t="shared" si="24"/>
        <v>557267.19999999995</v>
      </c>
      <c r="AF22" s="49">
        <f t="shared" si="24"/>
        <v>628235.46</v>
      </c>
      <c r="AG22" s="49">
        <f t="shared" si="24"/>
        <v>795680.77</v>
      </c>
      <c r="AH22" s="49">
        <f t="shared" si="24"/>
        <v>999990.14000000013</v>
      </c>
      <c r="AI22" s="49">
        <f t="shared" si="24"/>
        <v>1151282</v>
      </c>
      <c r="AJ22" s="49">
        <f t="shared" si="24"/>
        <v>1360040</v>
      </c>
      <c r="AK22" s="49">
        <f t="shared" si="24"/>
        <v>1518340</v>
      </c>
      <c r="AL22" s="53"/>
      <c r="AM22" s="49">
        <f t="shared" si="21"/>
        <v>2703360.48</v>
      </c>
      <c r="AN22" s="49">
        <f t="shared" si="21"/>
        <v>5029652.1400000006</v>
      </c>
    </row>
    <row r="23" spans="1:40" x14ac:dyDescent="0.2">
      <c r="A23" s="3" t="s">
        <v>267</v>
      </c>
      <c r="B23" s="77" t="s">
        <v>268</v>
      </c>
      <c r="C23" s="240" t="s">
        <v>75</v>
      </c>
      <c r="D23" s="77"/>
      <c r="E23" s="44">
        <f>0</f>
        <v>0</v>
      </c>
      <c r="F23" s="44">
        <f>0</f>
        <v>0</v>
      </c>
      <c r="G23" s="44">
        <f>0</f>
        <v>0</v>
      </c>
      <c r="H23" s="44">
        <f>0</f>
        <v>0</v>
      </c>
      <c r="I23" s="44">
        <f>0</f>
        <v>0</v>
      </c>
      <c r="J23" s="44">
        <f>0</f>
        <v>0</v>
      </c>
      <c r="K23" s="44">
        <f>0</f>
        <v>0</v>
      </c>
      <c r="L23" s="44">
        <f>0</f>
        <v>0</v>
      </c>
      <c r="M23" s="44">
        <f>0</f>
        <v>0</v>
      </c>
      <c r="N23" s="44">
        <f>0</f>
        <v>0</v>
      </c>
      <c r="O23" s="44">
        <f>0</f>
        <v>0</v>
      </c>
      <c r="P23" s="44">
        <f>0</f>
        <v>0</v>
      </c>
      <c r="Q23" s="44">
        <v>499.78</v>
      </c>
      <c r="R23" s="44">
        <v>439.96</v>
      </c>
      <c r="S23" s="44">
        <f>0</f>
        <v>0</v>
      </c>
      <c r="T23" s="44">
        <v>0</v>
      </c>
      <c r="U23" s="44">
        <v>0</v>
      </c>
      <c r="V23" s="44">
        <v>0</v>
      </c>
      <c r="W23" s="44">
        <v>0</v>
      </c>
      <c r="X23" s="44">
        <v>0</v>
      </c>
      <c r="Y23" s="44">
        <v>0</v>
      </c>
      <c r="Z23" s="44">
        <v>0</v>
      </c>
      <c r="AA23" s="44">
        <v>0</v>
      </c>
      <c r="AB23" s="44">
        <v>0</v>
      </c>
      <c r="AD23" s="48">
        <f t="shared" si="24"/>
        <v>0</v>
      </c>
      <c r="AE23" s="48">
        <f t="shared" si="24"/>
        <v>0</v>
      </c>
      <c r="AF23" s="48">
        <f t="shared" si="24"/>
        <v>0</v>
      </c>
      <c r="AG23" s="48">
        <f t="shared" si="24"/>
        <v>0</v>
      </c>
      <c r="AH23" s="48">
        <f t="shared" si="24"/>
        <v>939.74</v>
      </c>
      <c r="AI23" s="48">
        <f t="shared" si="24"/>
        <v>0</v>
      </c>
      <c r="AJ23" s="48">
        <f t="shared" si="24"/>
        <v>0</v>
      </c>
      <c r="AK23" s="48">
        <f t="shared" si="24"/>
        <v>0</v>
      </c>
      <c r="AL23" s="53"/>
      <c r="AM23" s="48">
        <f t="shared" si="21"/>
        <v>0</v>
      </c>
      <c r="AN23" s="48">
        <f t="shared" si="21"/>
        <v>939.74</v>
      </c>
    </row>
    <row r="24" spans="1:40" outlineLevel="1" x14ac:dyDescent="0.2">
      <c r="A24" s="37" t="s">
        <v>269</v>
      </c>
      <c r="B24" s="77" t="s">
        <v>270</v>
      </c>
      <c r="C24" s="77"/>
      <c r="D24" s="77"/>
      <c r="E24" s="45">
        <f>1616.22</f>
        <v>1616.22</v>
      </c>
      <c r="F24" s="45">
        <f>8780.62</f>
        <v>8780.6200000000008</v>
      </c>
      <c r="G24" s="45">
        <f>1727.49</f>
        <v>1727.49</v>
      </c>
      <c r="H24" s="45">
        <f>17634.09</f>
        <v>17634.09</v>
      </c>
      <c r="I24" s="45">
        <f>190.65</f>
        <v>190.65</v>
      </c>
      <c r="J24" s="45">
        <f>2676.92</f>
        <v>2676.92</v>
      </c>
      <c r="K24" s="45">
        <f>1140.02</f>
        <v>1140.02</v>
      </c>
      <c r="L24" s="45">
        <f>2084.44</f>
        <v>2084.44</v>
      </c>
      <c r="M24" s="45">
        <f>1388.79</f>
        <v>1388.79</v>
      </c>
      <c r="N24" s="45">
        <f>4859.2</f>
        <v>4859.2</v>
      </c>
      <c r="O24" s="45">
        <f>4578.7</f>
        <v>4578.7</v>
      </c>
      <c r="P24" s="45">
        <f>2591.51</f>
        <v>2591.5100000000002</v>
      </c>
      <c r="Q24" s="45">
        <f>0</f>
        <v>0</v>
      </c>
      <c r="R24" s="45">
        <f>0</f>
        <v>0</v>
      </c>
      <c r="S24" s="45">
        <f>0</f>
        <v>0</v>
      </c>
      <c r="T24" s="45">
        <v>854</v>
      </c>
      <c r="U24" s="45">
        <v>0</v>
      </c>
      <c r="V24" s="45"/>
      <c r="W24" s="45"/>
      <c r="X24" s="45"/>
      <c r="Y24" s="45"/>
      <c r="Z24" s="45">
        <v>-854</v>
      </c>
      <c r="AA24" s="45"/>
      <c r="AB24" s="45"/>
      <c r="AD24" s="50">
        <f t="shared" si="24"/>
        <v>12124.33</v>
      </c>
      <c r="AE24" s="50">
        <f t="shared" si="24"/>
        <v>20501.660000000003</v>
      </c>
      <c r="AF24" s="50">
        <f t="shared" si="24"/>
        <v>4613.25</v>
      </c>
      <c r="AG24" s="50">
        <f t="shared" si="24"/>
        <v>12029.41</v>
      </c>
      <c r="AH24" s="50">
        <f t="shared" si="24"/>
        <v>0</v>
      </c>
      <c r="AI24" s="50">
        <f t="shared" si="24"/>
        <v>854</v>
      </c>
      <c r="AJ24" s="50">
        <f t="shared" si="24"/>
        <v>0</v>
      </c>
      <c r="AK24" s="50">
        <f t="shared" si="24"/>
        <v>-854</v>
      </c>
      <c r="AL24" s="53"/>
      <c r="AM24" s="50">
        <f t="shared" si="21"/>
        <v>49268.649999999994</v>
      </c>
      <c r="AN24" s="50">
        <f t="shared" si="21"/>
        <v>0</v>
      </c>
    </row>
    <row r="25" spans="1:40" outlineLevel="1" x14ac:dyDescent="0.2">
      <c r="A25" s="37" t="s">
        <v>271</v>
      </c>
      <c r="B25" s="77" t="s">
        <v>272</v>
      </c>
      <c r="C25" s="77"/>
      <c r="D25" s="77"/>
      <c r="E25" s="44">
        <f>0</f>
        <v>0</v>
      </c>
      <c r="F25" s="44">
        <f>0</f>
        <v>0</v>
      </c>
      <c r="G25" s="44">
        <f>0</f>
        <v>0</v>
      </c>
      <c r="H25" s="45">
        <f>56.1</f>
        <v>56.1</v>
      </c>
      <c r="I25" s="44">
        <f>0</f>
        <v>0</v>
      </c>
      <c r="J25" s="44">
        <f>0</f>
        <v>0</v>
      </c>
      <c r="K25" s="44">
        <f>0</f>
        <v>0</v>
      </c>
      <c r="L25" s="44">
        <f>0</f>
        <v>0</v>
      </c>
      <c r="M25" s="44">
        <f>0</f>
        <v>0</v>
      </c>
      <c r="N25" s="45">
        <f>34</f>
        <v>34</v>
      </c>
      <c r="O25" s="44">
        <f>0</f>
        <v>0</v>
      </c>
      <c r="P25" s="44">
        <f>0</f>
        <v>0</v>
      </c>
      <c r="Q25" s="44">
        <v>8318.15</v>
      </c>
      <c r="R25" s="44">
        <v>21053.39</v>
      </c>
      <c r="S25" s="44">
        <v>492.96</v>
      </c>
      <c r="T25" s="44">
        <v>2619</v>
      </c>
      <c r="U25" s="44">
        <v>8317</v>
      </c>
      <c r="V25" s="44">
        <v>7517</v>
      </c>
      <c r="W25" s="44">
        <v>3583</v>
      </c>
      <c r="X25" s="44">
        <v>12682</v>
      </c>
      <c r="Y25" s="44">
        <v>3538</v>
      </c>
      <c r="Z25" s="44">
        <v>14879</v>
      </c>
      <c r="AA25" s="44">
        <v>4652</v>
      </c>
      <c r="AB25" s="44">
        <v>44817</v>
      </c>
      <c r="AD25" s="48">
        <f t="shared" si="24"/>
        <v>0</v>
      </c>
      <c r="AE25" s="48">
        <f t="shared" si="24"/>
        <v>56.1</v>
      </c>
      <c r="AF25" s="48">
        <f t="shared" si="24"/>
        <v>0</v>
      </c>
      <c r="AG25" s="48">
        <f t="shared" si="24"/>
        <v>34</v>
      </c>
      <c r="AH25" s="48">
        <f t="shared" si="24"/>
        <v>29864.5</v>
      </c>
      <c r="AI25" s="48">
        <f t="shared" si="24"/>
        <v>18453</v>
      </c>
      <c r="AJ25" s="48">
        <f t="shared" si="24"/>
        <v>19803</v>
      </c>
      <c r="AK25" s="48">
        <f t="shared" si="24"/>
        <v>64348</v>
      </c>
      <c r="AL25" s="53"/>
      <c r="AM25" s="48">
        <f t="shared" si="21"/>
        <v>90.1</v>
      </c>
      <c r="AN25" s="48">
        <f t="shared" si="21"/>
        <v>132468.5</v>
      </c>
    </row>
    <row r="26" spans="1:40" outlineLevel="1" x14ac:dyDescent="0.2">
      <c r="A26" s="37" t="s">
        <v>273</v>
      </c>
      <c r="B26" s="77"/>
      <c r="C26" s="77"/>
      <c r="D26" s="77"/>
      <c r="E26" s="44">
        <v>0</v>
      </c>
      <c r="F26" s="44">
        <v>0</v>
      </c>
      <c r="G26" s="44">
        <v>0</v>
      </c>
      <c r="H26" s="45">
        <v>0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45">
        <v>0</v>
      </c>
      <c r="O26" s="44">
        <v>0</v>
      </c>
      <c r="P26" s="44">
        <v>0</v>
      </c>
      <c r="Q26" s="44">
        <v>0</v>
      </c>
      <c r="R26" s="44">
        <v>0</v>
      </c>
      <c r="S26" s="44">
        <v>0</v>
      </c>
      <c r="T26" s="44">
        <v>0</v>
      </c>
      <c r="U26" s="44">
        <v>0</v>
      </c>
      <c r="V26" s="44"/>
      <c r="W26" s="44"/>
      <c r="X26" s="44"/>
      <c r="Y26" s="44"/>
      <c r="Z26" s="44">
        <v>107</v>
      </c>
      <c r="AA26" s="44">
        <v>99</v>
      </c>
      <c r="AB26" s="44">
        <v>276</v>
      </c>
      <c r="AD26" s="48"/>
      <c r="AE26" s="48"/>
      <c r="AF26" s="48"/>
      <c r="AG26" s="48"/>
      <c r="AH26" s="48"/>
      <c r="AI26" s="48"/>
      <c r="AJ26" s="48"/>
      <c r="AK26" s="48"/>
      <c r="AL26" s="53"/>
      <c r="AM26" s="48"/>
      <c r="AN26" s="48"/>
    </row>
    <row r="27" spans="1:40" outlineLevel="1" x14ac:dyDescent="0.2">
      <c r="A27" s="37" t="s">
        <v>274</v>
      </c>
      <c r="B27" s="77" t="s">
        <v>275</v>
      </c>
      <c r="C27" s="77"/>
      <c r="D27" s="77"/>
      <c r="E27" s="44">
        <f>0</f>
        <v>0</v>
      </c>
      <c r="F27" s="45">
        <f>150.46</f>
        <v>150.46</v>
      </c>
      <c r="G27" s="45">
        <f>73.82</f>
        <v>73.819999999999993</v>
      </c>
      <c r="H27" s="45">
        <f>539.64</f>
        <v>539.64</v>
      </c>
      <c r="I27" s="44">
        <f>0</f>
        <v>0</v>
      </c>
      <c r="J27" s="45">
        <f>1173.01</f>
        <v>1173.01</v>
      </c>
      <c r="K27" s="44">
        <f>0</f>
        <v>0</v>
      </c>
      <c r="L27" s="45">
        <f>102.53</f>
        <v>102.53</v>
      </c>
      <c r="M27" s="45">
        <f>23.81</f>
        <v>23.81</v>
      </c>
      <c r="N27" s="44">
        <f>0</f>
        <v>0</v>
      </c>
      <c r="O27" s="45">
        <f>58.96</f>
        <v>58.96</v>
      </c>
      <c r="P27" s="45">
        <f>10.85</f>
        <v>10.85</v>
      </c>
      <c r="Q27" s="45">
        <v>75.959999999999994</v>
      </c>
      <c r="R27" s="45">
        <v>303.81</v>
      </c>
      <c r="S27" s="45">
        <f>0</f>
        <v>0</v>
      </c>
      <c r="T27" s="45">
        <v>193</v>
      </c>
      <c r="U27" s="45">
        <v>968</v>
      </c>
      <c r="V27" s="45">
        <v>969</v>
      </c>
      <c r="W27" s="45">
        <v>85</v>
      </c>
      <c r="X27" s="45">
        <v>981</v>
      </c>
      <c r="Y27" s="45">
        <v>921</v>
      </c>
      <c r="Z27" s="45">
        <v>386</v>
      </c>
      <c r="AA27" s="45">
        <v>662</v>
      </c>
      <c r="AB27" s="45">
        <v>892</v>
      </c>
      <c r="AD27" s="50">
        <f t="shared" ref="AD27:AK34" si="26">SUMIFS($E27:$AB27,$E$6:$AB$6,AD$5)</f>
        <v>224.28</v>
      </c>
      <c r="AE27" s="50">
        <f t="shared" si="26"/>
        <v>1712.65</v>
      </c>
      <c r="AF27" s="50">
        <f t="shared" si="26"/>
        <v>126.34</v>
      </c>
      <c r="AG27" s="50">
        <f t="shared" si="26"/>
        <v>69.81</v>
      </c>
      <c r="AH27" s="50">
        <f t="shared" si="26"/>
        <v>379.77</v>
      </c>
      <c r="AI27" s="50">
        <f t="shared" si="26"/>
        <v>2130</v>
      </c>
      <c r="AJ27" s="50">
        <f t="shared" si="26"/>
        <v>1987</v>
      </c>
      <c r="AK27" s="50">
        <f t="shared" si="26"/>
        <v>1940</v>
      </c>
      <c r="AL27" s="53"/>
      <c r="AM27" s="50">
        <f t="shared" ref="AM27:AN34" si="27">SUMIFS($E27:$AB27,$E$7:$AB$7,AM$5)</f>
        <v>2133.08</v>
      </c>
      <c r="AN27" s="50">
        <f t="shared" si="27"/>
        <v>6436.77</v>
      </c>
    </row>
    <row r="28" spans="1:40" outlineLevel="1" x14ac:dyDescent="0.2">
      <c r="A28" s="37" t="s">
        <v>276</v>
      </c>
      <c r="B28" s="77" t="s">
        <v>277</v>
      </c>
      <c r="C28" s="77"/>
      <c r="D28" s="77"/>
      <c r="E28" s="45">
        <f>766.39</f>
        <v>766.39</v>
      </c>
      <c r="F28" s="45">
        <f>667.5</f>
        <v>667.5</v>
      </c>
      <c r="G28" s="45">
        <f>4629.69</f>
        <v>4629.6899999999996</v>
      </c>
      <c r="H28" s="45">
        <f>8031.88</f>
        <v>8031.88</v>
      </c>
      <c r="I28" s="45">
        <f>2044.11</f>
        <v>2044.11</v>
      </c>
      <c r="J28" s="45">
        <f>2986.07</f>
        <v>2986.07</v>
      </c>
      <c r="K28" s="45">
        <f>2081.2</f>
        <v>2081.1999999999998</v>
      </c>
      <c r="L28" s="45">
        <f>1731.55</f>
        <v>1731.55</v>
      </c>
      <c r="M28" s="45">
        <f>1095.69</f>
        <v>1095.69</v>
      </c>
      <c r="N28" s="45">
        <f>2159.83</f>
        <v>2159.83</v>
      </c>
      <c r="O28" s="45">
        <f>2976.88</f>
        <v>2976.88</v>
      </c>
      <c r="P28" s="45">
        <f>3037.99</f>
        <v>3037.99</v>
      </c>
      <c r="Q28" s="45">
        <f>0</f>
        <v>0</v>
      </c>
      <c r="R28" s="45">
        <v>308.58999999999997</v>
      </c>
      <c r="S28" s="45">
        <f>0</f>
        <v>0</v>
      </c>
      <c r="T28" s="45">
        <v>0</v>
      </c>
      <c r="U28" s="45">
        <v>0</v>
      </c>
      <c r="V28" s="45"/>
      <c r="W28" s="45"/>
      <c r="X28" s="45"/>
      <c r="Y28" s="45"/>
      <c r="Z28" s="45"/>
      <c r="AA28" s="45"/>
      <c r="AB28" s="45"/>
      <c r="AD28" s="50">
        <f t="shared" si="26"/>
        <v>6063.58</v>
      </c>
      <c r="AE28" s="50">
        <f t="shared" si="26"/>
        <v>13062.06</v>
      </c>
      <c r="AF28" s="50">
        <f t="shared" si="26"/>
        <v>4908.4400000000005</v>
      </c>
      <c r="AG28" s="50">
        <f t="shared" si="26"/>
        <v>8174.7</v>
      </c>
      <c r="AH28" s="50">
        <f t="shared" si="26"/>
        <v>308.58999999999997</v>
      </c>
      <c r="AI28" s="50">
        <f t="shared" si="26"/>
        <v>0</v>
      </c>
      <c r="AJ28" s="50">
        <f t="shared" si="26"/>
        <v>0</v>
      </c>
      <c r="AK28" s="50">
        <f t="shared" si="26"/>
        <v>0</v>
      </c>
      <c r="AL28" s="53"/>
      <c r="AM28" s="50">
        <f t="shared" si="27"/>
        <v>32208.78</v>
      </c>
      <c r="AN28" s="50">
        <f t="shared" si="27"/>
        <v>308.58999999999997</v>
      </c>
    </row>
    <row r="29" spans="1:40" outlineLevel="1" x14ac:dyDescent="0.2">
      <c r="A29" s="37" t="s">
        <v>278</v>
      </c>
      <c r="B29" s="77" t="s">
        <v>279</v>
      </c>
      <c r="C29" s="77"/>
      <c r="D29" s="77"/>
      <c r="E29" s="44">
        <f>0</f>
        <v>0</v>
      </c>
      <c r="F29" s="45">
        <f>46</f>
        <v>46</v>
      </c>
      <c r="G29" s="44">
        <f>0</f>
        <v>0</v>
      </c>
      <c r="H29" s="45">
        <f>12.4</f>
        <v>12.4</v>
      </c>
      <c r="I29" s="44">
        <f>0</f>
        <v>0</v>
      </c>
      <c r="J29" s="45">
        <f>88</f>
        <v>88</v>
      </c>
      <c r="K29" s="44">
        <f>0</f>
        <v>0</v>
      </c>
      <c r="L29" s="45">
        <f>58</f>
        <v>58</v>
      </c>
      <c r="M29" s="45">
        <f>54</f>
        <v>54</v>
      </c>
      <c r="N29" s="45">
        <f>151.74</f>
        <v>151.74</v>
      </c>
      <c r="O29" s="45">
        <f>124</f>
        <v>124</v>
      </c>
      <c r="P29" s="45">
        <f>478.28</f>
        <v>478.28</v>
      </c>
      <c r="Q29" s="45">
        <v>2975.97</v>
      </c>
      <c r="R29" s="45">
        <v>10161.299999999999</v>
      </c>
      <c r="S29" s="45">
        <v>340.77</v>
      </c>
      <c r="T29" s="45">
        <v>375</v>
      </c>
      <c r="U29" s="45">
        <v>7821</v>
      </c>
      <c r="V29" s="45">
        <v>5424</v>
      </c>
      <c r="W29" s="45">
        <v>3260</v>
      </c>
      <c r="X29" s="45">
        <v>6727</v>
      </c>
      <c r="Y29" s="45">
        <v>5681</v>
      </c>
      <c r="Z29" s="45">
        <v>8790</v>
      </c>
      <c r="AA29" s="45">
        <v>3989</v>
      </c>
      <c r="AB29" s="45">
        <v>24054</v>
      </c>
      <c r="AD29" s="50">
        <f t="shared" si="26"/>
        <v>46</v>
      </c>
      <c r="AE29" s="50">
        <f t="shared" si="26"/>
        <v>100.4</v>
      </c>
      <c r="AF29" s="50">
        <f t="shared" si="26"/>
        <v>112</v>
      </c>
      <c r="AG29" s="50">
        <f t="shared" si="26"/>
        <v>754.02</v>
      </c>
      <c r="AH29" s="50">
        <f t="shared" si="26"/>
        <v>13478.039999999999</v>
      </c>
      <c r="AI29" s="50">
        <f t="shared" si="26"/>
        <v>13620</v>
      </c>
      <c r="AJ29" s="50">
        <f t="shared" si="26"/>
        <v>15668</v>
      </c>
      <c r="AK29" s="50">
        <f t="shared" si="26"/>
        <v>36833</v>
      </c>
      <c r="AL29" s="53"/>
      <c r="AM29" s="50">
        <f t="shared" si="27"/>
        <v>1012.42</v>
      </c>
      <c r="AN29" s="50">
        <f t="shared" si="27"/>
        <v>79599.040000000008</v>
      </c>
    </row>
    <row r="30" spans="1:40" outlineLevel="1" x14ac:dyDescent="0.2">
      <c r="A30" s="37" t="s">
        <v>280</v>
      </c>
      <c r="B30" s="77" t="s">
        <v>281</v>
      </c>
      <c r="C30" s="77"/>
      <c r="D30" s="77"/>
      <c r="E30" s="45">
        <f>123.76</f>
        <v>123.76</v>
      </c>
      <c r="F30" s="45">
        <f>150.32</f>
        <v>150.32</v>
      </c>
      <c r="G30" s="45">
        <f>509.5</f>
        <v>509.5</v>
      </c>
      <c r="H30" s="45">
        <f>678.56</f>
        <v>678.56</v>
      </c>
      <c r="I30" s="45">
        <f>3713.36</f>
        <v>3713.36</v>
      </c>
      <c r="J30" s="45">
        <f>296.85</f>
        <v>296.85000000000002</v>
      </c>
      <c r="K30" s="45">
        <f>39.3</f>
        <v>39.299999999999997</v>
      </c>
      <c r="L30" s="45">
        <f>135.94</f>
        <v>135.94</v>
      </c>
      <c r="M30" s="45">
        <f>302.02</f>
        <v>302.02</v>
      </c>
      <c r="N30" s="45">
        <f>501.83</f>
        <v>501.83</v>
      </c>
      <c r="O30" s="45">
        <f>288.46</f>
        <v>288.45999999999998</v>
      </c>
      <c r="P30" s="45">
        <f>454.72</f>
        <v>454.72</v>
      </c>
      <c r="Q30" s="45">
        <v>16</v>
      </c>
      <c r="R30" s="45">
        <v>90.3</v>
      </c>
      <c r="S30" s="45">
        <v>67.58</v>
      </c>
      <c r="T30" s="45">
        <v>0</v>
      </c>
      <c r="U30" s="45">
        <v>39</v>
      </c>
      <c r="V30" s="45">
        <v>399</v>
      </c>
      <c r="W30" s="45">
        <v>131</v>
      </c>
      <c r="X30" s="45"/>
      <c r="Y30" s="45">
        <v>145</v>
      </c>
      <c r="Z30" s="45">
        <v>95</v>
      </c>
      <c r="AA30" s="45">
        <v>70</v>
      </c>
      <c r="AB30" s="45">
        <v>294</v>
      </c>
      <c r="AD30" s="50">
        <f t="shared" si="26"/>
        <v>783.57999999999993</v>
      </c>
      <c r="AE30" s="50">
        <f t="shared" si="26"/>
        <v>4688.7700000000004</v>
      </c>
      <c r="AF30" s="50">
        <f t="shared" si="26"/>
        <v>477.26</v>
      </c>
      <c r="AG30" s="50">
        <f t="shared" si="26"/>
        <v>1245.01</v>
      </c>
      <c r="AH30" s="50">
        <f t="shared" si="26"/>
        <v>173.88</v>
      </c>
      <c r="AI30" s="50">
        <f t="shared" si="26"/>
        <v>438</v>
      </c>
      <c r="AJ30" s="50">
        <f t="shared" si="26"/>
        <v>276</v>
      </c>
      <c r="AK30" s="50">
        <f t="shared" si="26"/>
        <v>459</v>
      </c>
      <c r="AL30" s="53"/>
      <c r="AM30" s="50">
        <f t="shared" si="27"/>
        <v>7194.6200000000008</v>
      </c>
      <c r="AN30" s="50">
        <f t="shared" si="27"/>
        <v>1346.88</v>
      </c>
    </row>
    <row r="31" spans="1:40" outlineLevel="1" x14ac:dyDescent="0.2">
      <c r="A31" s="37" t="s">
        <v>282</v>
      </c>
      <c r="B31" s="77" t="s">
        <v>283</v>
      </c>
      <c r="C31" s="77"/>
      <c r="D31" s="77"/>
      <c r="E31" s="45">
        <f>3373.01</f>
        <v>3373.01</v>
      </c>
      <c r="F31" s="45">
        <f>834.4</f>
        <v>834.4</v>
      </c>
      <c r="G31" s="45">
        <f>847.1</f>
        <v>847.1</v>
      </c>
      <c r="H31" s="45">
        <f>1722.44</f>
        <v>1722.44</v>
      </c>
      <c r="I31" s="45">
        <f>358.3</f>
        <v>358.3</v>
      </c>
      <c r="J31" s="45">
        <f>1342.49</f>
        <v>1342.49</v>
      </c>
      <c r="K31" s="45">
        <f>52.25</f>
        <v>52.25</v>
      </c>
      <c r="L31" s="45">
        <f>250</f>
        <v>250</v>
      </c>
      <c r="M31" s="45">
        <f>400.84</f>
        <v>400.84</v>
      </c>
      <c r="N31" s="45">
        <f>202.57</f>
        <v>202.57</v>
      </c>
      <c r="O31" s="45">
        <f>71.66</f>
        <v>71.66</v>
      </c>
      <c r="P31" s="45">
        <f>2549.88</f>
        <v>2549.88</v>
      </c>
      <c r="Q31" s="45">
        <v>423.95</v>
      </c>
      <c r="R31" s="45">
        <v>654.54999999999995</v>
      </c>
      <c r="S31" s="45">
        <v>119.09</v>
      </c>
      <c r="T31" s="45">
        <v>58</v>
      </c>
      <c r="U31" s="45">
        <v>1368</v>
      </c>
      <c r="V31" s="45">
        <v>1310</v>
      </c>
      <c r="W31" s="45">
        <v>1614</v>
      </c>
      <c r="X31" s="45">
        <v>607</v>
      </c>
      <c r="Y31" s="45">
        <v>688</v>
      </c>
      <c r="Z31" s="45">
        <v>863</v>
      </c>
      <c r="AA31" s="45">
        <v>366</v>
      </c>
      <c r="AB31" s="45">
        <v>3193</v>
      </c>
      <c r="AD31" s="50">
        <f t="shared" si="26"/>
        <v>5054.51</v>
      </c>
      <c r="AE31" s="50">
        <f t="shared" si="26"/>
        <v>3423.2300000000005</v>
      </c>
      <c r="AF31" s="50">
        <f t="shared" si="26"/>
        <v>703.08999999999992</v>
      </c>
      <c r="AG31" s="50">
        <f t="shared" si="26"/>
        <v>2824.11</v>
      </c>
      <c r="AH31" s="50">
        <f t="shared" si="26"/>
        <v>1197.5899999999999</v>
      </c>
      <c r="AI31" s="50">
        <f t="shared" si="26"/>
        <v>2736</v>
      </c>
      <c r="AJ31" s="50">
        <f t="shared" si="26"/>
        <v>2909</v>
      </c>
      <c r="AK31" s="50">
        <f t="shared" si="26"/>
        <v>4422</v>
      </c>
      <c r="AL31" s="53"/>
      <c r="AM31" s="50">
        <f t="shared" si="27"/>
        <v>12004.940000000002</v>
      </c>
      <c r="AN31" s="50">
        <f t="shared" si="27"/>
        <v>11264.59</v>
      </c>
    </row>
    <row r="32" spans="1:40" outlineLevel="1" x14ac:dyDescent="0.2">
      <c r="A32" s="37" t="s">
        <v>284</v>
      </c>
      <c r="B32" s="77" t="s">
        <v>285</v>
      </c>
      <c r="C32" s="77"/>
      <c r="D32" s="77"/>
      <c r="E32" s="44">
        <f>0</f>
        <v>0</v>
      </c>
      <c r="F32" s="44">
        <f>0</f>
        <v>0</v>
      </c>
      <c r="G32" s="45">
        <f>89.11</f>
        <v>89.11</v>
      </c>
      <c r="H32" s="45">
        <f>362.97</f>
        <v>362.97</v>
      </c>
      <c r="I32" s="44">
        <f>0</f>
        <v>0</v>
      </c>
      <c r="J32" s="45">
        <f>492.64</f>
        <v>492.64</v>
      </c>
      <c r="K32" s="44">
        <f>0</f>
        <v>0</v>
      </c>
      <c r="L32" s="44">
        <f>0</f>
        <v>0</v>
      </c>
      <c r="M32" s="44">
        <f>0</f>
        <v>0</v>
      </c>
      <c r="N32" s="44">
        <f>0</f>
        <v>0</v>
      </c>
      <c r="O32" s="44">
        <f>0</f>
        <v>0</v>
      </c>
      <c r="P32" s="44">
        <f>0</f>
        <v>0</v>
      </c>
      <c r="Q32" s="44">
        <v>386.51</v>
      </c>
      <c r="R32" s="44">
        <v>3084.91</v>
      </c>
      <c r="S32" s="44">
        <v>383.27</v>
      </c>
      <c r="T32" s="44">
        <v>89</v>
      </c>
      <c r="U32" s="44">
        <v>277</v>
      </c>
      <c r="V32" s="44">
        <v>891</v>
      </c>
      <c r="W32" s="44">
        <v>5024</v>
      </c>
      <c r="X32" s="44">
        <v>1400</v>
      </c>
      <c r="Y32" s="44"/>
      <c r="Z32" s="44">
        <v>1883</v>
      </c>
      <c r="AA32" s="44">
        <v>337</v>
      </c>
      <c r="AB32" s="44">
        <v>2452</v>
      </c>
      <c r="AD32" s="48">
        <f t="shared" si="26"/>
        <v>89.11</v>
      </c>
      <c r="AE32" s="48">
        <f t="shared" si="26"/>
        <v>855.61</v>
      </c>
      <c r="AF32" s="48">
        <f t="shared" si="26"/>
        <v>0</v>
      </c>
      <c r="AG32" s="48">
        <f t="shared" si="26"/>
        <v>0</v>
      </c>
      <c r="AH32" s="48">
        <f t="shared" si="26"/>
        <v>3854.69</v>
      </c>
      <c r="AI32" s="48">
        <f t="shared" si="26"/>
        <v>1257</v>
      </c>
      <c r="AJ32" s="48">
        <f t="shared" si="26"/>
        <v>6424</v>
      </c>
      <c r="AK32" s="48">
        <f t="shared" si="26"/>
        <v>4672</v>
      </c>
      <c r="AL32" s="53"/>
      <c r="AM32" s="48">
        <f t="shared" si="27"/>
        <v>944.72</v>
      </c>
      <c r="AN32" s="48">
        <f t="shared" si="27"/>
        <v>16207.69</v>
      </c>
    </row>
    <row r="33" spans="1:40" outlineLevel="1" x14ac:dyDescent="0.2">
      <c r="A33" s="37" t="s">
        <v>286</v>
      </c>
      <c r="B33" s="77" t="s">
        <v>287</v>
      </c>
      <c r="C33" s="77"/>
      <c r="D33" s="77"/>
      <c r="E33" s="44">
        <f>0</f>
        <v>0</v>
      </c>
      <c r="F33" s="45">
        <f>118.21</f>
        <v>118.21</v>
      </c>
      <c r="G33" s="45">
        <f>297.12</f>
        <v>297.12</v>
      </c>
      <c r="H33" s="45">
        <f>745.96</f>
        <v>745.96</v>
      </c>
      <c r="I33" s="44">
        <f>0</f>
        <v>0</v>
      </c>
      <c r="J33" s="44">
        <f>0</f>
        <v>0</v>
      </c>
      <c r="K33" s="44">
        <f>0</f>
        <v>0</v>
      </c>
      <c r="L33" s="45">
        <f>486.76</f>
        <v>486.76</v>
      </c>
      <c r="M33" s="45">
        <f>647.22</f>
        <v>647.22</v>
      </c>
      <c r="N33" s="45">
        <f>1264.57</f>
        <v>1264.57</v>
      </c>
      <c r="O33" s="45">
        <f>601.23</f>
        <v>601.23</v>
      </c>
      <c r="P33" s="45">
        <f>622.22</f>
        <v>622.22</v>
      </c>
      <c r="Q33" s="45">
        <v>476.01</v>
      </c>
      <c r="R33" s="45">
        <v>902.26</v>
      </c>
      <c r="S33" s="45">
        <f>0</f>
        <v>0</v>
      </c>
      <c r="T33" s="45">
        <v>0</v>
      </c>
      <c r="U33" s="45">
        <v>249</v>
      </c>
      <c r="V33" s="45"/>
      <c r="W33" s="45"/>
      <c r="X33" s="45"/>
      <c r="Y33" s="45">
        <v>199</v>
      </c>
      <c r="Z33" s="45">
        <v>57</v>
      </c>
      <c r="AA33" s="45">
        <v>15</v>
      </c>
      <c r="AB33" s="45">
        <v>8478</v>
      </c>
      <c r="AD33" s="50">
        <f t="shared" si="26"/>
        <v>415.33</v>
      </c>
      <c r="AE33" s="50">
        <f t="shared" si="26"/>
        <v>745.96</v>
      </c>
      <c r="AF33" s="50">
        <f t="shared" si="26"/>
        <v>1133.98</v>
      </c>
      <c r="AG33" s="50">
        <f t="shared" si="26"/>
        <v>2488.02</v>
      </c>
      <c r="AH33" s="50">
        <f t="shared" si="26"/>
        <v>1378.27</v>
      </c>
      <c r="AI33" s="50">
        <f t="shared" si="26"/>
        <v>249</v>
      </c>
      <c r="AJ33" s="50">
        <f t="shared" si="26"/>
        <v>199</v>
      </c>
      <c r="AK33" s="50">
        <f t="shared" si="26"/>
        <v>8550</v>
      </c>
      <c r="AL33" s="53"/>
      <c r="AM33" s="50">
        <f t="shared" si="27"/>
        <v>4783.29</v>
      </c>
      <c r="AN33" s="50">
        <f t="shared" si="27"/>
        <v>10376.27</v>
      </c>
    </row>
    <row r="34" spans="1:40" outlineLevel="1" x14ac:dyDescent="0.2">
      <c r="A34" s="37" t="s">
        <v>288</v>
      </c>
      <c r="B34" s="77" t="s">
        <v>289</v>
      </c>
      <c r="C34" s="77"/>
      <c r="D34" s="77"/>
      <c r="E34" s="44">
        <f>0</f>
        <v>0</v>
      </c>
      <c r="F34" s="44">
        <f>0</f>
        <v>0</v>
      </c>
      <c r="G34" s="45">
        <f>204.91</f>
        <v>204.91</v>
      </c>
      <c r="H34" s="44">
        <f>0</f>
        <v>0</v>
      </c>
      <c r="I34" s="44">
        <f>0</f>
        <v>0</v>
      </c>
      <c r="J34" s="44">
        <f>0</f>
        <v>0</v>
      </c>
      <c r="K34" s="44">
        <f>0</f>
        <v>0</v>
      </c>
      <c r="L34" s="44">
        <f>0</f>
        <v>0</v>
      </c>
      <c r="M34" s="44">
        <f>0</f>
        <v>0</v>
      </c>
      <c r="N34" s="44">
        <f>0</f>
        <v>0</v>
      </c>
      <c r="O34" s="44">
        <f>0</f>
        <v>0</v>
      </c>
      <c r="P34" s="44">
        <f>0</f>
        <v>0</v>
      </c>
      <c r="Q34" s="44">
        <f>0</f>
        <v>0</v>
      </c>
      <c r="R34" s="44">
        <v>506.44</v>
      </c>
      <c r="S34" s="44">
        <v>128.36000000000001</v>
      </c>
      <c r="T34" s="44">
        <v>0</v>
      </c>
      <c r="U34" s="44">
        <v>1816</v>
      </c>
      <c r="V34" s="44">
        <v>1426</v>
      </c>
      <c r="W34" s="44"/>
      <c r="X34" s="44">
        <v>242</v>
      </c>
      <c r="Y34" s="44">
        <v>1071</v>
      </c>
      <c r="Z34" s="44">
        <v>335</v>
      </c>
      <c r="AA34" s="44">
        <v>628</v>
      </c>
      <c r="AB34" s="44">
        <v>1327</v>
      </c>
      <c r="AD34" s="48">
        <f t="shared" si="26"/>
        <v>204.91</v>
      </c>
      <c r="AE34" s="48">
        <f t="shared" si="26"/>
        <v>0</v>
      </c>
      <c r="AF34" s="48">
        <f t="shared" si="26"/>
        <v>0</v>
      </c>
      <c r="AG34" s="48">
        <f t="shared" si="26"/>
        <v>0</v>
      </c>
      <c r="AH34" s="48">
        <f t="shared" si="26"/>
        <v>634.79999999999995</v>
      </c>
      <c r="AI34" s="48">
        <f t="shared" si="26"/>
        <v>3242</v>
      </c>
      <c r="AJ34" s="48">
        <f t="shared" si="26"/>
        <v>1313</v>
      </c>
      <c r="AK34" s="48">
        <f t="shared" si="26"/>
        <v>2290</v>
      </c>
      <c r="AL34" s="53"/>
      <c r="AM34" s="48">
        <f t="shared" si="27"/>
        <v>204.91</v>
      </c>
      <c r="AN34" s="48">
        <f t="shared" si="27"/>
        <v>7479.8</v>
      </c>
    </row>
    <row r="35" spans="1:40" outlineLevel="1" x14ac:dyDescent="0.2">
      <c r="A35" s="37" t="s">
        <v>290</v>
      </c>
      <c r="B35" s="77"/>
      <c r="C35" s="77"/>
      <c r="D35" s="77"/>
      <c r="E35" s="44">
        <v>0</v>
      </c>
      <c r="F35" s="44">
        <v>0</v>
      </c>
      <c r="G35" s="45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/>
      <c r="W35" s="44"/>
      <c r="X35" s="44"/>
      <c r="Y35" s="44"/>
      <c r="Z35" s="44">
        <v>1234</v>
      </c>
      <c r="AA35" s="44"/>
      <c r="AB35" s="44">
        <v>105</v>
      </c>
      <c r="AD35" s="48"/>
      <c r="AE35" s="48"/>
      <c r="AF35" s="48"/>
      <c r="AG35" s="48"/>
      <c r="AH35" s="48"/>
      <c r="AI35" s="48"/>
      <c r="AJ35" s="48"/>
      <c r="AK35" s="48"/>
      <c r="AL35" s="53"/>
      <c r="AM35" s="48"/>
      <c r="AN35" s="48"/>
    </row>
    <row r="36" spans="1:40" outlineLevel="1" x14ac:dyDescent="0.2">
      <c r="A36" s="37" t="s">
        <v>291</v>
      </c>
      <c r="B36" s="77" t="s">
        <v>292</v>
      </c>
      <c r="C36" s="77"/>
      <c r="D36" s="77"/>
      <c r="E36" s="44">
        <f>0</f>
        <v>0</v>
      </c>
      <c r="F36" s="45">
        <f>496.42</f>
        <v>496.42</v>
      </c>
      <c r="G36" s="45">
        <f>1219.15</f>
        <v>1219.1500000000001</v>
      </c>
      <c r="H36" s="45">
        <f>6589.89</f>
        <v>6589.89</v>
      </c>
      <c r="I36" s="45">
        <f>425.6</f>
        <v>425.6</v>
      </c>
      <c r="J36" s="45">
        <f>1175.62</f>
        <v>1175.6199999999999</v>
      </c>
      <c r="K36" s="45">
        <f>624.18</f>
        <v>624.17999999999995</v>
      </c>
      <c r="L36" s="45">
        <f>349.24</f>
        <v>349.24</v>
      </c>
      <c r="M36" s="45">
        <f>411.22</f>
        <v>411.22</v>
      </c>
      <c r="N36" s="45">
        <f>1000.07</f>
        <v>1000.07</v>
      </c>
      <c r="O36" s="45">
        <f>542.6</f>
        <v>542.6</v>
      </c>
      <c r="P36" s="45">
        <f>1327.22</f>
        <v>1327.22</v>
      </c>
      <c r="Q36" s="45">
        <v>2849.71</v>
      </c>
      <c r="R36" s="45">
        <v>4471.7700000000004</v>
      </c>
      <c r="S36" s="45">
        <f>0</f>
        <v>0</v>
      </c>
      <c r="T36" s="45">
        <v>650</v>
      </c>
      <c r="U36" s="45">
        <v>2131</v>
      </c>
      <c r="V36" s="45">
        <v>1500</v>
      </c>
      <c r="W36" s="45">
        <v>1912</v>
      </c>
      <c r="X36" s="45">
        <v>676</v>
      </c>
      <c r="Y36" s="45">
        <v>841</v>
      </c>
      <c r="Z36" s="45"/>
      <c r="AA36" s="45">
        <v>578</v>
      </c>
      <c r="AB36" s="45">
        <v>13698</v>
      </c>
      <c r="AD36" s="50">
        <f t="shared" ref="AD36:AK45" si="28">SUMIFS($E36:$AB36,$E$6:$AB$6,AD$5)</f>
        <v>1715.5700000000002</v>
      </c>
      <c r="AE36" s="50">
        <f t="shared" si="28"/>
        <v>8191.1100000000006</v>
      </c>
      <c r="AF36" s="50">
        <f t="shared" si="28"/>
        <v>1384.6399999999999</v>
      </c>
      <c r="AG36" s="50">
        <f t="shared" si="28"/>
        <v>2869.8900000000003</v>
      </c>
      <c r="AH36" s="50">
        <f t="shared" si="28"/>
        <v>7321.4800000000005</v>
      </c>
      <c r="AI36" s="50">
        <f t="shared" si="28"/>
        <v>4281</v>
      </c>
      <c r="AJ36" s="50">
        <f t="shared" si="28"/>
        <v>3429</v>
      </c>
      <c r="AK36" s="50">
        <f t="shared" si="28"/>
        <v>14276</v>
      </c>
      <c r="AL36" s="53"/>
      <c r="AM36" s="50">
        <f t="shared" ref="AM36:AN55" si="29">SUMIFS($E36:$AB36,$E$7:$AB$7,AM$5)</f>
        <v>14161.21</v>
      </c>
      <c r="AN36" s="50">
        <f t="shared" si="29"/>
        <v>29307.48</v>
      </c>
    </row>
    <row r="37" spans="1:40" outlineLevel="1" x14ac:dyDescent="0.2">
      <c r="A37" s="37" t="s">
        <v>293</v>
      </c>
      <c r="B37" s="77" t="s">
        <v>294</v>
      </c>
      <c r="C37" s="77"/>
      <c r="D37" s="77"/>
      <c r="E37" s="44">
        <f>0</f>
        <v>0</v>
      </c>
      <c r="F37" s="44">
        <f>0</f>
        <v>0</v>
      </c>
      <c r="G37" s="44">
        <f>0</f>
        <v>0</v>
      </c>
      <c r="H37" s="45">
        <f>1220</f>
        <v>1220</v>
      </c>
      <c r="I37" s="44">
        <f>0</f>
        <v>0</v>
      </c>
      <c r="J37" s="44">
        <f>0</f>
        <v>0</v>
      </c>
      <c r="K37" s="45">
        <f>0</f>
        <v>0</v>
      </c>
      <c r="L37" s="44">
        <f>0</f>
        <v>0</v>
      </c>
      <c r="M37" s="44">
        <f>0</f>
        <v>0</v>
      </c>
      <c r="N37" s="44">
        <f>0</f>
        <v>0</v>
      </c>
      <c r="O37" s="44">
        <f>0</f>
        <v>0</v>
      </c>
      <c r="P37" s="44">
        <f>0</f>
        <v>0</v>
      </c>
      <c r="Q37" s="44">
        <f>0</f>
        <v>0</v>
      </c>
      <c r="R37" s="44">
        <v>837.12</v>
      </c>
      <c r="S37" s="44">
        <f>0</f>
        <v>0</v>
      </c>
      <c r="T37" s="44">
        <v>186</v>
      </c>
      <c r="U37" s="44">
        <v>16</v>
      </c>
      <c r="V37" s="44">
        <v>85</v>
      </c>
      <c r="W37" s="44"/>
      <c r="X37" s="44"/>
      <c r="Y37" s="44">
        <v>37</v>
      </c>
      <c r="Z37" s="44"/>
      <c r="AA37" s="44"/>
      <c r="AB37" s="44">
        <v>36607</v>
      </c>
      <c r="AD37" s="48">
        <f t="shared" si="28"/>
        <v>0</v>
      </c>
      <c r="AE37" s="48">
        <f t="shared" si="28"/>
        <v>1220</v>
      </c>
      <c r="AF37" s="48">
        <f t="shared" si="28"/>
        <v>0</v>
      </c>
      <c r="AG37" s="48">
        <f t="shared" si="28"/>
        <v>0</v>
      </c>
      <c r="AH37" s="48">
        <f t="shared" si="28"/>
        <v>837.12</v>
      </c>
      <c r="AI37" s="48">
        <f t="shared" si="28"/>
        <v>287</v>
      </c>
      <c r="AJ37" s="48">
        <f t="shared" si="28"/>
        <v>37</v>
      </c>
      <c r="AK37" s="48">
        <f t="shared" si="28"/>
        <v>36607</v>
      </c>
      <c r="AL37" s="53"/>
      <c r="AM37" s="48">
        <f t="shared" si="29"/>
        <v>1220</v>
      </c>
      <c r="AN37" s="48">
        <f t="shared" si="29"/>
        <v>37768.120000000003</v>
      </c>
    </row>
    <row r="38" spans="1:40" x14ac:dyDescent="0.2">
      <c r="A38" s="3" t="s">
        <v>295</v>
      </c>
      <c r="B38" s="77" t="s">
        <v>270</v>
      </c>
      <c r="C38" s="240" t="s">
        <v>159</v>
      </c>
      <c r="D38" s="77"/>
      <c r="E38" s="13">
        <f>SUM(E24:E37)</f>
        <v>5879.380000000001</v>
      </c>
      <c r="F38" s="13">
        <f t="shared" ref="F38:S38" si="30">SUM(F24:F37)</f>
        <v>11243.929999999998</v>
      </c>
      <c r="G38" s="13">
        <f t="shared" si="30"/>
        <v>9597.89</v>
      </c>
      <c r="H38" s="13">
        <f t="shared" si="30"/>
        <v>37593.93</v>
      </c>
      <c r="I38" s="13">
        <f t="shared" si="30"/>
        <v>6732.02</v>
      </c>
      <c r="J38" s="13">
        <f t="shared" si="30"/>
        <v>10231.599999999999</v>
      </c>
      <c r="K38" s="13">
        <f t="shared" si="30"/>
        <v>3936.95</v>
      </c>
      <c r="L38" s="13">
        <f t="shared" si="30"/>
        <v>5198.46</v>
      </c>
      <c r="M38" s="13">
        <f t="shared" si="30"/>
        <v>4323.59</v>
      </c>
      <c r="N38" s="13">
        <f t="shared" si="30"/>
        <v>10173.81</v>
      </c>
      <c r="O38" s="13">
        <f t="shared" si="30"/>
        <v>9242.49</v>
      </c>
      <c r="P38" s="13">
        <f t="shared" si="30"/>
        <v>11072.669999999998</v>
      </c>
      <c r="Q38" s="13">
        <f t="shared" si="30"/>
        <v>15522.259999999998</v>
      </c>
      <c r="R38" s="13">
        <f t="shared" si="30"/>
        <v>42374.44000000001</v>
      </c>
      <c r="S38" s="13">
        <f t="shared" si="30"/>
        <v>1532.0300000000002</v>
      </c>
      <c r="T38" s="13">
        <v>5024</v>
      </c>
      <c r="U38" s="13">
        <v>23002</v>
      </c>
      <c r="V38" s="13">
        <v>19522</v>
      </c>
      <c r="W38" s="13">
        <v>15609</v>
      </c>
      <c r="X38" s="13">
        <v>23316</v>
      </c>
      <c r="Y38" s="13">
        <v>13120</v>
      </c>
      <c r="Z38" s="13">
        <v>27776</v>
      </c>
      <c r="AA38" s="13">
        <v>11479</v>
      </c>
      <c r="AB38" s="13">
        <v>136723</v>
      </c>
      <c r="AD38" s="49">
        <f t="shared" si="28"/>
        <v>26721.199999999997</v>
      </c>
      <c r="AE38" s="49">
        <f t="shared" si="28"/>
        <v>54557.549999999996</v>
      </c>
      <c r="AF38" s="49">
        <f t="shared" si="28"/>
        <v>13459</v>
      </c>
      <c r="AG38" s="49">
        <f t="shared" si="28"/>
        <v>30488.969999999998</v>
      </c>
      <c r="AH38" s="49">
        <f t="shared" si="28"/>
        <v>59428.73000000001</v>
      </c>
      <c r="AI38" s="49">
        <f t="shared" si="28"/>
        <v>47548</v>
      </c>
      <c r="AJ38" s="49">
        <f t="shared" si="28"/>
        <v>52045</v>
      </c>
      <c r="AK38" s="49">
        <f t="shared" si="28"/>
        <v>175978</v>
      </c>
      <c r="AL38" s="53"/>
      <c r="AM38" s="49">
        <f t="shared" si="29"/>
        <v>125226.72</v>
      </c>
      <c r="AN38" s="49">
        <f t="shared" si="29"/>
        <v>334999.73</v>
      </c>
    </row>
    <row r="39" spans="1:40" outlineLevel="1" x14ac:dyDescent="0.2">
      <c r="A39" s="37" t="s">
        <v>296</v>
      </c>
      <c r="B39" s="77" t="s">
        <v>297</v>
      </c>
      <c r="C39" s="77"/>
      <c r="D39" s="77"/>
      <c r="E39" s="44">
        <f>0</f>
        <v>0</v>
      </c>
      <c r="F39" s="44">
        <f>0</f>
        <v>0</v>
      </c>
      <c r="G39" s="44">
        <f>0</f>
        <v>0</v>
      </c>
      <c r="H39" s="44">
        <f>0</f>
        <v>0</v>
      </c>
      <c r="I39" s="44">
        <f>0</f>
        <v>0</v>
      </c>
      <c r="J39" s="44">
        <f>0</f>
        <v>0</v>
      </c>
      <c r="K39" s="44">
        <f>0</f>
        <v>0</v>
      </c>
      <c r="L39" s="44">
        <f>0</f>
        <v>0</v>
      </c>
      <c r="M39" s="44">
        <f>0</f>
        <v>0</v>
      </c>
      <c r="N39" s="44">
        <f>0</f>
        <v>0</v>
      </c>
      <c r="O39" s="44">
        <f>0</f>
        <v>0</v>
      </c>
      <c r="P39" s="44">
        <f>0</f>
        <v>0</v>
      </c>
      <c r="Q39" s="44">
        <f>0</f>
        <v>0</v>
      </c>
      <c r="R39" s="44">
        <f>0</f>
        <v>0</v>
      </c>
      <c r="S39" s="44">
        <f>0</f>
        <v>0</v>
      </c>
      <c r="T39" s="44">
        <v>0</v>
      </c>
      <c r="U39" s="44">
        <v>0</v>
      </c>
      <c r="V39" s="44"/>
      <c r="W39" s="44"/>
      <c r="X39" s="44"/>
      <c r="Y39" s="44"/>
      <c r="Z39" s="44"/>
      <c r="AA39" s="44"/>
      <c r="AB39" s="44"/>
      <c r="AD39" s="48">
        <f t="shared" si="28"/>
        <v>0</v>
      </c>
      <c r="AE39" s="48">
        <f t="shared" si="28"/>
        <v>0</v>
      </c>
      <c r="AF39" s="48">
        <f t="shared" si="28"/>
        <v>0</v>
      </c>
      <c r="AG39" s="48">
        <f t="shared" si="28"/>
        <v>0</v>
      </c>
      <c r="AH39" s="48">
        <f t="shared" si="28"/>
        <v>0</v>
      </c>
      <c r="AI39" s="48">
        <f t="shared" si="28"/>
        <v>0</v>
      </c>
      <c r="AJ39" s="48">
        <f t="shared" si="28"/>
        <v>0</v>
      </c>
      <c r="AK39" s="48">
        <f t="shared" si="28"/>
        <v>0</v>
      </c>
      <c r="AL39" s="53"/>
      <c r="AM39" s="48">
        <f t="shared" si="29"/>
        <v>0</v>
      </c>
      <c r="AN39" s="48">
        <f t="shared" si="29"/>
        <v>0</v>
      </c>
    </row>
    <row r="40" spans="1:40" outlineLevel="1" x14ac:dyDescent="0.2">
      <c r="A40" s="37" t="s">
        <v>298</v>
      </c>
      <c r="B40" s="77" t="s">
        <v>299</v>
      </c>
      <c r="C40" s="77"/>
      <c r="D40" s="77"/>
      <c r="E40" s="45">
        <f>2300.98</f>
        <v>2300.98</v>
      </c>
      <c r="F40" s="45">
        <f>4921.1</f>
        <v>4921.1000000000004</v>
      </c>
      <c r="G40" s="45">
        <f>2716.03</f>
        <v>2716.03</v>
      </c>
      <c r="H40" s="45">
        <f>6493.51</f>
        <v>6493.51</v>
      </c>
      <c r="I40" s="45">
        <f>3298.54</f>
        <v>3298.54</v>
      </c>
      <c r="J40" s="44">
        <f>0</f>
        <v>0</v>
      </c>
      <c r="K40" s="45">
        <f>5035.5</f>
        <v>5035.5</v>
      </c>
      <c r="L40" s="45">
        <f>768.06</f>
        <v>768.06</v>
      </c>
      <c r="M40" s="45">
        <f>1768.32</f>
        <v>1768.32</v>
      </c>
      <c r="N40" s="45">
        <f>992.98</f>
        <v>992.98</v>
      </c>
      <c r="O40" s="45">
        <f>2356.38</f>
        <v>2356.38</v>
      </c>
      <c r="P40" s="44">
        <f>0</f>
        <v>0</v>
      </c>
      <c r="Q40" s="44">
        <v>9791.57</v>
      </c>
      <c r="R40" s="44">
        <v>3027.05</v>
      </c>
      <c r="S40" s="44">
        <v>1006.99</v>
      </c>
      <c r="T40" s="44">
        <v>1555</v>
      </c>
      <c r="U40" s="44">
        <v>7190</v>
      </c>
      <c r="V40" s="44">
        <v>5568</v>
      </c>
      <c r="W40" s="44">
        <v>4409</v>
      </c>
      <c r="X40" s="44"/>
      <c r="Y40" s="44">
        <v>6515</v>
      </c>
      <c r="Z40" s="44">
        <v>7857</v>
      </c>
      <c r="AA40" s="44">
        <v>5431</v>
      </c>
      <c r="AB40" s="44">
        <v>8263</v>
      </c>
      <c r="AD40" s="48">
        <f t="shared" si="28"/>
        <v>9938.11</v>
      </c>
      <c r="AE40" s="48">
        <f t="shared" si="28"/>
        <v>9792.0499999999993</v>
      </c>
      <c r="AF40" s="48">
        <f t="shared" si="28"/>
        <v>7571.8799999999992</v>
      </c>
      <c r="AG40" s="48">
        <f t="shared" si="28"/>
        <v>3349.36</v>
      </c>
      <c r="AH40" s="48">
        <f t="shared" si="28"/>
        <v>13825.609999999999</v>
      </c>
      <c r="AI40" s="48">
        <f t="shared" si="28"/>
        <v>14313</v>
      </c>
      <c r="AJ40" s="48">
        <f t="shared" si="28"/>
        <v>10924</v>
      </c>
      <c r="AK40" s="48">
        <f t="shared" si="28"/>
        <v>21551</v>
      </c>
      <c r="AL40" s="53"/>
      <c r="AM40" s="48">
        <f t="shared" si="29"/>
        <v>30651.400000000005</v>
      </c>
      <c r="AN40" s="48">
        <f t="shared" si="29"/>
        <v>60613.61</v>
      </c>
    </row>
    <row r="41" spans="1:40" outlineLevel="1" x14ac:dyDescent="0.2">
      <c r="A41" s="37" t="s">
        <v>300</v>
      </c>
      <c r="B41" s="77" t="s">
        <v>301</v>
      </c>
      <c r="C41" s="77"/>
      <c r="D41" s="77"/>
      <c r="E41" s="45">
        <f>25.28</f>
        <v>25.28</v>
      </c>
      <c r="F41" s="44">
        <f>0</f>
        <v>0</v>
      </c>
      <c r="G41" s="44">
        <f>0</f>
        <v>0</v>
      </c>
      <c r="H41" s="44">
        <f>0</f>
        <v>0</v>
      </c>
      <c r="I41" s="45">
        <f>107.87</f>
        <v>107.87</v>
      </c>
      <c r="J41" s="44">
        <f>0</f>
        <v>0</v>
      </c>
      <c r="K41" s="45">
        <f>55.89</f>
        <v>55.89</v>
      </c>
      <c r="L41" s="45">
        <f>107.87</f>
        <v>107.87</v>
      </c>
      <c r="M41" s="44">
        <f>0</f>
        <v>0</v>
      </c>
      <c r="N41" s="44">
        <f>0</f>
        <v>0</v>
      </c>
      <c r="O41" s="44">
        <f>0</f>
        <v>0</v>
      </c>
      <c r="P41" s="44">
        <f>0</f>
        <v>0</v>
      </c>
      <c r="Q41" s="44">
        <v>107.87</v>
      </c>
      <c r="R41" s="44">
        <f>0</f>
        <v>0</v>
      </c>
      <c r="S41" s="44">
        <f>0</f>
        <v>0</v>
      </c>
      <c r="T41" s="44">
        <v>60</v>
      </c>
      <c r="U41" s="44">
        <v>0</v>
      </c>
      <c r="V41" s="44"/>
      <c r="W41" s="44"/>
      <c r="X41" s="44"/>
      <c r="Y41" s="44"/>
      <c r="Z41" s="44"/>
      <c r="AA41" s="44"/>
      <c r="AB41" s="44"/>
      <c r="AD41" s="48">
        <f t="shared" si="28"/>
        <v>25.28</v>
      </c>
      <c r="AE41" s="48">
        <f t="shared" si="28"/>
        <v>107.87</v>
      </c>
      <c r="AF41" s="48">
        <f t="shared" si="28"/>
        <v>163.76</v>
      </c>
      <c r="AG41" s="48">
        <f t="shared" si="28"/>
        <v>0</v>
      </c>
      <c r="AH41" s="48">
        <f t="shared" si="28"/>
        <v>107.87</v>
      </c>
      <c r="AI41" s="48">
        <f t="shared" si="28"/>
        <v>60</v>
      </c>
      <c r="AJ41" s="48">
        <f t="shared" si="28"/>
        <v>0</v>
      </c>
      <c r="AK41" s="48">
        <f t="shared" si="28"/>
        <v>0</v>
      </c>
      <c r="AL41" s="53"/>
      <c r="AM41" s="48">
        <f t="shared" si="29"/>
        <v>296.91000000000003</v>
      </c>
      <c r="AN41" s="48">
        <f t="shared" si="29"/>
        <v>167.87</v>
      </c>
    </row>
    <row r="42" spans="1:40" outlineLevel="1" x14ac:dyDescent="0.2">
      <c r="A42" s="37" t="s">
        <v>302</v>
      </c>
      <c r="B42" s="77" t="s">
        <v>303</v>
      </c>
      <c r="C42" s="77"/>
      <c r="D42" s="77"/>
      <c r="E42" s="45">
        <f>5784.16</f>
        <v>5784.16</v>
      </c>
      <c r="F42" s="45">
        <f>230.34</f>
        <v>230.34</v>
      </c>
      <c r="G42" s="45">
        <f>8877.79</f>
        <v>8877.7900000000009</v>
      </c>
      <c r="H42" s="45">
        <f>1375.93</f>
        <v>1375.93</v>
      </c>
      <c r="I42" s="45">
        <f>2830</f>
        <v>2830</v>
      </c>
      <c r="J42" s="45">
        <f>259.72</f>
        <v>259.72000000000003</v>
      </c>
      <c r="K42" s="45">
        <f>3751.14</f>
        <v>3751.14</v>
      </c>
      <c r="L42" s="45">
        <f>1187.02</f>
        <v>1187.02</v>
      </c>
      <c r="M42" s="45">
        <f>4079.03</f>
        <v>4079.03</v>
      </c>
      <c r="N42" s="45">
        <f>326.97</f>
        <v>326.97000000000003</v>
      </c>
      <c r="O42" s="45">
        <f>428.96</f>
        <v>428.96</v>
      </c>
      <c r="P42" s="45">
        <f>200</f>
        <v>200</v>
      </c>
      <c r="Q42" s="45">
        <f>0</f>
        <v>0</v>
      </c>
      <c r="R42" s="45">
        <f>0</f>
        <v>0</v>
      </c>
      <c r="S42" s="45">
        <f>0</f>
        <v>0</v>
      </c>
      <c r="T42" s="45">
        <v>445</v>
      </c>
      <c r="U42" s="45">
        <v>445</v>
      </c>
      <c r="V42" s="45">
        <v>2530</v>
      </c>
      <c r="W42" s="45">
        <v>2812</v>
      </c>
      <c r="X42" s="45"/>
      <c r="Y42" s="45">
        <v>2785</v>
      </c>
      <c r="Z42" s="45">
        <v>1273</v>
      </c>
      <c r="AA42" s="45">
        <v>1305</v>
      </c>
      <c r="AB42" s="45">
        <v>3041</v>
      </c>
      <c r="AD42" s="50">
        <f t="shared" si="28"/>
        <v>14892.29</v>
      </c>
      <c r="AE42" s="50">
        <f t="shared" si="28"/>
        <v>4465.6500000000005</v>
      </c>
      <c r="AF42" s="50">
        <f t="shared" si="28"/>
        <v>9017.19</v>
      </c>
      <c r="AG42" s="50">
        <f t="shared" si="28"/>
        <v>955.93000000000006</v>
      </c>
      <c r="AH42" s="50">
        <f t="shared" si="28"/>
        <v>0</v>
      </c>
      <c r="AI42" s="50">
        <f t="shared" si="28"/>
        <v>3420</v>
      </c>
      <c r="AJ42" s="50">
        <f t="shared" si="28"/>
        <v>5597</v>
      </c>
      <c r="AK42" s="50">
        <f t="shared" si="28"/>
        <v>5619</v>
      </c>
      <c r="AL42" s="53"/>
      <c r="AM42" s="50">
        <f t="shared" si="29"/>
        <v>29331.06</v>
      </c>
      <c r="AN42" s="50">
        <f t="shared" si="29"/>
        <v>14636</v>
      </c>
    </row>
    <row r="43" spans="1:40" outlineLevel="1" x14ac:dyDescent="0.2">
      <c r="A43" s="37" t="s">
        <v>304</v>
      </c>
      <c r="B43" s="77" t="s">
        <v>305</v>
      </c>
      <c r="C43" s="77"/>
      <c r="D43" s="77"/>
      <c r="E43" s="45">
        <f>236</f>
        <v>236</v>
      </c>
      <c r="F43" s="45">
        <f>66</f>
        <v>66</v>
      </c>
      <c r="G43" s="45">
        <f>72</f>
        <v>72</v>
      </c>
      <c r="H43" s="44">
        <f>0</f>
        <v>0</v>
      </c>
      <c r="I43" s="45">
        <f>158</f>
        <v>158</v>
      </c>
      <c r="J43" s="44">
        <f>0</f>
        <v>0</v>
      </c>
      <c r="K43" s="45">
        <f>29.69</f>
        <v>29.69</v>
      </c>
      <c r="L43" s="44">
        <f>0</f>
        <v>0</v>
      </c>
      <c r="M43" s="45">
        <f>76</f>
        <v>76</v>
      </c>
      <c r="N43" s="44">
        <f>0</f>
        <v>0</v>
      </c>
      <c r="O43" s="45">
        <f>20</f>
        <v>20</v>
      </c>
      <c r="P43" s="44">
        <f>0</f>
        <v>0</v>
      </c>
      <c r="Q43" s="44">
        <v>4298.47</v>
      </c>
      <c r="R43" s="44">
        <v>648.5</v>
      </c>
      <c r="S43" s="44">
        <f>0</f>
        <v>0</v>
      </c>
      <c r="T43" s="44">
        <v>0</v>
      </c>
      <c r="U43" s="44">
        <v>0</v>
      </c>
      <c r="V43" s="44"/>
      <c r="W43" s="44"/>
      <c r="X43" s="44"/>
      <c r="Y43" s="44"/>
      <c r="Z43" s="44">
        <v>152</v>
      </c>
      <c r="AA43" s="44"/>
      <c r="AB43" s="44"/>
      <c r="AD43" s="48">
        <f t="shared" si="28"/>
        <v>374</v>
      </c>
      <c r="AE43" s="48">
        <f t="shared" si="28"/>
        <v>158</v>
      </c>
      <c r="AF43" s="48">
        <f t="shared" si="28"/>
        <v>105.69</v>
      </c>
      <c r="AG43" s="48">
        <f t="shared" si="28"/>
        <v>20</v>
      </c>
      <c r="AH43" s="48">
        <f t="shared" si="28"/>
        <v>4946.97</v>
      </c>
      <c r="AI43" s="48">
        <f t="shared" si="28"/>
        <v>0</v>
      </c>
      <c r="AJ43" s="48">
        <f t="shared" si="28"/>
        <v>0</v>
      </c>
      <c r="AK43" s="48">
        <f t="shared" si="28"/>
        <v>152</v>
      </c>
      <c r="AL43" s="53"/>
      <c r="AM43" s="48">
        <f t="shared" si="29"/>
        <v>657.69</v>
      </c>
      <c r="AN43" s="48">
        <f t="shared" si="29"/>
        <v>5098.97</v>
      </c>
    </row>
    <row r="44" spans="1:40" outlineLevel="1" x14ac:dyDescent="0.2">
      <c r="A44" s="37" t="s">
        <v>306</v>
      </c>
      <c r="B44" s="77" t="s">
        <v>307</v>
      </c>
      <c r="C44" s="77"/>
      <c r="D44" s="77"/>
      <c r="E44" s="45">
        <f>-1285.68</f>
        <v>-1285.68</v>
      </c>
      <c r="F44" s="44">
        <f>0</f>
        <v>0</v>
      </c>
      <c r="G44" s="44">
        <f>0</f>
        <v>0</v>
      </c>
      <c r="H44" s="44">
        <f>0</f>
        <v>0</v>
      </c>
      <c r="I44" s="45">
        <f>207.55</f>
        <v>207.55</v>
      </c>
      <c r="J44" s="44">
        <f>0</f>
        <v>0</v>
      </c>
      <c r="K44" s="45">
        <f>388.64</f>
        <v>388.64</v>
      </c>
      <c r="L44" s="44">
        <f>0</f>
        <v>0</v>
      </c>
      <c r="M44" s="44">
        <f>0</f>
        <v>0</v>
      </c>
      <c r="N44" s="44">
        <f>0</f>
        <v>0</v>
      </c>
      <c r="O44" s="45">
        <f>139.08</f>
        <v>139.08000000000001</v>
      </c>
      <c r="P44" s="44">
        <f>0</f>
        <v>0</v>
      </c>
      <c r="Q44" s="44">
        <v>106.05</v>
      </c>
      <c r="R44" s="44">
        <v>604.45000000000005</v>
      </c>
      <c r="S44" s="44">
        <v>102.49</v>
      </c>
      <c r="T44" s="44">
        <v>0</v>
      </c>
      <c r="U44" s="44">
        <v>0</v>
      </c>
      <c r="V44" s="44">
        <v>127</v>
      </c>
      <c r="W44" s="44"/>
      <c r="X44" s="44"/>
      <c r="Y44" s="44"/>
      <c r="Z44" s="44">
        <v>22</v>
      </c>
      <c r="AA44" s="44">
        <v>43</v>
      </c>
      <c r="AB44" s="44">
        <v>1443</v>
      </c>
      <c r="AD44" s="48">
        <f t="shared" si="28"/>
        <v>-1285.68</v>
      </c>
      <c r="AE44" s="48">
        <f t="shared" si="28"/>
        <v>207.55</v>
      </c>
      <c r="AF44" s="48">
        <f t="shared" si="28"/>
        <v>388.64</v>
      </c>
      <c r="AG44" s="48">
        <f t="shared" si="28"/>
        <v>139.08000000000001</v>
      </c>
      <c r="AH44" s="48">
        <f t="shared" si="28"/>
        <v>812.99</v>
      </c>
      <c r="AI44" s="48">
        <f t="shared" si="28"/>
        <v>127</v>
      </c>
      <c r="AJ44" s="48">
        <f t="shared" si="28"/>
        <v>0</v>
      </c>
      <c r="AK44" s="48">
        <f t="shared" si="28"/>
        <v>1508</v>
      </c>
      <c r="AL44" s="53"/>
      <c r="AM44" s="48">
        <f t="shared" si="29"/>
        <v>-550.41000000000008</v>
      </c>
      <c r="AN44" s="48">
        <f t="shared" si="29"/>
        <v>2447.9899999999998</v>
      </c>
    </row>
    <row r="45" spans="1:40" outlineLevel="1" x14ac:dyDescent="0.2">
      <c r="A45" s="37" t="s">
        <v>308</v>
      </c>
      <c r="B45" s="77" t="s">
        <v>309</v>
      </c>
      <c r="C45" s="77"/>
      <c r="D45" s="77"/>
      <c r="E45" s="45">
        <f>51.55</f>
        <v>51.55</v>
      </c>
      <c r="F45" s="45">
        <f>565.11</f>
        <v>565.11</v>
      </c>
      <c r="G45" s="45">
        <f>4987.55</f>
        <v>4987.55</v>
      </c>
      <c r="H45" s="44">
        <f>0</f>
        <v>0</v>
      </c>
      <c r="I45" s="45">
        <f>2194.29</f>
        <v>2194.29</v>
      </c>
      <c r="J45" s="44">
        <f>0</f>
        <v>0</v>
      </c>
      <c r="K45" s="45">
        <f>454.27</f>
        <v>454.27</v>
      </c>
      <c r="L45" s="45">
        <f>900</f>
        <v>900</v>
      </c>
      <c r="M45" s="45">
        <f>1688.25</f>
        <v>1688.25</v>
      </c>
      <c r="N45" s="44">
        <f>0</f>
        <v>0</v>
      </c>
      <c r="O45" s="45">
        <f>2207.19</f>
        <v>2207.19</v>
      </c>
      <c r="P45" s="44">
        <f>0</f>
        <v>0</v>
      </c>
      <c r="Q45" s="44">
        <v>545.05999999999995</v>
      </c>
      <c r="R45" s="44">
        <v>302.45</v>
      </c>
      <c r="S45" s="44">
        <f>0</f>
        <v>0</v>
      </c>
      <c r="T45" s="44">
        <v>202</v>
      </c>
      <c r="U45" s="44">
        <v>2204</v>
      </c>
      <c r="V45" s="44">
        <v>1287</v>
      </c>
      <c r="W45" s="44"/>
      <c r="X45" s="44">
        <v>1251</v>
      </c>
      <c r="Y45" s="44">
        <v>621</v>
      </c>
      <c r="Z45" s="44">
        <v>350</v>
      </c>
      <c r="AA45" s="44">
        <v>3882</v>
      </c>
      <c r="AB45" s="44">
        <v>496</v>
      </c>
      <c r="AD45" s="48">
        <f t="shared" si="28"/>
        <v>5604.21</v>
      </c>
      <c r="AE45" s="48">
        <f t="shared" si="28"/>
        <v>2194.29</v>
      </c>
      <c r="AF45" s="48">
        <f t="shared" si="28"/>
        <v>3042.52</v>
      </c>
      <c r="AG45" s="48">
        <f t="shared" si="28"/>
        <v>2207.19</v>
      </c>
      <c r="AH45" s="48">
        <f t="shared" si="28"/>
        <v>847.51</v>
      </c>
      <c r="AI45" s="48">
        <f t="shared" si="28"/>
        <v>3693</v>
      </c>
      <c r="AJ45" s="48">
        <f t="shared" si="28"/>
        <v>1872</v>
      </c>
      <c r="AK45" s="48">
        <f t="shared" si="28"/>
        <v>4728</v>
      </c>
      <c r="AL45" s="53"/>
      <c r="AM45" s="48">
        <f t="shared" si="29"/>
        <v>13048.210000000001</v>
      </c>
      <c r="AN45" s="48">
        <f t="shared" si="29"/>
        <v>11140.51</v>
      </c>
    </row>
    <row r="46" spans="1:40" outlineLevel="1" x14ac:dyDescent="0.2">
      <c r="A46" s="37" t="s">
        <v>310</v>
      </c>
      <c r="B46" s="77" t="s">
        <v>311</v>
      </c>
      <c r="C46" s="77"/>
      <c r="D46" s="77"/>
      <c r="E46" s="45">
        <f>232.51</f>
        <v>232.51</v>
      </c>
      <c r="F46" s="44">
        <f>0</f>
        <v>0</v>
      </c>
      <c r="G46" s="44">
        <f>0</f>
        <v>0</v>
      </c>
      <c r="H46" s="44">
        <f>0</f>
        <v>0</v>
      </c>
      <c r="I46" s="45">
        <f>523.93</f>
        <v>523.92999999999995</v>
      </c>
      <c r="J46" s="44">
        <f>0</f>
        <v>0</v>
      </c>
      <c r="K46" s="44">
        <f>0</f>
        <v>0</v>
      </c>
      <c r="L46" s="45">
        <f>308.36</f>
        <v>308.36</v>
      </c>
      <c r="M46" s="44">
        <f>0</f>
        <v>0</v>
      </c>
      <c r="N46" s="44">
        <f>0</f>
        <v>0</v>
      </c>
      <c r="O46" s="44">
        <f>0</f>
        <v>0</v>
      </c>
      <c r="P46" s="44">
        <f>0</f>
        <v>0</v>
      </c>
      <c r="Q46" s="44">
        <v>131.09</v>
      </c>
      <c r="R46" s="44">
        <f>0</f>
        <v>0</v>
      </c>
      <c r="S46" s="44">
        <f>0</f>
        <v>0</v>
      </c>
      <c r="T46" s="44">
        <v>0</v>
      </c>
      <c r="U46" s="44">
        <v>344</v>
      </c>
      <c r="V46" s="44"/>
      <c r="W46" s="44"/>
      <c r="X46" s="44"/>
      <c r="Y46" s="44"/>
      <c r="Z46" s="44"/>
      <c r="AA46" s="44"/>
      <c r="AB46" s="44"/>
      <c r="AD46" s="48">
        <f t="shared" ref="AD46:AK55" si="31">SUMIFS($E46:$AB46,$E$6:$AB$6,AD$5)</f>
        <v>232.51</v>
      </c>
      <c r="AE46" s="48">
        <f t="shared" si="31"/>
        <v>523.92999999999995</v>
      </c>
      <c r="AF46" s="48">
        <f t="shared" si="31"/>
        <v>308.36</v>
      </c>
      <c r="AG46" s="48">
        <f t="shared" si="31"/>
        <v>0</v>
      </c>
      <c r="AH46" s="48">
        <f t="shared" si="31"/>
        <v>131.09</v>
      </c>
      <c r="AI46" s="48">
        <f t="shared" si="31"/>
        <v>344</v>
      </c>
      <c r="AJ46" s="48">
        <f t="shared" si="31"/>
        <v>0</v>
      </c>
      <c r="AK46" s="48">
        <f t="shared" si="31"/>
        <v>0</v>
      </c>
      <c r="AL46" s="53"/>
      <c r="AM46" s="48">
        <f t="shared" si="29"/>
        <v>1064.8</v>
      </c>
      <c r="AN46" s="48">
        <f t="shared" si="29"/>
        <v>475.09000000000003</v>
      </c>
    </row>
    <row r="47" spans="1:40" outlineLevel="1" x14ac:dyDescent="0.2">
      <c r="A47" s="37" t="s">
        <v>312</v>
      </c>
      <c r="B47" s="77" t="s">
        <v>313</v>
      </c>
      <c r="C47" s="77"/>
      <c r="D47" s="77"/>
      <c r="E47" s="45">
        <f>1206.52</f>
        <v>1206.52</v>
      </c>
      <c r="F47" s="45">
        <f>177.31</f>
        <v>177.31</v>
      </c>
      <c r="G47" s="45">
        <f>550.06</f>
        <v>550.05999999999995</v>
      </c>
      <c r="H47" s="45">
        <f>769.95</f>
        <v>769.95</v>
      </c>
      <c r="I47" s="45">
        <f>520.02</f>
        <v>520.02</v>
      </c>
      <c r="J47" s="45">
        <f>45.98</f>
        <v>45.98</v>
      </c>
      <c r="K47" s="45">
        <f>1055.57</f>
        <v>1055.57</v>
      </c>
      <c r="L47" s="45">
        <f>74.85</f>
        <v>74.849999999999994</v>
      </c>
      <c r="M47" s="45">
        <f>612.82</f>
        <v>612.82000000000005</v>
      </c>
      <c r="N47" s="45">
        <f>395.65</f>
        <v>395.65</v>
      </c>
      <c r="O47" s="45">
        <f>384.83</f>
        <v>384.83</v>
      </c>
      <c r="P47" s="45">
        <f>32.98</f>
        <v>32.979999999999997</v>
      </c>
      <c r="Q47" s="45">
        <v>1025.24</v>
      </c>
      <c r="R47" s="45">
        <v>1160.44</v>
      </c>
      <c r="S47" s="45">
        <f>0</f>
        <v>0</v>
      </c>
      <c r="T47" s="45">
        <v>163</v>
      </c>
      <c r="U47" s="45">
        <v>56</v>
      </c>
      <c r="V47" s="45">
        <v>1592</v>
      </c>
      <c r="W47" s="45">
        <v>223</v>
      </c>
      <c r="X47" s="45"/>
      <c r="Y47" s="45">
        <v>475</v>
      </c>
      <c r="Z47" s="45">
        <v>523</v>
      </c>
      <c r="AA47" s="45">
        <v>221</v>
      </c>
      <c r="AB47" s="45">
        <v>1757</v>
      </c>
      <c r="AD47" s="50">
        <f t="shared" si="31"/>
        <v>1933.8899999999999</v>
      </c>
      <c r="AE47" s="50">
        <f t="shared" si="31"/>
        <v>1335.95</v>
      </c>
      <c r="AF47" s="50">
        <f t="shared" si="31"/>
        <v>1743.2399999999998</v>
      </c>
      <c r="AG47" s="50">
        <f t="shared" si="31"/>
        <v>813.46</v>
      </c>
      <c r="AH47" s="50">
        <f t="shared" si="31"/>
        <v>2185.6800000000003</v>
      </c>
      <c r="AI47" s="50">
        <f t="shared" si="31"/>
        <v>1811</v>
      </c>
      <c r="AJ47" s="50">
        <f t="shared" si="31"/>
        <v>698</v>
      </c>
      <c r="AK47" s="50">
        <f t="shared" si="31"/>
        <v>2501</v>
      </c>
      <c r="AL47" s="53"/>
      <c r="AM47" s="50">
        <f t="shared" si="29"/>
        <v>5826.5399999999991</v>
      </c>
      <c r="AN47" s="50">
        <f t="shared" si="29"/>
        <v>7195.68</v>
      </c>
    </row>
    <row r="48" spans="1:40" outlineLevel="1" x14ac:dyDescent="0.2">
      <c r="A48" s="37" t="s">
        <v>314</v>
      </c>
      <c r="B48" s="77" t="s">
        <v>315</v>
      </c>
      <c r="C48" s="77"/>
      <c r="D48" s="77"/>
      <c r="E48" s="45">
        <f>1675.63</f>
        <v>1675.63</v>
      </c>
      <c r="F48" s="45">
        <f>1627.77</f>
        <v>1627.77</v>
      </c>
      <c r="G48" s="44">
        <f>0</f>
        <v>0</v>
      </c>
      <c r="H48" s="45">
        <f>3997.46</f>
        <v>3997.46</v>
      </c>
      <c r="I48" s="45">
        <f>2230.79</f>
        <v>2230.79</v>
      </c>
      <c r="J48" s="45">
        <f>4185</f>
        <v>4185</v>
      </c>
      <c r="K48" s="45">
        <f>4336.71</f>
        <v>4336.71</v>
      </c>
      <c r="L48" s="44">
        <f>0</f>
        <v>0</v>
      </c>
      <c r="M48" s="44">
        <f>0</f>
        <v>0</v>
      </c>
      <c r="N48" s="44">
        <f>0</f>
        <v>0</v>
      </c>
      <c r="O48" s="44">
        <f>0</f>
        <v>0</v>
      </c>
      <c r="P48" s="44">
        <f>0</f>
        <v>0</v>
      </c>
      <c r="Q48" s="44">
        <f>0</f>
        <v>0</v>
      </c>
      <c r="R48" s="44">
        <f>0</f>
        <v>0</v>
      </c>
      <c r="S48" s="44">
        <v>2500</v>
      </c>
      <c r="T48" s="44">
        <v>15640</v>
      </c>
      <c r="U48" s="44">
        <v>0</v>
      </c>
      <c r="V48" s="44">
        <v>2131</v>
      </c>
      <c r="W48" s="44"/>
      <c r="X48" s="44"/>
      <c r="Y48" s="44"/>
      <c r="Z48" s="44"/>
      <c r="AA48" s="44"/>
      <c r="AB48" s="44"/>
      <c r="AD48" s="48">
        <f t="shared" si="31"/>
        <v>3303.4</v>
      </c>
      <c r="AE48" s="48">
        <f t="shared" si="31"/>
        <v>10413.25</v>
      </c>
      <c r="AF48" s="48">
        <f t="shared" si="31"/>
        <v>4336.71</v>
      </c>
      <c r="AG48" s="48">
        <f t="shared" si="31"/>
        <v>0</v>
      </c>
      <c r="AH48" s="48">
        <f t="shared" si="31"/>
        <v>2500</v>
      </c>
      <c r="AI48" s="48">
        <f t="shared" si="31"/>
        <v>17771</v>
      </c>
      <c r="AJ48" s="48">
        <f t="shared" si="31"/>
        <v>0</v>
      </c>
      <c r="AK48" s="48">
        <f t="shared" si="31"/>
        <v>0</v>
      </c>
      <c r="AL48" s="53"/>
      <c r="AM48" s="48">
        <f t="shared" si="29"/>
        <v>18053.36</v>
      </c>
      <c r="AN48" s="48">
        <f t="shared" si="29"/>
        <v>20271</v>
      </c>
    </row>
    <row r="49" spans="1:40" outlineLevel="1" x14ac:dyDescent="0.2">
      <c r="A49" s="37" t="s">
        <v>316</v>
      </c>
      <c r="B49" s="77" t="s">
        <v>317</v>
      </c>
      <c r="C49" s="77"/>
      <c r="D49" s="77"/>
      <c r="E49" s="44">
        <f>0</f>
        <v>0</v>
      </c>
      <c r="F49" s="44">
        <f>0</f>
        <v>0</v>
      </c>
      <c r="G49" s="45">
        <f>20.77</f>
        <v>20.77</v>
      </c>
      <c r="H49" s="44">
        <f>0</f>
        <v>0</v>
      </c>
      <c r="I49" s="44">
        <f>0</f>
        <v>0</v>
      </c>
      <c r="J49" s="44">
        <f>0</f>
        <v>0</v>
      </c>
      <c r="K49" s="44">
        <f>0</f>
        <v>0</v>
      </c>
      <c r="L49" s="44">
        <f>0</f>
        <v>0</v>
      </c>
      <c r="M49" s="44">
        <f>0</f>
        <v>0</v>
      </c>
      <c r="N49" s="44">
        <f>0</f>
        <v>0</v>
      </c>
      <c r="O49" s="44">
        <f>0</f>
        <v>0</v>
      </c>
      <c r="P49" s="44">
        <f>0</f>
        <v>0</v>
      </c>
      <c r="Q49" s="44">
        <f>0</f>
        <v>0</v>
      </c>
      <c r="R49" s="44">
        <f>0</f>
        <v>0</v>
      </c>
      <c r="S49" s="44">
        <v>222.55</v>
      </c>
      <c r="T49" s="44">
        <v>30</v>
      </c>
      <c r="U49" s="44">
        <v>0</v>
      </c>
      <c r="V49" s="44"/>
      <c r="W49" s="44"/>
      <c r="X49" s="44"/>
      <c r="Y49" s="44"/>
      <c r="Z49" s="44"/>
      <c r="AA49" s="44"/>
      <c r="AB49" s="44"/>
      <c r="AD49" s="48">
        <f t="shared" si="31"/>
        <v>20.77</v>
      </c>
      <c r="AE49" s="48">
        <f t="shared" si="31"/>
        <v>0</v>
      </c>
      <c r="AF49" s="48">
        <f t="shared" si="31"/>
        <v>0</v>
      </c>
      <c r="AG49" s="48">
        <f t="shared" si="31"/>
        <v>0</v>
      </c>
      <c r="AH49" s="48">
        <f t="shared" si="31"/>
        <v>222.55</v>
      </c>
      <c r="AI49" s="48">
        <f t="shared" si="31"/>
        <v>30</v>
      </c>
      <c r="AJ49" s="48">
        <f t="shared" si="31"/>
        <v>0</v>
      </c>
      <c r="AK49" s="48">
        <f t="shared" si="31"/>
        <v>0</v>
      </c>
      <c r="AL49" s="53"/>
      <c r="AM49" s="48">
        <f t="shared" si="29"/>
        <v>20.77</v>
      </c>
      <c r="AN49" s="48">
        <f t="shared" si="29"/>
        <v>252.55</v>
      </c>
    </row>
    <row r="50" spans="1:40" x14ac:dyDescent="0.2">
      <c r="A50" s="3" t="s">
        <v>318</v>
      </c>
      <c r="B50" s="77" t="s">
        <v>297</v>
      </c>
      <c r="C50" s="240" t="s">
        <v>159</v>
      </c>
      <c r="D50" s="77"/>
      <c r="E50" s="13">
        <f t="shared" ref="E50:P50" si="32">((((((((((E39)+(E40))+(E41))+(E42))+(E43))+(E44))+(E45))+(E46))+(E47))+(E48))+(E49)</f>
        <v>10226.950000000001</v>
      </c>
      <c r="F50" s="13">
        <f t="shared" si="32"/>
        <v>7587.630000000001</v>
      </c>
      <c r="G50" s="13">
        <f t="shared" si="32"/>
        <v>17224.200000000004</v>
      </c>
      <c r="H50" s="13">
        <f t="shared" si="32"/>
        <v>12636.850000000002</v>
      </c>
      <c r="I50" s="13">
        <f t="shared" si="32"/>
        <v>12070.990000000002</v>
      </c>
      <c r="J50" s="13">
        <f t="shared" si="32"/>
        <v>4490.7</v>
      </c>
      <c r="K50" s="13">
        <f t="shared" si="32"/>
        <v>15107.41</v>
      </c>
      <c r="L50" s="13">
        <f t="shared" si="32"/>
        <v>3346.16</v>
      </c>
      <c r="M50" s="13">
        <f t="shared" si="32"/>
        <v>8224.42</v>
      </c>
      <c r="N50" s="13">
        <f t="shared" si="32"/>
        <v>1715.6</v>
      </c>
      <c r="O50" s="13">
        <f t="shared" si="32"/>
        <v>5536.4400000000005</v>
      </c>
      <c r="P50" s="13">
        <f t="shared" si="32"/>
        <v>232.98</v>
      </c>
      <c r="Q50" s="13">
        <v>16005.35</v>
      </c>
      <c r="R50" s="13">
        <v>5742.89</v>
      </c>
      <c r="S50" s="13">
        <v>3832.03</v>
      </c>
      <c r="T50" s="13">
        <v>18095</v>
      </c>
      <c r="U50" s="13">
        <v>10239</v>
      </c>
      <c r="V50" s="13">
        <v>13235</v>
      </c>
      <c r="W50" s="13">
        <v>7445</v>
      </c>
      <c r="X50" s="13">
        <v>1251</v>
      </c>
      <c r="Y50" s="13">
        <v>10396</v>
      </c>
      <c r="Z50" s="13">
        <v>10176</v>
      </c>
      <c r="AA50" s="13">
        <v>10883</v>
      </c>
      <c r="AB50" s="13">
        <v>15001</v>
      </c>
      <c r="AD50" s="49">
        <f t="shared" si="31"/>
        <v>35038.780000000006</v>
      </c>
      <c r="AE50" s="49">
        <f t="shared" si="31"/>
        <v>29198.540000000005</v>
      </c>
      <c r="AF50" s="49">
        <f t="shared" si="31"/>
        <v>26677.989999999998</v>
      </c>
      <c r="AG50" s="49">
        <f t="shared" si="31"/>
        <v>7485.02</v>
      </c>
      <c r="AH50" s="49">
        <f t="shared" si="31"/>
        <v>25580.27</v>
      </c>
      <c r="AI50" s="49">
        <f t="shared" si="31"/>
        <v>41569</v>
      </c>
      <c r="AJ50" s="49">
        <f t="shared" si="31"/>
        <v>19092</v>
      </c>
      <c r="AK50" s="49">
        <f t="shared" si="31"/>
        <v>36060</v>
      </c>
      <c r="AL50" s="53"/>
      <c r="AM50" s="49">
        <f t="shared" si="29"/>
        <v>98400.330000000016</v>
      </c>
      <c r="AN50" s="49">
        <f t="shared" si="29"/>
        <v>122301.27</v>
      </c>
    </row>
    <row r="51" spans="1:40" outlineLevel="1" x14ac:dyDescent="0.2">
      <c r="A51" s="3" t="s">
        <v>319</v>
      </c>
      <c r="B51" s="77" t="s">
        <v>320</v>
      </c>
      <c r="C51" s="77"/>
      <c r="D51" s="77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D51" s="48">
        <f t="shared" si="31"/>
        <v>0</v>
      </c>
      <c r="AE51" s="48">
        <f t="shared" si="31"/>
        <v>0</v>
      </c>
      <c r="AF51" s="48">
        <f t="shared" si="31"/>
        <v>0</v>
      </c>
      <c r="AG51" s="48">
        <f t="shared" si="31"/>
        <v>0</v>
      </c>
      <c r="AH51" s="48">
        <f t="shared" si="31"/>
        <v>0</v>
      </c>
      <c r="AI51" s="48">
        <f t="shared" si="31"/>
        <v>0</v>
      </c>
      <c r="AJ51" s="48">
        <f t="shared" si="31"/>
        <v>0</v>
      </c>
      <c r="AK51" s="48">
        <f t="shared" si="31"/>
        <v>0</v>
      </c>
      <c r="AL51" s="53"/>
      <c r="AM51" s="48">
        <f t="shared" si="29"/>
        <v>0</v>
      </c>
      <c r="AN51" s="48">
        <f t="shared" si="29"/>
        <v>0</v>
      </c>
    </row>
    <row r="52" spans="1:40" outlineLevel="1" x14ac:dyDescent="0.2">
      <c r="A52" s="37" t="s">
        <v>321</v>
      </c>
      <c r="B52" s="77" t="s">
        <v>322</v>
      </c>
      <c r="C52" s="240" t="s">
        <v>153</v>
      </c>
      <c r="D52" s="77"/>
      <c r="E52" s="45">
        <f>378.5</f>
        <v>378.5</v>
      </c>
      <c r="F52" s="45">
        <f>14918</f>
        <v>14918</v>
      </c>
      <c r="G52" s="45">
        <f>2610</f>
        <v>2610</v>
      </c>
      <c r="H52" s="45">
        <f>13077</f>
        <v>13077</v>
      </c>
      <c r="I52" s="45">
        <f>21476.5</f>
        <v>21476.5</v>
      </c>
      <c r="J52" s="45">
        <f>6267</f>
        <v>6267</v>
      </c>
      <c r="K52" s="45">
        <f>3270.45</f>
        <v>3270.45</v>
      </c>
      <c r="L52" s="45">
        <f>8297</f>
        <v>8297</v>
      </c>
      <c r="M52" s="45">
        <f>16083.4</f>
        <v>16083.4</v>
      </c>
      <c r="N52" s="45">
        <f>22934.43</f>
        <v>22934.43</v>
      </c>
      <c r="O52" s="45">
        <f>5969.6</f>
        <v>5969.6</v>
      </c>
      <c r="P52" s="45">
        <f>3464.05</f>
        <v>3464.05</v>
      </c>
      <c r="Q52" s="45">
        <v>14830.15</v>
      </c>
      <c r="R52" s="45">
        <v>11656.75</v>
      </c>
      <c r="S52" s="45">
        <v>43723.61</v>
      </c>
      <c r="T52" s="45">
        <v>0</v>
      </c>
      <c r="U52" s="45">
        <v>8749</v>
      </c>
      <c r="V52" s="45">
        <v>16291</v>
      </c>
      <c r="W52" s="45">
        <v>52525</v>
      </c>
      <c r="X52" s="45">
        <v>22079</v>
      </c>
      <c r="Y52" s="45">
        <v>39545</v>
      </c>
      <c r="Z52" s="45">
        <v>40981</v>
      </c>
      <c r="AA52" s="45">
        <v>42772</v>
      </c>
      <c r="AB52" s="45">
        <v>41716</v>
      </c>
      <c r="AD52" s="50">
        <f t="shared" si="31"/>
        <v>17906.5</v>
      </c>
      <c r="AE52" s="50">
        <f t="shared" si="31"/>
        <v>40820.5</v>
      </c>
      <c r="AF52" s="50">
        <f t="shared" si="31"/>
        <v>27650.85</v>
      </c>
      <c r="AG52" s="50">
        <f t="shared" si="31"/>
        <v>32368.079999999998</v>
      </c>
      <c r="AH52" s="50">
        <f t="shared" si="31"/>
        <v>70210.510000000009</v>
      </c>
      <c r="AI52" s="50">
        <f t="shared" si="31"/>
        <v>25040</v>
      </c>
      <c r="AJ52" s="50">
        <f t="shared" si="31"/>
        <v>114149</v>
      </c>
      <c r="AK52" s="50">
        <f t="shared" si="31"/>
        <v>125469</v>
      </c>
      <c r="AL52" s="53"/>
      <c r="AM52" s="50">
        <f t="shared" si="29"/>
        <v>118745.93000000001</v>
      </c>
      <c r="AN52" s="50">
        <f t="shared" si="29"/>
        <v>334868.51</v>
      </c>
    </row>
    <row r="53" spans="1:40" outlineLevel="1" x14ac:dyDescent="0.2">
      <c r="A53" s="37" t="s">
        <v>323</v>
      </c>
      <c r="B53" s="77" t="s">
        <v>324</v>
      </c>
      <c r="C53" s="240" t="s">
        <v>154</v>
      </c>
      <c r="D53" s="77"/>
      <c r="E53" s="45">
        <f>0.13</f>
        <v>0.13</v>
      </c>
      <c r="F53" s="45">
        <f>2275</f>
        <v>2275</v>
      </c>
      <c r="G53" s="45">
        <f>2179.95</f>
        <v>2179.9499999999998</v>
      </c>
      <c r="H53" s="45">
        <f>-26073.98</f>
        <v>-26073.98</v>
      </c>
      <c r="I53" s="45">
        <f>40676.18</f>
        <v>40676.18</v>
      </c>
      <c r="J53" s="44">
        <f>0</f>
        <v>0</v>
      </c>
      <c r="K53" s="45">
        <f>2900</f>
        <v>2900</v>
      </c>
      <c r="L53" s="45">
        <f>2832.27</f>
        <v>2832.27</v>
      </c>
      <c r="M53" s="45">
        <f>1558.5</f>
        <v>1558.5</v>
      </c>
      <c r="N53" s="44">
        <f>0</f>
        <v>0</v>
      </c>
      <c r="O53" s="45">
        <f>3240.5</f>
        <v>3240.5</v>
      </c>
      <c r="P53" s="45">
        <f>4900.5</f>
        <v>4900.5</v>
      </c>
      <c r="Q53" s="45">
        <v>235</v>
      </c>
      <c r="R53" s="45">
        <f>0</f>
        <v>0</v>
      </c>
      <c r="S53" s="45">
        <v>115</v>
      </c>
      <c r="T53" s="45">
        <v>9220</v>
      </c>
      <c r="U53" s="45">
        <v>410</v>
      </c>
      <c r="V53" s="45">
        <v>4531</v>
      </c>
      <c r="W53" s="45">
        <v>1637</v>
      </c>
      <c r="X53" s="45">
        <v>2735</v>
      </c>
      <c r="Y53" s="45">
        <v>455</v>
      </c>
      <c r="Z53" s="45">
        <v>7556</v>
      </c>
      <c r="AA53" s="45">
        <v>3028</v>
      </c>
      <c r="AB53" s="45"/>
      <c r="AD53" s="50">
        <f t="shared" si="31"/>
        <v>4455.08</v>
      </c>
      <c r="AE53" s="50">
        <f t="shared" si="31"/>
        <v>14602.2</v>
      </c>
      <c r="AF53" s="50">
        <f t="shared" si="31"/>
        <v>7290.77</v>
      </c>
      <c r="AG53" s="50">
        <f t="shared" si="31"/>
        <v>8141</v>
      </c>
      <c r="AH53" s="50">
        <f t="shared" si="31"/>
        <v>350</v>
      </c>
      <c r="AI53" s="50">
        <f t="shared" si="31"/>
        <v>14161</v>
      </c>
      <c r="AJ53" s="50">
        <f t="shared" si="31"/>
        <v>4827</v>
      </c>
      <c r="AK53" s="50">
        <f t="shared" si="31"/>
        <v>10584</v>
      </c>
      <c r="AL53" s="53"/>
      <c r="AM53" s="50">
        <f t="shared" si="29"/>
        <v>34489.050000000003</v>
      </c>
      <c r="AN53" s="50">
        <f t="shared" si="29"/>
        <v>29922</v>
      </c>
    </row>
    <row r="54" spans="1:40" outlineLevel="2" x14ac:dyDescent="0.2">
      <c r="A54" s="38" t="s">
        <v>325</v>
      </c>
      <c r="B54" s="77" t="s">
        <v>326</v>
      </c>
      <c r="C54" s="240"/>
      <c r="D54" s="77"/>
      <c r="E54" s="46">
        <f>0</f>
        <v>0</v>
      </c>
      <c r="F54" s="46">
        <f>0</f>
        <v>0</v>
      </c>
      <c r="G54" s="46">
        <f>0</f>
        <v>0</v>
      </c>
      <c r="H54" s="46">
        <f>0</f>
        <v>0</v>
      </c>
      <c r="I54" s="46">
        <f>0</f>
        <v>0</v>
      </c>
      <c r="J54" s="46">
        <f>0</f>
        <v>0</v>
      </c>
      <c r="K54" s="46">
        <f>0</f>
        <v>0</v>
      </c>
      <c r="L54" s="46">
        <f>0</f>
        <v>0</v>
      </c>
      <c r="M54" s="46">
        <f>0</f>
        <v>0</v>
      </c>
      <c r="N54" s="46">
        <f>0</f>
        <v>0</v>
      </c>
      <c r="O54" s="46">
        <f>0</f>
        <v>0</v>
      </c>
      <c r="P54" s="46">
        <f>0</f>
        <v>0</v>
      </c>
      <c r="Q54" s="46">
        <f>0</f>
        <v>0</v>
      </c>
      <c r="R54" s="46">
        <f>0</f>
        <v>0</v>
      </c>
      <c r="S54" s="46">
        <f>0</f>
        <v>0</v>
      </c>
      <c r="T54" s="46">
        <v>0</v>
      </c>
      <c r="U54" s="46">
        <v>0</v>
      </c>
      <c r="V54" s="46"/>
      <c r="W54" s="46"/>
      <c r="X54" s="46"/>
      <c r="Y54" s="46"/>
      <c r="Z54" s="46"/>
      <c r="AA54" s="46"/>
      <c r="AB54" s="46"/>
      <c r="AD54" s="51">
        <f t="shared" si="31"/>
        <v>0</v>
      </c>
      <c r="AE54" s="51">
        <f t="shared" si="31"/>
        <v>0</v>
      </c>
      <c r="AF54" s="51">
        <f t="shared" si="31"/>
        <v>0</v>
      </c>
      <c r="AG54" s="51">
        <f t="shared" si="31"/>
        <v>0</v>
      </c>
      <c r="AH54" s="51">
        <f t="shared" si="31"/>
        <v>0</v>
      </c>
      <c r="AI54" s="51">
        <f t="shared" si="31"/>
        <v>0</v>
      </c>
      <c r="AJ54" s="51">
        <f t="shared" si="31"/>
        <v>0</v>
      </c>
      <c r="AK54" s="51">
        <f t="shared" si="31"/>
        <v>0</v>
      </c>
      <c r="AL54" s="53"/>
      <c r="AM54" s="51">
        <f t="shared" si="29"/>
        <v>0</v>
      </c>
      <c r="AN54" s="51">
        <f t="shared" si="29"/>
        <v>0</v>
      </c>
    </row>
    <row r="55" spans="1:40" outlineLevel="2" x14ac:dyDescent="0.2">
      <c r="A55" s="38" t="s">
        <v>327</v>
      </c>
      <c r="B55" s="77" t="s">
        <v>328</v>
      </c>
      <c r="C55" s="240"/>
      <c r="D55" s="77"/>
      <c r="E55" s="46">
        <f>0</f>
        <v>0</v>
      </c>
      <c r="F55" s="46">
        <f>0</f>
        <v>0</v>
      </c>
      <c r="G55" s="46">
        <f>0</f>
        <v>0</v>
      </c>
      <c r="H55" s="46">
        <f>0</f>
        <v>0</v>
      </c>
      <c r="I55" s="46">
        <f>0</f>
        <v>0</v>
      </c>
      <c r="J55" s="46">
        <f>0</f>
        <v>0</v>
      </c>
      <c r="K55" s="46">
        <f>0</f>
        <v>0</v>
      </c>
      <c r="L55" s="46">
        <f>0</f>
        <v>0</v>
      </c>
      <c r="M55" s="46">
        <f>0</f>
        <v>0</v>
      </c>
      <c r="N55" s="46">
        <f>0</f>
        <v>0</v>
      </c>
      <c r="O55" s="46">
        <f>0</f>
        <v>0</v>
      </c>
      <c r="P55" s="46">
        <f>0</f>
        <v>0</v>
      </c>
      <c r="Q55" s="46">
        <f>0</f>
        <v>0</v>
      </c>
      <c r="R55" s="46">
        <v>31774</v>
      </c>
      <c r="S55" s="46">
        <v>58766.85</v>
      </c>
      <c r="T55" s="46">
        <v>0</v>
      </c>
      <c r="U55" s="46">
        <v>0</v>
      </c>
      <c r="V55" s="46">
        <v>12581</v>
      </c>
      <c r="W55" s="46"/>
      <c r="X55" s="46"/>
      <c r="Y55" s="46"/>
      <c r="Z55" s="46"/>
      <c r="AA55" s="46"/>
      <c r="AB55" s="46">
        <v>5122</v>
      </c>
      <c r="AD55" s="51">
        <f t="shared" si="31"/>
        <v>0</v>
      </c>
      <c r="AE55" s="51">
        <f t="shared" si="31"/>
        <v>0</v>
      </c>
      <c r="AF55" s="51">
        <f t="shared" si="31"/>
        <v>0</v>
      </c>
      <c r="AG55" s="51">
        <f t="shared" si="31"/>
        <v>0</v>
      </c>
      <c r="AH55" s="51">
        <f t="shared" si="31"/>
        <v>90540.85</v>
      </c>
      <c r="AI55" s="51">
        <f t="shared" si="31"/>
        <v>12581</v>
      </c>
      <c r="AJ55" s="51">
        <f t="shared" si="31"/>
        <v>0</v>
      </c>
      <c r="AK55" s="51">
        <f t="shared" si="31"/>
        <v>5122</v>
      </c>
      <c r="AL55" s="53"/>
      <c r="AM55" s="51">
        <f t="shared" si="29"/>
        <v>0</v>
      </c>
      <c r="AN55" s="51">
        <f t="shared" si="29"/>
        <v>108243.85</v>
      </c>
    </row>
    <row r="56" spans="1:40" outlineLevel="1" x14ac:dyDescent="0.2">
      <c r="A56" s="97" t="s">
        <v>329</v>
      </c>
      <c r="B56" s="79" t="s">
        <v>326</v>
      </c>
      <c r="C56" s="241" t="s">
        <v>155</v>
      </c>
      <c r="D56" s="79"/>
      <c r="E56" s="47">
        <f>SUM(E54:E55)</f>
        <v>0</v>
      </c>
      <c r="F56" s="47">
        <f t="shared" ref="F56:AB56" si="33">SUM(F54:F55)</f>
        <v>0</v>
      </c>
      <c r="G56" s="47">
        <f t="shared" si="33"/>
        <v>0</v>
      </c>
      <c r="H56" s="47">
        <f t="shared" si="33"/>
        <v>0</v>
      </c>
      <c r="I56" s="47">
        <f t="shared" si="33"/>
        <v>0</v>
      </c>
      <c r="J56" s="47">
        <f t="shared" si="33"/>
        <v>0</v>
      </c>
      <c r="K56" s="47">
        <f t="shared" si="33"/>
        <v>0</v>
      </c>
      <c r="L56" s="47">
        <f t="shared" si="33"/>
        <v>0</v>
      </c>
      <c r="M56" s="47">
        <f t="shared" si="33"/>
        <v>0</v>
      </c>
      <c r="N56" s="47">
        <f t="shared" si="33"/>
        <v>0</v>
      </c>
      <c r="O56" s="47">
        <f t="shared" si="33"/>
        <v>0</v>
      </c>
      <c r="P56" s="47">
        <f t="shared" si="33"/>
        <v>0</v>
      </c>
      <c r="Q56" s="47">
        <f t="shared" si="33"/>
        <v>0</v>
      </c>
      <c r="R56" s="45">
        <f t="shared" si="33"/>
        <v>31774</v>
      </c>
      <c r="S56" s="45">
        <f t="shared" si="33"/>
        <v>58766.85</v>
      </c>
      <c r="T56" s="45">
        <f t="shared" si="33"/>
        <v>0</v>
      </c>
      <c r="U56" s="45">
        <f t="shared" si="33"/>
        <v>0</v>
      </c>
      <c r="V56" s="45">
        <f t="shared" si="33"/>
        <v>12581</v>
      </c>
      <c r="W56" s="45">
        <f t="shared" si="33"/>
        <v>0</v>
      </c>
      <c r="X56" s="45">
        <f t="shared" si="33"/>
        <v>0</v>
      </c>
      <c r="Y56" s="45">
        <f t="shared" si="33"/>
        <v>0</v>
      </c>
      <c r="Z56" s="45">
        <f t="shared" si="33"/>
        <v>0</v>
      </c>
      <c r="AA56" s="45">
        <f t="shared" si="33"/>
        <v>0</v>
      </c>
      <c r="AB56" s="45">
        <f t="shared" si="33"/>
        <v>5122</v>
      </c>
      <c r="AD56" s="51">
        <f t="shared" ref="AD56:AK65" si="34">SUMIFS($E56:$AB56,$E$6:$AB$6,AD$5)</f>
        <v>0</v>
      </c>
      <c r="AE56" s="51">
        <f t="shared" si="34"/>
        <v>0</v>
      </c>
      <c r="AF56" s="51">
        <f t="shared" si="34"/>
        <v>0</v>
      </c>
      <c r="AG56" s="51">
        <f t="shared" si="34"/>
        <v>0</v>
      </c>
      <c r="AH56" s="51">
        <f t="shared" si="34"/>
        <v>90540.85</v>
      </c>
      <c r="AI56" s="51">
        <f t="shared" si="34"/>
        <v>12581</v>
      </c>
      <c r="AJ56" s="51">
        <f t="shared" si="34"/>
        <v>0</v>
      </c>
      <c r="AK56" s="51">
        <f t="shared" si="34"/>
        <v>5122</v>
      </c>
      <c r="AL56" s="53"/>
      <c r="AM56" s="51">
        <f t="shared" ref="AM56:AN75" si="35">SUMIFS($E56:$AB56,$E$7:$AB$7,AM$5)</f>
        <v>0</v>
      </c>
      <c r="AN56" s="51">
        <f t="shared" si="35"/>
        <v>108243.85</v>
      </c>
    </row>
    <row r="57" spans="1:40" x14ac:dyDescent="0.2">
      <c r="A57" s="3" t="s">
        <v>330</v>
      </c>
      <c r="B57" s="77" t="s">
        <v>320</v>
      </c>
      <c r="C57" s="77"/>
      <c r="D57" s="77"/>
      <c r="E57" s="13">
        <f>((E51)+(E52))+(E53)+E56</f>
        <v>378.63</v>
      </c>
      <c r="F57" s="13">
        <f t="shared" ref="F57:S57" si="36">((F51)+(F52))+(F53)+F56</f>
        <v>17193</v>
      </c>
      <c r="G57" s="13">
        <f t="shared" si="36"/>
        <v>4789.95</v>
      </c>
      <c r="H57" s="13">
        <f t="shared" si="36"/>
        <v>-12996.98</v>
      </c>
      <c r="I57" s="13">
        <f t="shared" si="36"/>
        <v>62152.68</v>
      </c>
      <c r="J57" s="13">
        <f t="shared" si="36"/>
        <v>6267</v>
      </c>
      <c r="K57" s="13">
        <f t="shared" si="36"/>
        <v>6170.45</v>
      </c>
      <c r="L57" s="13">
        <f t="shared" si="36"/>
        <v>11129.27</v>
      </c>
      <c r="M57" s="13">
        <f t="shared" si="36"/>
        <v>17641.900000000001</v>
      </c>
      <c r="N57" s="13">
        <f t="shared" si="36"/>
        <v>22934.43</v>
      </c>
      <c r="O57" s="13">
        <f t="shared" si="36"/>
        <v>9210.1</v>
      </c>
      <c r="P57" s="13">
        <f t="shared" si="36"/>
        <v>8364.5499999999993</v>
      </c>
      <c r="Q57" s="13">
        <f t="shared" si="36"/>
        <v>15065.15</v>
      </c>
      <c r="R57" s="13">
        <f t="shared" si="36"/>
        <v>43430.75</v>
      </c>
      <c r="S57" s="13">
        <f t="shared" si="36"/>
        <v>102605.45999999999</v>
      </c>
      <c r="T57" s="13">
        <v>9220</v>
      </c>
      <c r="U57" s="13">
        <v>9159</v>
      </c>
      <c r="V57" s="13">
        <v>33403</v>
      </c>
      <c r="W57" s="13">
        <v>54162</v>
      </c>
      <c r="X57" s="13">
        <v>24815</v>
      </c>
      <c r="Y57" s="13">
        <v>40000</v>
      </c>
      <c r="Z57" s="13">
        <v>48537</v>
      </c>
      <c r="AA57" s="13">
        <v>45800</v>
      </c>
      <c r="AB57" s="13">
        <v>46838</v>
      </c>
      <c r="AD57" s="49">
        <f t="shared" si="34"/>
        <v>22361.58</v>
      </c>
      <c r="AE57" s="49">
        <f t="shared" si="34"/>
        <v>55422.7</v>
      </c>
      <c r="AF57" s="49">
        <f t="shared" si="34"/>
        <v>34941.620000000003</v>
      </c>
      <c r="AG57" s="49">
        <f t="shared" si="34"/>
        <v>40509.08</v>
      </c>
      <c r="AH57" s="49">
        <f t="shared" si="34"/>
        <v>161101.35999999999</v>
      </c>
      <c r="AI57" s="49">
        <f t="shared" si="34"/>
        <v>51782</v>
      </c>
      <c r="AJ57" s="49">
        <f t="shared" si="34"/>
        <v>118977</v>
      </c>
      <c r="AK57" s="49">
        <f t="shared" si="34"/>
        <v>141175</v>
      </c>
      <c r="AL57" s="53"/>
      <c r="AM57" s="49">
        <f t="shared" si="35"/>
        <v>153234.97999999998</v>
      </c>
      <c r="AN57" s="49">
        <f t="shared" si="35"/>
        <v>473035.36</v>
      </c>
    </row>
    <row r="58" spans="1:40" x14ac:dyDescent="0.2">
      <c r="A58" s="3" t="s">
        <v>331</v>
      </c>
      <c r="B58" s="77" t="s">
        <v>332</v>
      </c>
      <c r="C58" s="240" t="s">
        <v>117</v>
      </c>
      <c r="D58" s="77"/>
      <c r="E58" s="45">
        <f>6742.5</f>
        <v>6742.5</v>
      </c>
      <c r="F58" s="45">
        <f>6669.58</f>
        <v>6669.58</v>
      </c>
      <c r="G58" s="45">
        <f>6234.71</f>
        <v>6234.71</v>
      </c>
      <c r="H58" s="45">
        <f>5436.89</f>
        <v>5436.89</v>
      </c>
      <c r="I58" s="45">
        <f>8850.51</f>
        <v>8850.51</v>
      </c>
      <c r="J58" s="45">
        <f>8221.81</f>
        <v>8221.81</v>
      </c>
      <c r="K58" s="45">
        <f>8594.53</f>
        <v>8594.5300000000007</v>
      </c>
      <c r="L58" s="45">
        <f>13595.66</f>
        <v>13595.66</v>
      </c>
      <c r="M58" s="45">
        <f>13432.25</f>
        <v>13432.25</v>
      </c>
      <c r="N58" s="45">
        <f>5595.33</f>
        <v>5595.33</v>
      </c>
      <c r="O58" s="45">
        <f>5366.26</f>
        <v>5366.26</v>
      </c>
      <c r="P58" s="45">
        <f>7454.08</f>
        <v>7454.08</v>
      </c>
      <c r="Q58" s="45">
        <v>9758.01</v>
      </c>
      <c r="R58" s="45">
        <v>9948.32</v>
      </c>
      <c r="S58" s="45">
        <v>7891.82</v>
      </c>
      <c r="T58" s="45">
        <v>10336</v>
      </c>
      <c r="U58" s="45">
        <v>18833</v>
      </c>
      <c r="V58" s="45">
        <v>11870</v>
      </c>
      <c r="W58" s="45">
        <v>8042</v>
      </c>
      <c r="X58" s="45">
        <v>15014</v>
      </c>
      <c r="Y58" s="45">
        <v>14795</v>
      </c>
      <c r="Z58" s="45">
        <v>11735</v>
      </c>
      <c r="AA58" s="45">
        <v>21502</v>
      </c>
      <c r="AB58" s="45">
        <v>18858</v>
      </c>
      <c r="AD58" s="50">
        <f t="shared" si="34"/>
        <v>19646.79</v>
      </c>
      <c r="AE58" s="50">
        <f t="shared" si="34"/>
        <v>22509.21</v>
      </c>
      <c r="AF58" s="50">
        <f t="shared" si="34"/>
        <v>35622.44</v>
      </c>
      <c r="AG58" s="50">
        <f t="shared" si="34"/>
        <v>18415.669999999998</v>
      </c>
      <c r="AH58" s="50">
        <f t="shared" si="34"/>
        <v>27598.15</v>
      </c>
      <c r="AI58" s="50">
        <f t="shared" si="34"/>
        <v>41039</v>
      </c>
      <c r="AJ58" s="50">
        <f t="shared" si="34"/>
        <v>37851</v>
      </c>
      <c r="AK58" s="50">
        <f t="shared" si="34"/>
        <v>52095</v>
      </c>
      <c r="AL58" s="53"/>
      <c r="AM58" s="50">
        <f t="shared" si="35"/>
        <v>96194.11</v>
      </c>
      <c r="AN58" s="50">
        <f t="shared" si="35"/>
        <v>158583.15</v>
      </c>
    </row>
    <row r="59" spans="1:40" x14ac:dyDescent="0.2">
      <c r="A59" s="3" t="s">
        <v>333</v>
      </c>
      <c r="B59" s="77" t="s">
        <v>334</v>
      </c>
      <c r="C59" s="240" t="s">
        <v>117</v>
      </c>
      <c r="D59" s="77"/>
      <c r="E59" s="45">
        <f>2748.5</f>
        <v>2748.5</v>
      </c>
      <c r="F59" s="44">
        <f>0</f>
        <v>0</v>
      </c>
      <c r="G59" s="45">
        <f>2500</f>
        <v>2500</v>
      </c>
      <c r="H59" s="44">
        <f>0</f>
        <v>0</v>
      </c>
      <c r="I59" s="44">
        <f>0</f>
        <v>0</v>
      </c>
      <c r="J59" s="44">
        <f>0</f>
        <v>0</v>
      </c>
      <c r="K59" s="45">
        <f>198.04</f>
        <v>198.04</v>
      </c>
      <c r="L59" s="45">
        <f>468.05</f>
        <v>468.05</v>
      </c>
      <c r="M59" s="45">
        <f>2075.26</f>
        <v>2075.2600000000002</v>
      </c>
      <c r="N59" s="45">
        <f>1768.24</f>
        <v>1768.24</v>
      </c>
      <c r="O59" s="44">
        <f>0</f>
        <v>0</v>
      </c>
      <c r="P59" s="45">
        <f>511.16</f>
        <v>511.16</v>
      </c>
      <c r="Q59" s="45">
        <f>0</f>
        <v>0</v>
      </c>
      <c r="R59" s="45">
        <f>0</f>
        <v>0</v>
      </c>
      <c r="S59" s="45">
        <v>1500</v>
      </c>
      <c r="T59" s="45">
        <v>0</v>
      </c>
      <c r="U59" s="45">
        <v>0</v>
      </c>
      <c r="V59" s="45">
        <v>703</v>
      </c>
      <c r="W59" s="45">
        <v>0</v>
      </c>
      <c r="X59" s="45">
        <v>0</v>
      </c>
      <c r="Y59" s="45">
        <v>565</v>
      </c>
      <c r="Z59" s="45">
        <v>115</v>
      </c>
      <c r="AA59" s="45">
        <v>0</v>
      </c>
      <c r="AB59" s="45">
        <v>0</v>
      </c>
      <c r="AD59" s="50">
        <f t="shared" si="34"/>
        <v>5248.5</v>
      </c>
      <c r="AE59" s="50">
        <f t="shared" si="34"/>
        <v>0</v>
      </c>
      <c r="AF59" s="50">
        <f t="shared" si="34"/>
        <v>2741.3500000000004</v>
      </c>
      <c r="AG59" s="50">
        <f t="shared" si="34"/>
        <v>2279.4</v>
      </c>
      <c r="AH59" s="50">
        <f t="shared" si="34"/>
        <v>1500</v>
      </c>
      <c r="AI59" s="50">
        <f t="shared" si="34"/>
        <v>703</v>
      </c>
      <c r="AJ59" s="50">
        <f t="shared" si="34"/>
        <v>565</v>
      </c>
      <c r="AK59" s="50">
        <f t="shared" si="34"/>
        <v>115</v>
      </c>
      <c r="AL59" s="53"/>
      <c r="AM59" s="50">
        <f t="shared" si="35"/>
        <v>10269.25</v>
      </c>
      <c r="AN59" s="50">
        <f t="shared" si="35"/>
        <v>2883</v>
      </c>
    </row>
    <row r="60" spans="1:40" x14ac:dyDescent="0.2">
      <c r="A60" s="3" t="s">
        <v>335</v>
      </c>
      <c r="B60" s="77" t="s">
        <v>336</v>
      </c>
      <c r="C60" s="240" t="s">
        <v>117</v>
      </c>
      <c r="D60" s="77"/>
      <c r="E60" s="45">
        <f>5000</f>
        <v>5000</v>
      </c>
      <c r="F60" s="45">
        <f>5610.49</f>
        <v>5610.49</v>
      </c>
      <c r="G60" s="45">
        <f>479.98</f>
        <v>479.98</v>
      </c>
      <c r="H60" s="45">
        <f>239.99</f>
        <v>239.99</v>
      </c>
      <c r="I60" s="45">
        <f>280</f>
        <v>280</v>
      </c>
      <c r="J60" s="45">
        <f>329</f>
        <v>329</v>
      </c>
      <c r="K60" s="45">
        <f>2520</f>
        <v>2520</v>
      </c>
      <c r="L60" s="44">
        <f>0</f>
        <v>0</v>
      </c>
      <c r="M60" s="44">
        <f>0</f>
        <v>0</v>
      </c>
      <c r="N60" s="44">
        <f>0</f>
        <v>0</v>
      </c>
      <c r="O60" s="44">
        <f>0</f>
        <v>0</v>
      </c>
      <c r="P60" s="45">
        <f>130</f>
        <v>130</v>
      </c>
      <c r="Q60" s="45">
        <f>0</f>
        <v>0</v>
      </c>
      <c r="R60" s="45">
        <v>130</v>
      </c>
      <c r="S60" s="45">
        <f>0</f>
        <v>0</v>
      </c>
      <c r="T60" s="45">
        <v>0</v>
      </c>
      <c r="U60" s="45">
        <v>0</v>
      </c>
      <c r="V60" s="45">
        <v>0</v>
      </c>
      <c r="W60" s="45">
        <v>0</v>
      </c>
      <c r="X60" s="45">
        <v>298</v>
      </c>
      <c r="Y60" s="45">
        <v>0</v>
      </c>
      <c r="Z60" s="45">
        <v>355</v>
      </c>
      <c r="AA60" s="45">
        <v>21000</v>
      </c>
      <c r="AB60" s="45">
        <v>4149</v>
      </c>
      <c r="AD60" s="50">
        <f t="shared" si="34"/>
        <v>11090.47</v>
      </c>
      <c r="AE60" s="50">
        <f t="shared" si="34"/>
        <v>848.99</v>
      </c>
      <c r="AF60" s="50">
        <f t="shared" si="34"/>
        <v>2520</v>
      </c>
      <c r="AG60" s="50">
        <f t="shared" si="34"/>
        <v>130</v>
      </c>
      <c r="AH60" s="50">
        <f t="shared" si="34"/>
        <v>130</v>
      </c>
      <c r="AI60" s="50">
        <f t="shared" si="34"/>
        <v>0</v>
      </c>
      <c r="AJ60" s="50">
        <f t="shared" si="34"/>
        <v>298</v>
      </c>
      <c r="AK60" s="50">
        <f t="shared" si="34"/>
        <v>25504</v>
      </c>
      <c r="AL60" s="53"/>
      <c r="AM60" s="50">
        <f t="shared" si="35"/>
        <v>14589.46</v>
      </c>
      <c r="AN60" s="50">
        <f t="shared" si="35"/>
        <v>25932</v>
      </c>
    </row>
    <row r="61" spans="1:40" x14ac:dyDescent="0.2">
      <c r="A61" s="3" t="s">
        <v>337</v>
      </c>
      <c r="B61" s="77" t="s">
        <v>338</v>
      </c>
      <c r="C61" s="240" t="s">
        <v>117</v>
      </c>
      <c r="D61" s="77"/>
      <c r="E61" s="44">
        <f>0</f>
        <v>0</v>
      </c>
      <c r="F61" s="44">
        <f>0</f>
        <v>0</v>
      </c>
      <c r="G61" s="45">
        <f>2524.6</f>
        <v>2524.6</v>
      </c>
      <c r="H61" s="45">
        <f>888.24</f>
        <v>888.24</v>
      </c>
      <c r="I61" s="44">
        <f>0</f>
        <v>0</v>
      </c>
      <c r="J61" s="45">
        <f>1164.86</f>
        <v>1164.8599999999999</v>
      </c>
      <c r="K61" s="44">
        <f>0</f>
        <v>0</v>
      </c>
      <c r="L61" s="44">
        <f>0</f>
        <v>0</v>
      </c>
      <c r="M61" s="44">
        <f>0</f>
        <v>0</v>
      </c>
      <c r="N61" s="45">
        <f>211.01</f>
        <v>211.01</v>
      </c>
      <c r="O61" s="44">
        <f>0</f>
        <v>0</v>
      </c>
      <c r="P61" s="44">
        <f>0</f>
        <v>0</v>
      </c>
      <c r="Q61" s="44">
        <v>860.74</v>
      </c>
      <c r="R61" s="44">
        <f>0</f>
        <v>0</v>
      </c>
      <c r="S61" s="44">
        <v>-465.26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D61" s="48">
        <f t="shared" si="34"/>
        <v>2524.6</v>
      </c>
      <c r="AE61" s="48">
        <f t="shared" si="34"/>
        <v>2053.1</v>
      </c>
      <c r="AF61" s="48">
        <f t="shared" si="34"/>
        <v>0</v>
      </c>
      <c r="AG61" s="48">
        <f t="shared" si="34"/>
        <v>211.01</v>
      </c>
      <c r="AH61" s="48">
        <f t="shared" si="34"/>
        <v>395.48</v>
      </c>
      <c r="AI61" s="48">
        <f t="shared" si="34"/>
        <v>0</v>
      </c>
      <c r="AJ61" s="48">
        <f t="shared" si="34"/>
        <v>0</v>
      </c>
      <c r="AK61" s="48">
        <f t="shared" si="34"/>
        <v>0</v>
      </c>
      <c r="AL61" s="53"/>
      <c r="AM61" s="48">
        <f t="shared" si="35"/>
        <v>4788.71</v>
      </c>
      <c r="AN61" s="48">
        <f t="shared" si="35"/>
        <v>395.48</v>
      </c>
    </row>
    <row r="62" spans="1:40" x14ac:dyDescent="0.2">
      <c r="A62" s="3" t="s">
        <v>339</v>
      </c>
      <c r="B62" s="77" t="s">
        <v>340</v>
      </c>
      <c r="C62" s="240" t="s">
        <v>117</v>
      </c>
      <c r="D62" s="77"/>
      <c r="E62" s="44">
        <f>0</f>
        <v>0</v>
      </c>
      <c r="F62" s="44">
        <f>0</f>
        <v>0</v>
      </c>
      <c r="G62" s="44">
        <f>0</f>
        <v>0</v>
      </c>
      <c r="H62" s="44">
        <f>0</f>
        <v>0</v>
      </c>
      <c r="I62" s="44">
        <f>0</f>
        <v>0</v>
      </c>
      <c r="J62" s="44">
        <f>0</f>
        <v>0</v>
      </c>
      <c r="K62" s="44">
        <f>0</f>
        <v>0</v>
      </c>
      <c r="L62" s="45">
        <f>819.96</f>
        <v>819.96</v>
      </c>
      <c r="M62" s="44">
        <f>0</f>
        <v>0</v>
      </c>
      <c r="N62" s="44">
        <f>0</f>
        <v>0</v>
      </c>
      <c r="O62" s="44">
        <f>0</f>
        <v>0</v>
      </c>
      <c r="P62" s="44">
        <f>0</f>
        <v>0</v>
      </c>
      <c r="Q62" s="44">
        <f>0</f>
        <v>0</v>
      </c>
      <c r="R62" s="44">
        <f>0</f>
        <v>0</v>
      </c>
      <c r="S62" s="44">
        <f>0</f>
        <v>0</v>
      </c>
      <c r="T62" s="44">
        <v>0</v>
      </c>
      <c r="U62" s="44">
        <v>1380</v>
      </c>
      <c r="V62" s="44">
        <v>0</v>
      </c>
      <c r="W62" s="44">
        <v>0</v>
      </c>
      <c r="X62" s="44">
        <v>4485</v>
      </c>
      <c r="Y62" s="44">
        <v>589</v>
      </c>
      <c r="Z62" s="44">
        <v>0</v>
      </c>
      <c r="AA62" s="44">
        <v>0</v>
      </c>
      <c r="AB62" s="44">
        <v>0</v>
      </c>
      <c r="AD62" s="48">
        <f t="shared" si="34"/>
        <v>0</v>
      </c>
      <c r="AE62" s="48">
        <f t="shared" si="34"/>
        <v>0</v>
      </c>
      <c r="AF62" s="48">
        <f t="shared" si="34"/>
        <v>819.96</v>
      </c>
      <c r="AG62" s="48">
        <f t="shared" si="34"/>
        <v>0</v>
      </c>
      <c r="AH62" s="48">
        <f t="shared" si="34"/>
        <v>0</v>
      </c>
      <c r="AI62" s="48">
        <f t="shared" si="34"/>
        <v>1380</v>
      </c>
      <c r="AJ62" s="48">
        <f t="shared" si="34"/>
        <v>5074</v>
      </c>
      <c r="AK62" s="48">
        <f t="shared" si="34"/>
        <v>0</v>
      </c>
      <c r="AL62" s="53"/>
      <c r="AM62" s="48">
        <f t="shared" si="35"/>
        <v>819.96</v>
      </c>
      <c r="AN62" s="48">
        <f t="shared" si="35"/>
        <v>6454</v>
      </c>
    </row>
    <row r="63" spans="1:40" x14ac:dyDescent="0.2">
      <c r="A63" s="3" t="s">
        <v>341</v>
      </c>
      <c r="B63" s="77">
        <v>6805</v>
      </c>
      <c r="C63" s="240" t="s">
        <v>117</v>
      </c>
      <c r="D63" s="77"/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5">
        <v>0</v>
      </c>
      <c r="M63" s="44">
        <v>0</v>
      </c>
      <c r="N63" s="44">
        <v>0</v>
      </c>
      <c r="O63" s="44">
        <v>0</v>
      </c>
      <c r="P63" s="44">
        <v>0</v>
      </c>
      <c r="Q63" s="44">
        <v>0</v>
      </c>
      <c r="R63" s="44">
        <v>0</v>
      </c>
      <c r="S63" s="44">
        <v>0</v>
      </c>
      <c r="T63" s="44">
        <v>2060</v>
      </c>
      <c r="U63" s="44">
        <v>2060</v>
      </c>
      <c r="V63" s="44">
        <v>2060</v>
      </c>
      <c r="W63" s="44">
        <v>2060</v>
      </c>
      <c r="X63" s="44">
        <v>2060</v>
      </c>
      <c r="Y63" s="44">
        <v>2060</v>
      </c>
      <c r="Z63" s="44">
        <v>2060</v>
      </c>
      <c r="AA63" s="44">
        <v>2060</v>
      </c>
      <c r="AB63" s="44">
        <v>2060</v>
      </c>
      <c r="AD63" s="48">
        <f t="shared" si="34"/>
        <v>0</v>
      </c>
      <c r="AE63" s="48">
        <f t="shared" si="34"/>
        <v>0</v>
      </c>
      <c r="AF63" s="48">
        <f t="shared" si="34"/>
        <v>0</v>
      </c>
      <c r="AG63" s="48">
        <f t="shared" si="34"/>
        <v>0</v>
      </c>
      <c r="AH63" s="48">
        <f t="shared" si="34"/>
        <v>0</v>
      </c>
      <c r="AI63" s="48">
        <f t="shared" si="34"/>
        <v>6180</v>
      </c>
      <c r="AJ63" s="48">
        <f t="shared" si="34"/>
        <v>6180</v>
      </c>
      <c r="AK63" s="48">
        <f t="shared" si="34"/>
        <v>6180</v>
      </c>
      <c r="AL63" s="53"/>
      <c r="AM63" s="48">
        <f t="shared" si="35"/>
        <v>0</v>
      </c>
      <c r="AN63" s="48">
        <f t="shared" si="35"/>
        <v>18540</v>
      </c>
    </row>
    <row r="64" spans="1:40" outlineLevel="1" x14ac:dyDescent="0.2">
      <c r="A64" s="37" t="s">
        <v>342</v>
      </c>
      <c r="B64" s="77" t="s">
        <v>343</v>
      </c>
      <c r="C64" s="77" t="s">
        <v>344</v>
      </c>
      <c r="D64" s="77"/>
      <c r="E64" s="44">
        <f>0</f>
        <v>0</v>
      </c>
      <c r="F64" s="44">
        <f>0</f>
        <v>0</v>
      </c>
      <c r="G64" s="44">
        <f>0</f>
        <v>0</v>
      </c>
      <c r="H64" s="44">
        <f>0</f>
        <v>0</v>
      </c>
      <c r="I64" s="44">
        <f>0</f>
        <v>0</v>
      </c>
      <c r="J64" s="44">
        <f>0</f>
        <v>0</v>
      </c>
      <c r="K64" s="44">
        <f>0</f>
        <v>0</v>
      </c>
      <c r="L64" s="44">
        <f>0</f>
        <v>0</v>
      </c>
      <c r="M64" s="44">
        <f>0</f>
        <v>0</v>
      </c>
      <c r="N64" s="44">
        <f>0</f>
        <v>0</v>
      </c>
      <c r="O64" s="44">
        <f>0</f>
        <v>0</v>
      </c>
      <c r="P64" s="44">
        <f>0</f>
        <v>0</v>
      </c>
      <c r="Q64" s="44">
        <f>0</f>
        <v>0</v>
      </c>
      <c r="R64" s="44">
        <f>0</f>
        <v>0</v>
      </c>
      <c r="S64" s="44">
        <f>0</f>
        <v>0</v>
      </c>
      <c r="T64" s="44">
        <v>0</v>
      </c>
      <c r="U64" s="44">
        <v>0</v>
      </c>
      <c r="V64" s="44">
        <v>0</v>
      </c>
      <c r="W64" s="44">
        <v>0</v>
      </c>
      <c r="X64" s="44">
        <v>0</v>
      </c>
      <c r="Y64" s="44">
        <v>0</v>
      </c>
      <c r="Z64" s="44">
        <v>0</v>
      </c>
      <c r="AA64" s="44">
        <v>0</v>
      </c>
      <c r="AB64" s="44">
        <v>0</v>
      </c>
      <c r="AD64" s="48">
        <f t="shared" si="34"/>
        <v>0</v>
      </c>
      <c r="AE64" s="48">
        <f t="shared" si="34"/>
        <v>0</v>
      </c>
      <c r="AF64" s="48">
        <f t="shared" si="34"/>
        <v>0</v>
      </c>
      <c r="AG64" s="48">
        <f t="shared" si="34"/>
        <v>0</v>
      </c>
      <c r="AH64" s="48">
        <f t="shared" si="34"/>
        <v>0</v>
      </c>
      <c r="AI64" s="48">
        <f t="shared" si="34"/>
        <v>0</v>
      </c>
      <c r="AJ64" s="48">
        <f t="shared" si="34"/>
        <v>0</v>
      </c>
      <c r="AK64" s="48">
        <f t="shared" si="34"/>
        <v>0</v>
      </c>
      <c r="AL64" s="53"/>
      <c r="AM64" s="48">
        <f t="shared" si="35"/>
        <v>0</v>
      </c>
      <c r="AN64" s="48">
        <f t="shared" si="35"/>
        <v>0</v>
      </c>
    </row>
    <row r="65" spans="1:40" outlineLevel="2" x14ac:dyDescent="0.2">
      <c r="A65" s="38" t="s">
        <v>345</v>
      </c>
      <c r="B65" s="77" t="s">
        <v>346</v>
      </c>
      <c r="C65" s="77" t="s">
        <v>344</v>
      </c>
      <c r="D65" s="77"/>
      <c r="E65" s="44">
        <f>0</f>
        <v>0</v>
      </c>
      <c r="F65" s="44">
        <f>0</f>
        <v>0</v>
      </c>
      <c r="G65" s="44">
        <f>0</f>
        <v>0</v>
      </c>
      <c r="H65" s="44">
        <f>0</f>
        <v>0</v>
      </c>
      <c r="I65" s="44">
        <f>0</f>
        <v>0</v>
      </c>
      <c r="J65" s="44">
        <f>0</f>
        <v>0</v>
      </c>
      <c r="K65" s="44">
        <f>0</f>
        <v>0</v>
      </c>
      <c r="L65" s="44">
        <f>0</f>
        <v>0</v>
      </c>
      <c r="M65" s="44">
        <f>0</f>
        <v>0</v>
      </c>
      <c r="N65" s="44">
        <f>0</f>
        <v>0</v>
      </c>
      <c r="O65" s="44">
        <f>0</f>
        <v>0</v>
      </c>
      <c r="P65" s="44">
        <f>0</f>
        <v>0</v>
      </c>
      <c r="Q65" s="44">
        <f>0</f>
        <v>0</v>
      </c>
      <c r="R65" s="44">
        <f>0</f>
        <v>0</v>
      </c>
      <c r="S65" s="44">
        <f>0</f>
        <v>0</v>
      </c>
      <c r="T65" s="44">
        <v>0</v>
      </c>
      <c r="U65" s="44">
        <v>0</v>
      </c>
      <c r="V65" s="44">
        <v>0</v>
      </c>
      <c r="W65" s="44">
        <v>0</v>
      </c>
      <c r="X65" s="44">
        <v>0</v>
      </c>
      <c r="Y65" s="44">
        <v>0</v>
      </c>
      <c r="Z65" s="44">
        <v>0</v>
      </c>
      <c r="AA65" s="44">
        <v>0</v>
      </c>
      <c r="AB65" s="44">
        <v>0</v>
      </c>
      <c r="AD65" s="48">
        <f t="shared" si="34"/>
        <v>0</v>
      </c>
      <c r="AE65" s="48">
        <f t="shared" si="34"/>
        <v>0</v>
      </c>
      <c r="AF65" s="48">
        <f t="shared" si="34"/>
        <v>0</v>
      </c>
      <c r="AG65" s="48">
        <f t="shared" si="34"/>
        <v>0</v>
      </c>
      <c r="AH65" s="48">
        <f t="shared" si="34"/>
        <v>0</v>
      </c>
      <c r="AI65" s="48">
        <f t="shared" si="34"/>
        <v>0</v>
      </c>
      <c r="AJ65" s="48">
        <f t="shared" si="34"/>
        <v>0</v>
      </c>
      <c r="AK65" s="48">
        <f t="shared" si="34"/>
        <v>0</v>
      </c>
      <c r="AL65" s="53"/>
      <c r="AM65" s="48">
        <f t="shared" si="35"/>
        <v>0</v>
      </c>
      <c r="AN65" s="48">
        <f t="shared" si="35"/>
        <v>0</v>
      </c>
    </row>
    <row r="66" spans="1:40" outlineLevel="2" x14ac:dyDescent="0.2">
      <c r="A66" s="38" t="s">
        <v>347</v>
      </c>
      <c r="B66" s="77" t="s">
        <v>348</v>
      </c>
      <c r="C66" s="240" t="s">
        <v>150</v>
      </c>
      <c r="D66" s="77"/>
      <c r="E66" s="45">
        <f>20000</f>
        <v>20000</v>
      </c>
      <c r="F66" s="45">
        <f>20000</f>
        <v>20000</v>
      </c>
      <c r="G66" s="45">
        <f>20000</f>
        <v>20000</v>
      </c>
      <c r="H66" s="45">
        <f>20000</f>
        <v>20000</v>
      </c>
      <c r="I66" s="45">
        <f>20000</f>
        <v>20000</v>
      </c>
      <c r="J66" s="45">
        <f>9000</f>
        <v>9000</v>
      </c>
      <c r="K66" s="44">
        <f>0</f>
        <v>0</v>
      </c>
      <c r="L66" s="44">
        <f>0</f>
        <v>0</v>
      </c>
      <c r="M66" s="44">
        <f>0</f>
        <v>0</v>
      </c>
      <c r="N66" s="44">
        <f>0</f>
        <v>0</v>
      </c>
      <c r="O66" s="44">
        <f>0</f>
        <v>0</v>
      </c>
      <c r="P66" s="44">
        <f>0</f>
        <v>0</v>
      </c>
      <c r="Q66" s="44">
        <f>0</f>
        <v>0</v>
      </c>
      <c r="R66" s="44">
        <f>0</f>
        <v>0</v>
      </c>
      <c r="S66" s="44">
        <v>6600</v>
      </c>
      <c r="T66" s="45">
        <v>12700</v>
      </c>
      <c r="U66" s="45">
        <v>0</v>
      </c>
      <c r="V66" s="45">
        <v>13700</v>
      </c>
      <c r="W66" s="45">
        <v>0</v>
      </c>
      <c r="X66" s="45">
        <v>0</v>
      </c>
      <c r="Y66" s="45">
        <v>0</v>
      </c>
      <c r="Z66" s="45">
        <v>0</v>
      </c>
      <c r="AA66" s="45">
        <v>0</v>
      </c>
      <c r="AB66" s="45">
        <v>0</v>
      </c>
      <c r="AD66" s="48">
        <f t="shared" ref="AD66:AK75" si="37">SUMIFS($E66:$AB66,$E$6:$AB$6,AD$5)</f>
        <v>60000</v>
      </c>
      <c r="AE66" s="48">
        <f t="shared" si="37"/>
        <v>49000</v>
      </c>
      <c r="AF66" s="48">
        <f t="shared" si="37"/>
        <v>0</v>
      </c>
      <c r="AG66" s="48">
        <f t="shared" si="37"/>
        <v>0</v>
      </c>
      <c r="AH66" s="48">
        <f t="shared" si="37"/>
        <v>6600</v>
      </c>
      <c r="AI66" s="48">
        <f t="shared" si="37"/>
        <v>26400</v>
      </c>
      <c r="AJ66" s="48">
        <f t="shared" si="37"/>
        <v>0</v>
      </c>
      <c r="AK66" s="48">
        <f t="shared" si="37"/>
        <v>0</v>
      </c>
      <c r="AL66" s="53"/>
      <c r="AM66" s="48">
        <f t="shared" si="35"/>
        <v>109000</v>
      </c>
      <c r="AN66" s="48">
        <f t="shared" si="35"/>
        <v>33000</v>
      </c>
    </row>
    <row r="67" spans="1:40" outlineLevel="2" x14ac:dyDescent="0.2">
      <c r="A67" s="38" t="s">
        <v>349</v>
      </c>
      <c r="B67" s="77" t="s">
        <v>350</v>
      </c>
      <c r="C67" s="240" t="s">
        <v>143</v>
      </c>
      <c r="D67" s="77"/>
      <c r="E67" s="44">
        <f>0</f>
        <v>0</v>
      </c>
      <c r="F67" s="44">
        <f>0</f>
        <v>0</v>
      </c>
      <c r="G67" s="44">
        <f>0</f>
        <v>0</v>
      </c>
      <c r="H67" s="44">
        <f>0</f>
        <v>0</v>
      </c>
      <c r="I67" s="45">
        <f>1340</f>
        <v>1340</v>
      </c>
      <c r="J67" s="44">
        <f>0</f>
        <v>0</v>
      </c>
      <c r="K67" s="44">
        <f>0</f>
        <v>0</v>
      </c>
      <c r="L67" s="44">
        <f>0</f>
        <v>0</v>
      </c>
      <c r="M67" s="45">
        <f>5116.72</f>
        <v>5116.72</v>
      </c>
      <c r="N67" s="45">
        <f>5116.72</f>
        <v>5116.72</v>
      </c>
      <c r="O67" s="45">
        <f>5116.72</f>
        <v>5116.72</v>
      </c>
      <c r="P67" s="45">
        <f>5116.72</f>
        <v>5116.72</v>
      </c>
      <c r="Q67" s="45">
        <v>5116.72</v>
      </c>
      <c r="R67" s="45">
        <v>5116.72</v>
      </c>
      <c r="S67" s="45">
        <v>5116.72</v>
      </c>
      <c r="T67" s="44">
        <v>90398</v>
      </c>
      <c r="U67" s="44">
        <v>1539</v>
      </c>
      <c r="V67" s="44">
        <v>1539</v>
      </c>
      <c r="W67" s="44">
        <v>0</v>
      </c>
      <c r="X67" s="44">
        <v>0</v>
      </c>
      <c r="Y67" s="44">
        <v>0</v>
      </c>
      <c r="Z67" s="44">
        <v>0</v>
      </c>
      <c r="AA67" s="44">
        <v>0</v>
      </c>
      <c r="AB67" s="44">
        <v>0</v>
      </c>
      <c r="AD67" s="50">
        <f t="shared" si="37"/>
        <v>0</v>
      </c>
      <c r="AE67" s="50">
        <f t="shared" si="37"/>
        <v>1340</v>
      </c>
      <c r="AF67" s="50">
        <f t="shared" si="37"/>
        <v>5116.72</v>
      </c>
      <c r="AG67" s="50">
        <f t="shared" si="37"/>
        <v>15350.16</v>
      </c>
      <c r="AH67" s="50">
        <f t="shared" si="37"/>
        <v>15350.16</v>
      </c>
      <c r="AI67" s="50">
        <f t="shared" si="37"/>
        <v>93476</v>
      </c>
      <c r="AJ67" s="50">
        <f t="shared" si="37"/>
        <v>0</v>
      </c>
      <c r="AK67" s="50">
        <f t="shared" si="37"/>
        <v>0</v>
      </c>
      <c r="AL67" s="53"/>
      <c r="AM67" s="50">
        <f t="shared" si="35"/>
        <v>21806.880000000001</v>
      </c>
      <c r="AN67" s="50">
        <f t="shared" si="35"/>
        <v>108826.16</v>
      </c>
    </row>
    <row r="68" spans="1:40" outlineLevel="2" x14ac:dyDescent="0.2">
      <c r="A68" s="38" t="s">
        <v>351</v>
      </c>
      <c r="B68" s="77" t="s">
        <v>352</v>
      </c>
      <c r="C68" s="240" t="s">
        <v>151</v>
      </c>
      <c r="D68" s="77"/>
      <c r="E68" s="45">
        <f>6825</f>
        <v>6825</v>
      </c>
      <c r="F68" s="45">
        <f>6937.5</f>
        <v>6937.5</v>
      </c>
      <c r="G68" s="45">
        <f>10500</f>
        <v>10500</v>
      </c>
      <c r="H68" s="45">
        <f>31475</f>
        <v>31475</v>
      </c>
      <c r="I68" s="45">
        <f>43637.5</f>
        <v>43637.5</v>
      </c>
      <c r="J68" s="44">
        <f>0</f>
        <v>0</v>
      </c>
      <c r="K68" s="45">
        <f>7000</f>
        <v>7000</v>
      </c>
      <c r="L68" s="45">
        <f>31575</f>
        <v>31575</v>
      </c>
      <c r="M68" s="45">
        <f>12100</f>
        <v>12100</v>
      </c>
      <c r="N68" s="45">
        <f>12750</f>
        <v>12750</v>
      </c>
      <c r="O68" s="45">
        <f>13500</f>
        <v>13500</v>
      </c>
      <c r="P68" s="44">
        <f>0</f>
        <v>0</v>
      </c>
      <c r="Q68" s="44">
        <v>12825</v>
      </c>
      <c r="R68" s="44">
        <f>0</f>
        <v>0</v>
      </c>
      <c r="S68" s="44">
        <v>21600</v>
      </c>
      <c r="T68" s="44">
        <v>2475</v>
      </c>
      <c r="U68" s="44">
        <v>0</v>
      </c>
      <c r="V68" s="44">
        <v>65988</v>
      </c>
      <c r="W68" s="44">
        <v>0</v>
      </c>
      <c r="X68" s="44">
        <v>0</v>
      </c>
      <c r="Y68" s="44">
        <v>0</v>
      </c>
      <c r="Z68" s="44">
        <v>0</v>
      </c>
      <c r="AA68" s="44">
        <v>0</v>
      </c>
      <c r="AB68" s="44">
        <v>0</v>
      </c>
      <c r="AD68" s="48">
        <f t="shared" si="37"/>
        <v>24262.5</v>
      </c>
      <c r="AE68" s="48">
        <f t="shared" si="37"/>
        <v>75112.5</v>
      </c>
      <c r="AF68" s="48">
        <f t="shared" si="37"/>
        <v>50675</v>
      </c>
      <c r="AG68" s="48">
        <f t="shared" si="37"/>
        <v>26250</v>
      </c>
      <c r="AH68" s="48">
        <f t="shared" si="37"/>
        <v>34425</v>
      </c>
      <c r="AI68" s="48">
        <f t="shared" si="37"/>
        <v>68463</v>
      </c>
      <c r="AJ68" s="48">
        <f t="shared" si="37"/>
        <v>0</v>
      </c>
      <c r="AK68" s="48">
        <f t="shared" si="37"/>
        <v>0</v>
      </c>
      <c r="AL68" s="53"/>
      <c r="AM68" s="48">
        <f t="shared" si="35"/>
        <v>176300</v>
      </c>
      <c r="AN68" s="48">
        <f t="shared" si="35"/>
        <v>102888</v>
      </c>
    </row>
    <row r="69" spans="1:40" outlineLevel="2" x14ac:dyDescent="0.2">
      <c r="A69" s="38" t="s">
        <v>353</v>
      </c>
      <c r="B69" s="77" t="s">
        <v>354</v>
      </c>
      <c r="C69" s="240" t="s">
        <v>151</v>
      </c>
      <c r="D69" s="77"/>
      <c r="E69" s="44">
        <f>0</f>
        <v>0</v>
      </c>
      <c r="F69" s="44">
        <f>0</f>
        <v>0</v>
      </c>
      <c r="G69" s="44">
        <f>0</f>
        <v>0</v>
      </c>
      <c r="H69" s="45">
        <f>325.59</f>
        <v>325.58999999999997</v>
      </c>
      <c r="I69" s="44">
        <f>0</f>
        <v>0</v>
      </c>
      <c r="J69" s="44">
        <f>0</f>
        <v>0</v>
      </c>
      <c r="K69" s="44">
        <f>0</f>
        <v>0</v>
      </c>
      <c r="L69" s="44">
        <f>0</f>
        <v>0</v>
      </c>
      <c r="M69" s="44">
        <f>0</f>
        <v>0</v>
      </c>
      <c r="N69" s="44">
        <f>0</f>
        <v>0</v>
      </c>
      <c r="O69" s="44">
        <f>0</f>
        <v>0</v>
      </c>
      <c r="P69" s="44">
        <f>0</f>
        <v>0</v>
      </c>
      <c r="Q69" s="44">
        <f>0</f>
        <v>0</v>
      </c>
      <c r="R69" s="44">
        <f>0</f>
        <v>0</v>
      </c>
      <c r="S69" s="44">
        <f>0</f>
        <v>0</v>
      </c>
      <c r="T69" s="44">
        <f>0</f>
        <v>0</v>
      </c>
      <c r="U69" s="44">
        <f>0</f>
        <v>0</v>
      </c>
      <c r="V69" s="44">
        <f>0</f>
        <v>0</v>
      </c>
      <c r="W69" s="44">
        <f>0</f>
        <v>0</v>
      </c>
      <c r="X69" s="44">
        <f>0</f>
        <v>0</v>
      </c>
      <c r="Y69" s="44">
        <f>0</f>
        <v>0</v>
      </c>
      <c r="Z69" s="44">
        <f>0</f>
        <v>0</v>
      </c>
      <c r="AA69" s="44">
        <f>0</f>
        <v>0</v>
      </c>
      <c r="AB69" s="44">
        <f>0</f>
        <v>0</v>
      </c>
      <c r="AD69" s="48">
        <f t="shared" si="37"/>
        <v>0</v>
      </c>
      <c r="AE69" s="48">
        <f t="shared" si="37"/>
        <v>325.58999999999997</v>
      </c>
      <c r="AF69" s="48">
        <f t="shared" si="37"/>
        <v>0</v>
      </c>
      <c r="AG69" s="48">
        <f t="shared" si="37"/>
        <v>0</v>
      </c>
      <c r="AH69" s="48">
        <f t="shared" si="37"/>
        <v>0</v>
      </c>
      <c r="AI69" s="48">
        <f t="shared" si="37"/>
        <v>0</v>
      </c>
      <c r="AJ69" s="48">
        <f t="shared" si="37"/>
        <v>0</v>
      </c>
      <c r="AK69" s="48">
        <f t="shared" si="37"/>
        <v>0</v>
      </c>
      <c r="AL69" s="53"/>
      <c r="AM69" s="48">
        <f t="shared" si="35"/>
        <v>325.58999999999997</v>
      </c>
      <c r="AN69" s="48">
        <f t="shared" si="35"/>
        <v>0</v>
      </c>
    </row>
    <row r="70" spans="1:40" outlineLevel="1" x14ac:dyDescent="0.2">
      <c r="A70" s="39" t="s">
        <v>355</v>
      </c>
      <c r="B70" s="77" t="s">
        <v>346</v>
      </c>
      <c r="C70" s="77"/>
      <c r="D70" s="77"/>
      <c r="E70" s="13">
        <f>((((E65)+(E66))+(E67))+(E68))+(E69)</f>
        <v>26825</v>
      </c>
      <c r="F70" s="13">
        <f t="shared" ref="F70:S70" si="38">((((F65)+(F66))+(F67))+(F68))+(F69)</f>
        <v>26937.5</v>
      </c>
      <c r="G70" s="13">
        <f t="shared" si="38"/>
        <v>30500</v>
      </c>
      <c r="H70" s="13">
        <f t="shared" si="38"/>
        <v>51800.59</v>
      </c>
      <c r="I70" s="13">
        <f t="shared" si="38"/>
        <v>64977.5</v>
      </c>
      <c r="J70" s="13">
        <f t="shared" si="38"/>
        <v>9000</v>
      </c>
      <c r="K70" s="13">
        <f t="shared" si="38"/>
        <v>7000</v>
      </c>
      <c r="L70" s="13">
        <f t="shared" si="38"/>
        <v>31575</v>
      </c>
      <c r="M70" s="13">
        <f t="shared" si="38"/>
        <v>17216.72</v>
      </c>
      <c r="N70" s="13">
        <f t="shared" si="38"/>
        <v>17866.72</v>
      </c>
      <c r="O70" s="13">
        <f t="shared" si="38"/>
        <v>18616.72</v>
      </c>
      <c r="P70" s="13">
        <f t="shared" si="38"/>
        <v>5116.72</v>
      </c>
      <c r="Q70" s="13">
        <f t="shared" si="38"/>
        <v>17941.72</v>
      </c>
      <c r="R70" s="13">
        <f t="shared" si="38"/>
        <v>5116.72</v>
      </c>
      <c r="S70" s="13">
        <f t="shared" si="38"/>
        <v>33316.720000000001</v>
      </c>
      <c r="T70" s="13">
        <v>105573</v>
      </c>
      <c r="U70" s="13">
        <v>1539</v>
      </c>
      <c r="V70" s="13">
        <v>81227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D70" s="49">
        <f t="shared" si="37"/>
        <v>84262.5</v>
      </c>
      <c r="AE70" s="49">
        <f t="shared" si="37"/>
        <v>125778.09</v>
      </c>
      <c r="AF70" s="49">
        <f t="shared" si="37"/>
        <v>55791.72</v>
      </c>
      <c r="AG70" s="49">
        <f t="shared" si="37"/>
        <v>41600.160000000003</v>
      </c>
      <c r="AH70" s="49">
        <f t="shared" si="37"/>
        <v>56375.16</v>
      </c>
      <c r="AI70" s="49">
        <f t="shared" si="37"/>
        <v>188339</v>
      </c>
      <c r="AJ70" s="49">
        <f t="shared" si="37"/>
        <v>0</v>
      </c>
      <c r="AK70" s="49">
        <f t="shared" si="37"/>
        <v>0</v>
      </c>
      <c r="AL70" s="53"/>
      <c r="AM70" s="49">
        <f t="shared" si="35"/>
        <v>307432.46999999997</v>
      </c>
      <c r="AN70" s="49">
        <f t="shared" si="35"/>
        <v>244714.16</v>
      </c>
    </row>
    <row r="71" spans="1:40" outlineLevel="2" x14ac:dyDescent="0.2">
      <c r="A71" s="38" t="s">
        <v>356</v>
      </c>
      <c r="B71" s="77" t="s">
        <v>357</v>
      </c>
      <c r="C71" s="240" t="s">
        <v>145</v>
      </c>
      <c r="D71" s="77"/>
      <c r="E71" s="45">
        <f>7917.96</f>
        <v>7917.96</v>
      </c>
      <c r="F71" s="45">
        <f>27087.48</f>
        <v>27087.48</v>
      </c>
      <c r="G71" s="45">
        <f>26716.4</f>
        <v>26716.400000000001</v>
      </c>
      <c r="H71" s="45">
        <f>80725.72</f>
        <v>80725.72</v>
      </c>
      <c r="I71" s="45">
        <f>32705.28</f>
        <v>32705.279999999999</v>
      </c>
      <c r="J71" s="45">
        <f>38587.67</f>
        <v>38587.67</v>
      </c>
      <c r="K71" s="45">
        <f>44965.5</f>
        <v>44965.5</v>
      </c>
      <c r="L71" s="45">
        <f>18997.77</f>
        <v>18997.77</v>
      </c>
      <c r="M71" s="45">
        <f>38589.3</f>
        <v>38589.300000000003</v>
      </c>
      <c r="N71" s="45">
        <f>47989.91</f>
        <v>47989.91</v>
      </c>
      <c r="O71" s="45">
        <f>29086.26</f>
        <v>29086.26</v>
      </c>
      <c r="P71" s="45">
        <f>30435.94</f>
        <v>30435.94</v>
      </c>
      <c r="Q71" s="46">
        <v>32962.870000000003</v>
      </c>
      <c r="R71" s="46">
        <f>0</f>
        <v>0</v>
      </c>
      <c r="S71" s="46">
        <v>63</v>
      </c>
      <c r="T71" s="46">
        <v>5868</v>
      </c>
      <c r="U71" s="46">
        <v>0</v>
      </c>
      <c r="V71" s="46">
        <v>0</v>
      </c>
      <c r="W71" s="46">
        <v>0</v>
      </c>
      <c r="X71" s="46">
        <v>159</v>
      </c>
      <c r="Y71" s="46">
        <v>0</v>
      </c>
      <c r="Z71" s="46">
        <v>0</v>
      </c>
      <c r="AA71" s="46">
        <v>0</v>
      </c>
      <c r="AB71" s="46">
        <v>0</v>
      </c>
      <c r="AD71" s="51">
        <f t="shared" si="37"/>
        <v>61721.840000000004</v>
      </c>
      <c r="AE71" s="51">
        <f t="shared" si="37"/>
        <v>152018.66999999998</v>
      </c>
      <c r="AF71" s="51">
        <f t="shared" si="37"/>
        <v>102552.57</v>
      </c>
      <c r="AG71" s="51">
        <f t="shared" si="37"/>
        <v>107512.11</v>
      </c>
      <c r="AH71" s="51">
        <f t="shared" si="37"/>
        <v>33025.870000000003</v>
      </c>
      <c r="AI71" s="51">
        <f t="shared" si="37"/>
        <v>5868</v>
      </c>
      <c r="AJ71" s="51">
        <f t="shared" si="37"/>
        <v>159</v>
      </c>
      <c r="AK71" s="51">
        <f t="shared" si="37"/>
        <v>0</v>
      </c>
      <c r="AL71" s="53"/>
      <c r="AM71" s="51">
        <f t="shared" si="35"/>
        <v>423805.19</v>
      </c>
      <c r="AN71" s="51">
        <f t="shared" si="35"/>
        <v>39052.870000000003</v>
      </c>
    </row>
    <row r="72" spans="1:40" outlineLevel="2" x14ac:dyDescent="0.2">
      <c r="A72" s="38" t="s">
        <v>358</v>
      </c>
      <c r="B72" s="77" t="s">
        <v>359</v>
      </c>
      <c r="C72" s="240" t="s">
        <v>146</v>
      </c>
      <c r="D72" s="77"/>
      <c r="E72" s="46">
        <f>0</f>
        <v>0</v>
      </c>
      <c r="F72" s="46">
        <f>0</f>
        <v>0</v>
      </c>
      <c r="G72" s="46">
        <f>0</f>
        <v>0</v>
      </c>
      <c r="H72" s="46">
        <f>0</f>
        <v>0</v>
      </c>
      <c r="I72" s="46">
        <f>0</f>
        <v>0</v>
      </c>
      <c r="J72" s="46">
        <f>0</f>
        <v>0</v>
      </c>
      <c r="K72" s="46">
        <f>0</f>
        <v>0</v>
      </c>
      <c r="L72" s="46">
        <f>0</f>
        <v>0</v>
      </c>
      <c r="M72" s="46">
        <f>0</f>
        <v>0</v>
      </c>
      <c r="N72" s="46">
        <f>0</f>
        <v>0</v>
      </c>
      <c r="O72" s="46">
        <f>0</f>
        <v>0</v>
      </c>
      <c r="P72" s="46">
        <f>0</f>
        <v>0</v>
      </c>
      <c r="Q72" s="46">
        <f>0</f>
        <v>0</v>
      </c>
      <c r="R72" s="46">
        <v>11930.4</v>
      </c>
      <c r="S72" s="46">
        <v>15846.5</v>
      </c>
      <c r="T72" s="46">
        <v>57434</v>
      </c>
      <c r="U72" s="46">
        <v>5247</v>
      </c>
      <c r="V72" s="46">
        <v>11235</v>
      </c>
      <c r="W72" s="46">
        <v>13061</v>
      </c>
      <c r="X72" s="46">
        <v>20551</v>
      </c>
      <c r="Y72" s="46">
        <v>14142</v>
      </c>
      <c r="Z72" s="46">
        <v>16171</v>
      </c>
      <c r="AA72" s="46">
        <v>3358</v>
      </c>
      <c r="AB72" s="46">
        <v>36</v>
      </c>
      <c r="AD72" s="51">
        <f t="shared" si="37"/>
        <v>0</v>
      </c>
      <c r="AE72" s="51">
        <f t="shared" si="37"/>
        <v>0</v>
      </c>
      <c r="AF72" s="51">
        <f t="shared" si="37"/>
        <v>0</v>
      </c>
      <c r="AG72" s="51">
        <f t="shared" si="37"/>
        <v>0</v>
      </c>
      <c r="AH72" s="51">
        <f t="shared" si="37"/>
        <v>27776.9</v>
      </c>
      <c r="AI72" s="51">
        <f t="shared" si="37"/>
        <v>73916</v>
      </c>
      <c r="AJ72" s="51">
        <f t="shared" si="37"/>
        <v>47754</v>
      </c>
      <c r="AK72" s="51">
        <f t="shared" si="37"/>
        <v>19565</v>
      </c>
      <c r="AL72" s="53"/>
      <c r="AM72" s="51">
        <f t="shared" si="35"/>
        <v>0</v>
      </c>
      <c r="AN72" s="51">
        <f t="shared" si="35"/>
        <v>169011.9</v>
      </c>
    </row>
    <row r="73" spans="1:40" outlineLevel="2" x14ac:dyDescent="0.2">
      <c r="A73" s="38" t="s">
        <v>360</v>
      </c>
      <c r="B73" s="77" t="s">
        <v>361</v>
      </c>
      <c r="C73" s="240" t="s">
        <v>144</v>
      </c>
      <c r="D73" s="77"/>
      <c r="E73" s="46">
        <f>0</f>
        <v>0</v>
      </c>
      <c r="F73" s="46">
        <f>0</f>
        <v>0</v>
      </c>
      <c r="G73" s="46">
        <f>0</f>
        <v>0</v>
      </c>
      <c r="H73" s="46">
        <f>0</f>
        <v>0</v>
      </c>
      <c r="I73" s="46">
        <f>0</f>
        <v>0</v>
      </c>
      <c r="J73" s="46">
        <f>0</f>
        <v>0</v>
      </c>
      <c r="K73" s="46">
        <f>0</f>
        <v>0</v>
      </c>
      <c r="L73" s="46">
        <f>0</f>
        <v>0</v>
      </c>
      <c r="M73" s="46">
        <f>0</f>
        <v>0</v>
      </c>
      <c r="N73" s="46">
        <f>0</f>
        <v>0</v>
      </c>
      <c r="O73" s="46">
        <f>0</f>
        <v>0</v>
      </c>
      <c r="P73" s="46">
        <f>0</f>
        <v>0</v>
      </c>
      <c r="Q73" s="46">
        <f>0</f>
        <v>0</v>
      </c>
      <c r="R73" s="46">
        <f>0</f>
        <v>0</v>
      </c>
      <c r="S73" s="46">
        <v>12480</v>
      </c>
      <c r="T73" s="46">
        <v>26000</v>
      </c>
      <c r="U73" s="46">
        <v>0</v>
      </c>
      <c r="V73" s="46">
        <v>22178</v>
      </c>
      <c r="W73" s="46">
        <v>4784</v>
      </c>
      <c r="X73" s="46">
        <v>0</v>
      </c>
      <c r="Y73" s="46">
        <v>0</v>
      </c>
      <c r="Z73" s="46">
        <v>0</v>
      </c>
      <c r="AA73" s="46">
        <v>0</v>
      </c>
      <c r="AB73" s="46">
        <v>15600</v>
      </c>
      <c r="AD73" s="51">
        <f t="shared" si="37"/>
        <v>0</v>
      </c>
      <c r="AE73" s="51">
        <f t="shared" si="37"/>
        <v>0</v>
      </c>
      <c r="AF73" s="51">
        <f t="shared" si="37"/>
        <v>0</v>
      </c>
      <c r="AG73" s="51">
        <f t="shared" si="37"/>
        <v>0</v>
      </c>
      <c r="AH73" s="51">
        <f t="shared" si="37"/>
        <v>12480</v>
      </c>
      <c r="AI73" s="51">
        <f t="shared" si="37"/>
        <v>48178</v>
      </c>
      <c r="AJ73" s="51">
        <f t="shared" si="37"/>
        <v>4784</v>
      </c>
      <c r="AK73" s="51">
        <f t="shared" si="37"/>
        <v>15600</v>
      </c>
      <c r="AL73" s="53"/>
      <c r="AM73" s="51">
        <f t="shared" si="35"/>
        <v>0</v>
      </c>
      <c r="AN73" s="51">
        <f t="shared" si="35"/>
        <v>81042</v>
      </c>
    </row>
    <row r="74" spans="1:40" outlineLevel="2" x14ac:dyDescent="0.2">
      <c r="A74" s="226" t="s">
        <v>362</v>
      </c>
      <c r="B74" s="77">
        <v>6923</v>
      </c>
      <c r="C74" s="240" t="s">
        <v>147</v>
      </c>
      <c r="D74" s="77"/>
      <c r="E74" s="46">
        <v>0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v>0</v>
      </c>
      <c r="O74" s="46">
        <v>0</v>
      </c>
      <c r="P74" s="46">
        <v>0</v>
      </c>
      <c r="Q74" s="46">
        <v>0</v>
      </c>
      <c r="R74" s="46">
        <v>0</v>
      </c>
      <c r="S74" s="46">
        <v>0</v>
      </c>
      <c r="T74" s="46">
        <v>2241</v>
      </c>
      <c r="U74" s="46">
        <v>0</v>
      </c>
      <c r="V74" s="46">
        <v>12787</v>
      </c>
      <c r="W74" s="46">
        <v>0</v>
      </c>
      <c r="X74" s="46">
        <v>693</v>
      </c>
      <c r="Y74" s="46">
        <v>2266</v>
      </c>
      <c r="Z74" s="46">
        <v>0</v>
      </c>
      <c r="AA74" s="46">
        <v>0</v>
      </c>
      <c r="AB74" s="46">
        <v>0</v>
      </c>
      <c r="AD74" s="51">
        <f t="shared" si="37"/>
        <v>0</v>
      </c>
      <c r="AE74" s="51">
        <f t="shared" si="37"/>
        <v>0</v>
      </c>
      <c r="AF74" s="51">
        <f t="shared" si="37"/>
        <v>0</v>
      </c>
      <c r="AG74" s="51">
        <f t="shared" si="37"/>
        <v>0</v>
      </c>
      <c r="AH74" s="51">
        <f t="shared" si="37"/>
        <v>0</v>
      </c>
      <c r="AI74" s="51">
        <f t="shared" si="37"/>
        <v>15028</v>
      </c>
      <c r="AJ74" s="51">
        <f t="shared" si="37"/>
        <v>2959</v>
      </c>
      <c r="AK74" s="51">
        <f t="shared" si="37"/>
        <v>0</v>
      </c>
      <c r="AL74" s="53"/>
      <c r="AM74" s="51">
        <f t="shared" si="35"/>
        <v>0</v>
      </c>
      <c r="AN74" s="51">
        <f t="shared" si="35"/>
        <v>17987</v>
      </c>
    </row>
    <row r="75" spans="1:40" outlineLevel="2" x14ac:dyDescent="0.2">
      <c r="A75" s="38" t="s">
        <v>363</v>
      </c>
      <c r="B75" s="77" t="s">
        <v>364</v>
      </c>
      <c r="C75" s="240" t="s">
        <v>148</v>
      </c>
      <c r="D75" s="77"/>
      <c r="E75" s="46">
        <f>0</f>
        <v>0</v>
      </c>
      <c r="F75" s="46">
        <f>0</f>
        <v>0</v>
      </c>
      <c r="G75" s="46">
        <f>0</f>
        <v>0</v>
      </c>
      <c r="H75" s="46">
        <f>0</f>
        <v>0</v>
      </c>
      <c r="I75" s="46">
        <f>0</f>
        <v>0</v>
      </c>
      <c r="J75" s="46">
        <f>0</f>
        <v>0</v>
      </c>
      <c r="K75" s="46">
        <f>0</f>
        <v>0</v>
      </c>
      <c r="L75" s="46">
        <f>0</f>
        <v>0</v>
      </c>
      <c r="M75" s="46">
        <f>0</f>
        <v>0</v>
      </c>
      <c r="N75" s="46">
        <f>0</f>
        <v>0</v>
      </c>
      <c r="O75" s="46">
        <f>0</f>
        <v>0</v>
      </c>
      <c r="P75" s="46">
        <f>0</f>
        <v>0</v>
      </c>
      <c r="Q75" s="46">
        <f>0</f>
        <v>0</v>
      </c>
      <c r="R75" s="46">
        <v>5847.73</v>
      </c>
      <c r="S75" s="46">
        <v>2774.8</v>
      </c>
      <c r="T75" s="46">
        <v>0</v>
      </c>
      <c r="U75" s="46">
        <v>5032</v>
      </c>
      <c r="V75" s="46">
        <v>9673</v>
      </c>
      <c r="W75" s="46">
        <v>3246</v>
      </c>
      <c r="X75" s="46">
        <v>3636</v>
      </c>
      <c r="Y75" s="46">
        <v>3338</v>
      </c>
      <c r="Z75" s="46">
        <v>3896</v>
      </c>
      <c r="AA75" s="46">
        <v>3887</v>
      </c>
      <c r="AB75" s="46">
        <v>3906</v>
      </c>
      <c r="AD75" s="51">
        <f t="shared" si="37"/>
        <v>0</v>
      </c>
      <c r="AE75" s="51">
        <f t="shared" si="37"/>
        <v>0</v>
      </c>
      <c r="AF75" s="51">
        <f t="shared" si="37"/>
        <v>0</v>
      </c>
      <c r="AG75" s="51">
        <f t="shared" si="37"/>
        <v>0</v>
      </c>
      <c r="AH75" s="51">
        <f t="shared" si="37"/>
        <v>8622.5299999999988</v>
      </c>
      <c r="AI75" s="51">
        <f t="shared" si="37"/>
        <v>14705</v>
      </c>
      <c r="AJ75" s="51">
        <f t="shared" si="37"/>
        <v>10220</v>
      </c>
      <c r="AK75" s="51">
        <f t="shared" si="37"/>
        <v>11689</v>
      </c>
      <c r="AL75" s="53"/>
      <c r="AM75" s="51">
        <f t="shared" si="35"/>
        <v>0</v>
      </c>
      <c r="AN75" s="51">
        <f t="shared" si="35"/>
        <v>45236.53</v>
      </c>
    </row>
    <row r="76" spans="1:40" outlineLevel="2" x14ac:dyDescent="0.2">
      <c r="A76" s="38" t="s">
        <v>365</v>
      </c>
      <c r="B76" s="77" t="s">
        <v>366</v>
      </c>
      <c r="C76" s="240" t="s">
        <v>152</v>
      </c>
      <c r="D76" s="77"/>
      <c r="E76" s="46">
        <f>0</f>
        <v>0</v>
      </c>
      <c r="F76" s="46">
        <f>0</f>
        <v>0</v>
      </c>
      <c r="G76" s="46">
        <f>0</f>
        <v>0</v>
      </c>
      <c r="H76" s="46">
        <f>0</f>
        <v>0</v>
      </c>
      <c r="I76" s="46">
        <f>0</f>
        <v>0</v>
      </c>
      <c r="J76" s="46">
        <f>0</f>
        <v>0</v>
      </c>
      <c r="K76" s="46">
        <f>0</f>
        <v>0</v>
      </c>
      <c r="L76" s="46">
        <f>0</f>
        <v>0</v>
      </c>
      <c r="M76" s="46">
        <f>0</f>
        <v>0</v>
      </c>
      <c r="N76" s="46">
        <f>0</f>
        <v>0</v>
      </c>
      <c r="O76" s="46">
        <f>0</f>
        <v>0</v>
      </c>
      <c r="P76" s="46">
        <f>0</f>
        <v>0</v>
      </c>
      <c r="Q76" s="46">
        <f>0</f>
        <v>0</v>
      </c>
      <c r="R76" s="46">
        <f>0</f>
        <v>0</v>
      </c>
      <c r="S76" s="46">
        <v>20000</v>
      </c>
      <c r="T76" s="46">
        <v>0</v>
      </c>
      <c r="U76" s="46">
        <v>0</v>
      </c>
      <c r="V76" s="46">
        <v>100000</v>
      </c>
      <c r="W76" s="46">
        <v>26667</v>
      </c>
      <c r="X76" s="46">
        <v>0</v>
      </c>
      <c r="Y76" s="46">
        <v>74000</v>
      </c>
      <c r="Z76" s="46">
        <v>0</v>
      </c>
      <c r="AA76" s="46">
        <v>0</v>
      </c>
      <c r="AB76" s="46">
        <v>0</v>
      </c>
      <c r="AD76" s="51">
        <f t="shared" ref="AD76:AK85" si="39">SUMIFS($E76:$AB76,$E$6:$AB$6,AD$5)</f>
        <v>0</v>
      </c>
      <c r="AE76" s="51">
        <f t="shared" si="39"/>
        <v>0</v>
      </c>
      <c r="AF76" s="51">
        <f t="shared" si="39"/>
        <v>0</v>
      </c>
      <c r="AG76" s="51">
        <f t="shared" si="39"/>
        <v>0</v>
      </c>
      <c r="AH76" s="51">
        <f t="shared" si="39"/>
        <v>20000</v>
      </c>
      <c r="AI76" s="51">
        <f t="shared" si="39"/>
        <v>100000</v>
      </c>
      <c r="AJ76" s="51">
        <f t="shared" si="39"/>
        <v>100667</v>
      </c>
      <c r="AK76" s="51">
        <f t="shared" si="39"/>
        <v>0</v>
      </c>
      <c r="AL76" s="53"/>
      <c r="AM76" s="51">
        <f t="shared" ref="AM76:AN95" si="40">SUMIFS($E76:$AB76,$E$7:$AB$7,AM$5)</f>
        <v>0</v>
      </c>
      <c r="AN76" s="51">
        <f t="shared" si="40"/>
        <v>220667</v>
      </c>
    </row>
    <row r="77" spans="1:40" outlineLevel="1" x14ac:dyDescent="0.2">
      <c r="A77" s="37" t="s">
        <v>367</v>
      </c>
      <c r="B77" s="77" t="s">
        <v>357</v>
      </c>
      <c r="C77" s="77"/>
      <c r="D77" s="77"/>
      <c r="E77" s="231">
        <f>SUM(E71:E76)</f>
        <v>7917.96</v>
      </c>
      <c r="F77" s="231">
        <f t="shared" ref="F77:S77" si="41">SUM(F71:F76)</f>
        <v>27087.48</v>
      </c>
      <c r="G77" s="231">
        <f t="shared" si="41"/>
        <v>26716.400000000001</v>
      </c>
      <c r="H77" s="231">
        <f t="shared" si="41"/>
        <v>80725.72</v>
      </c>
      <c r="I77" s="231">
        <f t="shared" si="41"/>
        <v>32705.279999999999</v>
      </c>
      <c r="J77" s="231">
        <f t="shared" si="41"/>
        <v>38587.67</v>
      </c>
      <c r="K77" s="231">
        <f t="shared" si="41"/>
        <v>44965.5</v>
      </c>
      <c r="L77" s="231">
        <f t="shared" si="41"/>
        <v>18997.77</v>
      </c>
      <c r="M77" s="231">
        <f t="shared" si="41"/>
        <v>38589.300000000003</v>
      </c>
      <c r="N77" s="231">
        <f t="shared" si="41"/>
        <v>47989.91</v>
      </c>
      <c r="O77" s="231">
        <f t="shared" si="41"/>
        <v>29086.26</v>
      </c>
      <c r="P77" s="231">
        <f t="shared" si="41"/>
        <v>30435.94</v>
      </c>
      <c r="Q77" s="231">
        <f t="shared" si="41"/>
        <v>32962.870000000003</v>
      </c>
      <c r="R77" s="231">
        <f t="shared" si="41"/>
        <v>17778.129999999997</v>
      </c>
      <c r="S77" s="231">
        <f t="shared" si="41"/>
        <v>51164.3</v>
      </c>
      <c r="T77" s="231">
        <v>91543</v>
      </c>
      <c r="U77" s="231">
        <v>10278</v>
      </c>
      <c r="V77" s="231">
        <v>155873</v>
      </c>
      <c r="W77" s="231">
        <v>47758</v>
      </c>
      <c r="X77" s="231">
        <v>25039</v>
      </c>
      <c r="Y77" s="231">
        <v>93747</v>
      </c>
      <c r="Z77" s="231">
        <v>20067</v>
      </c>
      <c r="AA77" s="231">
        <v>7246</v>
      </c>
      <c r="AB77" s="231">
        <v>19542</v>
      </c>
      <c r="AC77" s="14"/>
      <c r="AD77" s="231">
        <f t="shared" si="39"/>
        <v>61721.840000000004</v>
      </c>
      <c r="AE77" s="231">
        <f t="shared" si="39"/>
        <v>152018.66999999998</v>
      </c>
      <c r="AF77" s="231">
        <f t="shared" si="39"/>
        <v>102552.57</v>
      </c>
      <c r="AG77" s="231">
        <f t="shared" si="39"/>
        <v>107512.11</v>
      </c>
      <c r="AH77" s="231">
        <f t="shared" si="39"/>
        <v>101905.3</v>
      </c>
      <c r="AI77" s="231">
        <f t="shared" si="39"/>
        <v>257694</v>
      </c>
      <c r="AJ77" s="231">
        <f t="shared" si="39"/>
        <v>166544</v>
      </c>
      <c r="AK77" s="231">
        <f t="shared" si="39"/>
        <v>46855</v>
      </c>
      <c r="AL77" s="231"/>
      <c r="AM77" s="231">
        <f t="shared" si="40"/>
        <v>423805.19</v>
      </c>
      <c r="AN77" s="231">
        <f t="shared" si="40"/>
        <v>572998.30000000005</v>
      </c>
    </row>
    <row r="78" spans="1:40" x14ac:dyDescent="0.2">
      <c r="A78" s="3" t="s">
        <v>368</v>
      </c>
      <c r="B78" s="77" t="s">
        <v>343</v>
      </c>
      <c r="C78" s="77"/>
      <c r="D78" s="77"/>
      <c r="E78" s="13">
        <f>((E64)+(E70))+(E77)</f>
        <v>34742.959999999999</v>
      </c>
      <c r="F78" s="13">
        <f t="shared" ref="F78:S78" si="42">((F64)+(F70))+(F77)</f>
        <v>54024.979999999996</v>
      </c>
      <c r="G78" s="13">
        <f t="shared" si="42"/>
        <v>57216.4</v>
      </c>
      <c r="H78" s="13">
        <f t="shared" si="42"/>
        <v>132526.31</v>
      </c>
      <c r="I78" s="13">
        <f t="shared" si="42"/>
        <v>97682.78</v>
      </c>
      <c r="J78" s="13">
        <f t="shared" si="42"/>
        <v>47587.67</v>
      </c>
      <c r="K78" s="13">
        <f t="shared" si="42"/>
        <v>51965.5</v>
      </c>
      <c r="L78" s="13">
        <f t="shared" si="42"/>
        <v>50572.770000000004</v>
      </c>
      <c r="M78" s="13">
        <f t="shared" si="42"/>
        <v>55806.020000000004</v>
      </c>
      <c r="N78" s="13">
        <f t="shared" si="42"/>
        <v>65856.63</v>
      </c>
      <c r="O78" s="13">
        <f t="shared" si="42"/>
        <v>47702.979999999996</v>
      </c>
      <c r="P78" s="13">
        <f t="shared" si="42"/>
        <v>35552.659999999996</v>
      </c>
      <c r="Q78" s="13">
        <f t="shared" si="42"/>
        <v>50904.590000000004</v>
      </c>
      <c r="R78" s="13">
        <f t="shared" si="42"/>
        <v>22894.85</v>
      </c>
      <c r="S78" s="13">
        <f t="shared" si="42"/>
        <v>84481.02</v>
      </c>
      <c r="T78" s="13">
        <v>197116</v>
      </c>
      <c r="U78" s="13">
        <v>11817</v>
      </c>
      <c r="V78" s="13">
        <v>237099</v>
      </c>
      <c r="W78" s="13">
        <v>47758</v>
      </c>
      <c r="X78" s="13">
        <v>25039</v>
      </c>
      <c r="Y78" s="13">
        <v>93747</v>
      </c>
      <c r="Z78" s="13">
        <v>20067</v>
      </c>
      <c r="AA78" s="13">
        <v>7246</v>
      </c>
      <c r="AB78" s="13">
        <v>19542</v>
      </c>
      <c r="AD78" s="49">
        <f t="shared" si="39"/>
        <v>145984.34</v>
      </c>
      <c r="AE78" s="49">
        <f t="shared" si="39"/>
        <v>277796.76</v>
      </c>
      <c r="AF78" s="49">
        <f t="shared" si="39"/>
        <v>158344.29</v>
      </c>
      <c r="AG78" s="49">
        <f t="shared" si="39"/>
        <v>149112.26999999999</v>
      </c>
      <c r="AH78" s="49">
        <f t="shared" si="39"/>
        <v>158280.46000000002</v>
      </c>
      <c r="AI78" s="49">
        <f t="shared" si="39"/>
        <v>446032</v>
      </c>
      <c r="AJ78" s="49">
        <f t="shared" si="39"/>
        <v>166544</v>
      </c>
      <c r="AK78" s="49">
        <f t="shared" si="39"/>
        <v>46855</v>
      </c>
      <c r="AL78" s="53"/>
      <c r="AM78" s="49">
        <f t="shared" si="40"/>
        <v>731237.66</v>
      </c>
      <c r="AN78" s="49">
        <f t="shared" si="40"/>
        <v>817711.46</v>
      </c>
    </row>
    <row r="79" spans="1:40" outlineLevel="1" x14ac:dyDescent="0.2">
      <c r="A79" s="37" t="s">
        <v>369</v>
      </c>
      <c r="B79" s="77" t="s">
        <v>370</v>
      </c>
      <c r="C79" s="77"/>
      <c r="D79" s="77"/>
      <c r="E79" s="44">
        <f>0</f>
        <v>0</v>
      </c>
      <c r="F79" s="44">
        <f>0</f>
        <v>0</v>
      </c>
      <c r="G79" s="44">
        <f>0</f>
        <v>0</v>
      </c>
      <c r="H79" s="44">
        <f>0</f>
        <v>0</v>
      </c>
      <c r="I79" s="44">
        <f>0</f>
        <v>0</v>
      </c>
      <c r="J79" s="44">
        <f>0</f>
        <v>0</v>
      </c>
      <c r="K79" s="44">
        <f>0</f>
        <v>0</v>
      </c>
      <c r="L79" s="44">
        <f>0</f>
        <v>0</v>
      </c>
      <c r="M79" s="44">
        <f>0</f>
        <v>0</v>
      </c>
      <c r="N79" s="44">
        <f>0</f>
        <v>0</v>
      </c>
      <c r="O79" s="44">
        <f>0</f>
        <v>0</v>
      </c>
      <c r="P79" s="44">
        <f>0</f>
        <v>0</v>
      </c>
      <c r="Q79" s="44">
        <f>0</f>
        <v>0</v>
      </c>
      <c r="R79" s="44">
        <f>0</f>
        <v>0</v>
      </c>
      <c r="S79" s="44">
        <f>0</f>
        <v>0</v>
      </c>
      <c r="T79" s="44">
        <v>0</v>
      </c>
      <c r="U79" s="44">
        <v>0</v>
      </c>
      <c r="V79" s="44">
        <v>0</v>
      </c>
      <c r="W79" s="44">
        <v>0</v>
      </c>
      <c r="X79" s="44">
        <v>0</v>
      </c>
      <c r="Y79" s="44">
        <v>0</v>
      </c>
      <c r="Z79" s="44">
        <v>0</v>
      </c>
      <c r="AA79" s="44">
        <v>0</v>
      </c>
      <c r="AB79" s="44">
        <v>0</v>
      </c>
      <c r="AD79" s="48">
        <f t="shared" si="39"/>
        <v>0</v>
      </c>
      <c r="AE79" s="48">
        <f t="shared" si="39"/>
        <v>0</v>
      </c>
      <c r="AF79" s="48">
        <f t="shared" si="39"/>
        <v>0</v>
      </c>
      <c r="AG79" s="48">
        <f t="shared" si="39"/>
        <v>0</v>
      </c>
      <c r="AH79" s="48">
        <f t="shared" si="39"/>
        <v>0</v>
      </c>
      <c r="AI79" s="48">
        <f t="shared" si="39"/>
        <v>0</v>
      </c>
      <c r="AJ79" s="48">
        <f t="shared" si="39"/>
        <v>0</v>
      </c>
      <c r="AK79" s="48">
        <f t="shared" si="39"/>
        <v>0</v>
      </c>
      <c r="AL79" s="53"/>
      <c r="AM79" s="48">
        <f t="shared" si="40"/>
        <v>0</v>
      </c>
      <c r="AN79" s="48">
        <f t="shared" si="40"/>
        <v>0</v>
      </c>
    </row>
    <row r="80" spans="1:40" outlineLevel="1" x14ac:dyDescent="0.2">
      <c r="A80" s="37" t="s">
        <v>371</v>
      </c>
      <c r="B80" s="77" t="s">
        <v>372</v>
      </c>
      <c r="C80" s="77"/>
      <c r="D80" s="77"/>
      <c r="E80" s="45">
        <f>7750</f>
        <v>7750</v>
      </c>
      <c r="F80" s="45">
        <f>7750</f>
        <v>7750</v>
      </c>
      <c r="G80" s="45">
        <f>13282.06</f>
        <v>13282.06</v>
      </c>
      <c r="H80" s="45">
        <f>19999.57</f>
        <v>19999.57</v>
      </c>
      <c r="I80" s="45">
        <f t="shared" ref="I80:P80" si="43">14249.57</f>
        <v>14249.57</v>
      </c>
      <c r="J80" s="45">
        <f t="shared" si="43"/>
        <v>14249.57</v>
      </c>
      <c r="K80" s="45">
        <f t="shared" si="43"/>
        <v>14249.57</v>
      </c>
      <c r="L80" s="45">
        <f t="shared" si="43"/>
        <v>14249.57</v>
      </c>
      <c r="M80" s="45">
        <f t="shared" si="43"/>
        <v>14249.57</v>
      </c>
      <c r="N80" s="45">
        <f t="shared" si="43"/>
        <v>14249.57</v>
      </c>
      <c r="O80" s="45">
        <f t="shared" si="43"/>
        <v>14249.57</v>
      </c>
      <c r="P80" s="45">
        <f t="shared" si="43"/>
        <v>14249.57</v>
      </c>
      <c r="Q80" s="45">
        <v>14249.57</v>
      </c>
      <c r="R80" s="45">
        <v>14249.57</v>
      </c>
      <c r="S80" s="45">
        <v>14249.57</v>
      </c>
      <c r="T80" s="45">
        <v>16903</v>
      </c>
      <c r="U80" s="45">
        <v>16903</v>
      </c>
      <c r="V80" s="45">
        <v>16903</v>
      </c>
      <c r="W80" s="45">
        <v>16903</v>
      </c>
      <c r="X80" s="45">
        <v>16903</v>
      </c>
      <c r="Y80" s="45">
        <v>16903</v>
      </c>
      <c r="Z80" s="45">
        <v>19893</v>
      </c>
      <c r="AA80" s="45">
        <v>16903</v>
      </c>
      <c r="AB80" s="45">
        <v>16903</v>
      </c>
      <c r="AD80" s="50">
        <f t="shared" si="39"/>
        <v>28782.059999999998</v>
      </c>
      <c r="AE80" s="50">
        <f t="shared" si="39"/>
        <v>48498.71</v>
      </c>
      <c r="AF80" s="50">
        <f t="shared" si="39"/>
        <v>42748.71</v>
      </c>
      <c r="AG80" s="50">
        <f t="shared" si="39"/>
        <v>42748.71</v>
      </c>
      <c r="AH80" s="50">
        <f t="shared" si="39"/>
        <v>42748.71</v>
      </c>
      <c r="AI80" s="50">
        <f t="shared" si="39"/>
        <v>50709</v>
      </c>
      <c r="AJ80" s="50">
        <f t="shared" si="39"/>
        <v>50709</v>
      </c>
      <c r="AK80" s="50">
        <f t="shared" si="39"/>
        <v>53699</v>
      </c>
      <c r="AL80" s="53"/>
      <c r="AM80" s="50">
        <f t="shared" si="40"/>
        <v>162778.19000000003</v>
      </c>
      <c r="AN80" s="50">
        <f t="shared" si="40"/>
        <v>197865.71</v>
      </c>
    </row>
    <row r="81" spans="1:40" outlineLevel="1" x14ac:dyDescent="0.2">
      <c r="A81" s="37" t="s">
        <v>373</v>
      </c>
      <c r="B81" s="77" t="s">
        <v>374</v>
      </c>
      <c r="C81" s="77"/>
      <c r="D81" s="77"/>
      <c r="E81" s="44">
        <f>0</f>
        <v>0</v>
      </c>
      <c r="F81" s="45">
        <f>8.58</f>
        <v>8.58</v>
      </c>
      <c r="G81" s="44">
        <f>0</f>
        <v>0</v>
      </c>
      <c r="H81" s="45">
        <f>293.15</f>
        <v>293.14999999999998</v>
      </c>
      <c r="I81" s="45">
        <f>347.99</f>
        <v>347.99</v>
      </c>
      <c r="J81" s="45">
        <f>365.99</f>
        <v>365.99</v>
      </c>
      <c r="K81" s="44">
        <f>0</f>
        <v>0</v>
      </c>
      <c r="L81" s="45">
        <f>63.94</f>
        <v>63.94</v>
      </c>
      <c r="M81" s="45">
        <f>135.06</f>
        <v>135.06</v>
      </c>
      <c r="N81" s="45">
        <f>837.46</f>
        <v>837.46</v>
      </c>
      <c r="O81" s="45">
        <f>9.75</f>
        <v>9.75</v>
      </c>
      <c r="P81" s="45">
        <f>143.82</f>
        <v>143.82</v>
      </c>
      <c r="Q81" s="45">
        <v>75.95</v>
      </c>
      <c r="R81" s="45">
        <v>58.84</v>
      </c>
      <c r="S81" s="45">
        <v>886.66</v>
      </c>
      <c r="T81" s="45">
        <v>297</v>
      </c>
      <c r="U81" s="45">
        <v>209</v>
      </c>
      <c r="V81" s="45">
        <v>603</v>
      </c>
      <c r="W81" s="45">
        <v>37</v>
      </c>
      <c r="X81" s="45">
        <v>1889</v>
      </c>
      <c r="Y81" s="45">
        <v>568</v>
      </c>
      <c r="Z81" s="45">
        <v>306</v>
      </c>
      <c r="AA81" s="45">
        <v>1546</v>
      </c>
      <c r="AB81" s="45">
        <v>770</v>
      </c>
      <c r="AD81" s="50">
        <f t="shared" si="39"/>
        <v>8.58</v>
      </c>
      <c r="AE81" s="50">
        <f t="shared" si="39"/>
        <v>1007.13</v>
      </c>
      <c r="AF81" s="50">
        <f t="shared" si="39"/>
        <v>199</v>
      </c>
      <c r="AG81" s="50">
        <f t="shared" si="39"/>
        <v>991.03</v>
      </c>
      <c r="AH81" s="50">
        <f t="shared" si="39"/>
        <v>1021.45</v>
      </c>
      <c r="AI81" s="50">
        <f t="shared" si="39"/>
        <v>1109</v>
      </c>
      <c r="AJ81" s="50">
        <f t="shared" si="39"/>
        <v>2494</v>
      </c>
      <c r="AK81" s="50">
        <f t="shared" si="39"/>
        <v>2622</v>
      </c>
      <c r="AL81" s="53"/>
      <c r="AM81" s="50">
        <f t="shared" si="40"/>
        <v>2205.7400000000002</v>
      </c>
      <c r="AN81" s="50">
        <f t="shared" si="40"/>
        <v>7246.45</v>
      </c>
    </row>
    <row r="82" spans="1:40" outlineLevel="1" x14ac:dyDescent="0.2">
      <c r="A82" s="37" t="s">
        <v>375</v>
      </c>
      <c r="B82" s="77" t="s">
        <v>376</v>
      </c>
      <c r="C82" s="77"/>
      <c r="D82" s="77"/>
      <c r="E82" s="45">
        <f>326.95</f>
        <v>326.95</v>
      </c>
      <c r="F82" s="45">
        <f>34.95</f>
        <v>34.950000000000003</v>
      </c>
      <c r="G82" s="45">
        <f>29.95</f>
        <v>29.95</v>
      </c>
      <c r="H82" s="45">
        <f>29.95</f>
        <v>29.95</v>
      </c>
      <c r="I82" s="45">
        <f>2442.05</f>
        <v>2442.0500000000002</v>
      </c>
      <c r="J82" s="45">
        <f>1808.23</f>
        <v>1808.23</v>
      </c>
      <c r="K82" s="45">
        <f>3123.33</f>
        <v>3123.33</v>
      </c>
      <c r="L82" s="45">
        <f>2924.64</f>
        <v>2924.64</v>
      </c>
      <c r="M82" s="45">
        <f>2738.17</f>
        <v>2738.17</v>
      </c>
      <c r="N82" s="45">
        <f>2458.89</f>
        <v>2458.89</v>
      </c>
      <c r="O82" s="45">
        <f>1718.92</f>
        <v>1718.92</v>
      </c>
      <c r="P82" s="45">
        <f>1531.97</f>
        <v>1531.97</v>
      </c>
      <c r="Q82" s="44">
        <f>0</f>
        <v>0</v>
      </c>
      <c r="R82" s="44">
        <f>0</f>
        <v>0</v>
      </c>
      <c r="S82" s="44">
        <f>0</f>
        <v>0</v>
      </c>
      <c r="T82" s="44">
        <f>0</f>
        <v>0</v>
      </c>
      <c r="U82" s="44">
        <f>0</f>
        <v>0</v>
      </c>
      <c r="V82" s="44">
        <f>0</f>
        <v>0</v>
      </c>
      <c r="W82" s="44">
        <f>0</f>
        <v>0</v>
      </c>
      <c r="X82" s="44">
        <f>0</f>
        <v>0</v>
      </c>
      <c r="Y82" s="44">
        <f>0</f>
        <v>0</v>
      </c>
      <c r="Z82" s="44">
        <f>0</f>
        <v>0</v>
      </c>
      <c r="AA82" s="44">
        <f>0</f>
        <v>0</v>
      </c>
      <c r="AB82" s="44">
        <f>0</f>
        <v>0</v>
      </c>
      <c r="AD82" s="50">
        <f t="shared" si="39"/>
        <v>391.84999999999997</v>
      </c>
      <c r="AE82" s="50">
        <f t="shared" si="39"/>
        <v>4280.2299999999996</v>
      </c>
      <c r="AF82" s="50">
        <f t="shared" si="39"/>
        <v>8786.14</v>
      </c>
      <c r="AG82" s="50">
        <f t="shared" si="39"/>
        <v>5709.78</v>
      </c>
      <c r="AH82" s="50">
        <f t="shared" si="39"/>
        <v>0</v>
      </c>
      <c r="AI82" s="50">
        <f t="shared" si="39"/>
        <v>0</v>
      </c>
      <c r="AJ82" s="50">
        <f t="shared" si="39"/>
        <v>0</v>
      </c>
      <c r="AK82" s="50">
        <f t="shared" si="39"/>
        <v>0</v>
      </c>
      <c r="AL82" s="53"/>
      <c r="AM82" s="50">
        <f t="shared" si="40"/>
        <v>19168</v>
      </c>
      <c r="AN82" s="50">
        <f t="shared" si="40"/>
        <v>0</v>
      </c>
    </row>
    <row r="83" spans="1:40" outlineLevel="1" x14ac:dyDescent="0.2">
      <c r="A83" s="37" t="s">
        <v>377</v>
      </c>
      <c r="B83" s="77">
        <v>6954</v>
      </c>
      <c r="C83" s="77"/>
      <c r="D83" s="77"/>
      <c r="E83" s="44">
        <f>0</f>
        <v>0</v>
      </c>
      <c r="F83" s="44">
        <f>0</f>
        <v>0</v>
      </c>
      <c r="G83" s="44">
        <f>0</f>
        <v>0</v>
      </c>
      <c r="H83" s="44">
        <f>0</f>
        <v>0</v>
      </c>
      <c r="I83" s="44">
        <f>0</f>
        <v>0</v>
      </c>
      <c r="J83" s="44">
        <f>0</f>
        <v>0</v>
      </c>
      <c r="K83" s="45">
        <f>73.44</f>
        <v>73.44</v>
      </c>
      <c r="L83" s="44">
        <f>0</f>
        <v>0</v>
      </c>
      <c r="M83" s="44">
        <f>0</f>
        <v>0</v>
      </c>
      <c r="N83" s="44">
        <f>0</f>
        <v>0</v>
      </c>
      <c r="O83" s="45">
        <f>34.59</f>
        <v>34.590000000000003</v>
      </c>
      <c r="P83" s="44">
        <f>0</f>
        <v>0</v>
      </c>
      <c r="Q83" s="44">
        <f>0</f>
        <v>0</v>
      </c>
      <c r="R83" s="44">
        <f>0</f>
        <v>0</v>
      </c>
      <c r="S83" s="44">
        <f>0</f>
        <v>0</v>
      </c>
      <c r="T83" s="44">
        <v>0</v>
      </c>
      <c r="U83" s="44">
        <v>0</v>
      </c>
      <c r="V83" s="44">
        <v>0</v>
      </c>
      <c r="W83" s="44">
        <v>0</v>
      </c>
      <c r="X83" s="44">
        <v>798</v>
      </c>
      <c r="Y83" s="44">
        <v>0</v>
      </c>
      <c r="Z83" s="44">
        <v>0</v>
      </c>
      <c r="AA83" s="44">
        <v>0</v>
      </c>
      <c r="AB83" s="44">
        <v>0</v>
      </c>
      <c r="AD83" s="48">
        <f t="shared" si="39"/>
        <v>0</v>
      </c>
      <c r="AE83" s="48">
        <f t="shared" si="39"/>
        <v>0</v>
      </c>
      <c r="AF83" s="48">
        <f t="shared" si="39"/>
        <v>73.44</v>
      </c>
      <c r="AG83" s="48">
        <f t="shared" si="39"/>
        <v>34.590000000000003</v>
      </c>
      <c r="AH83" s="48">
        <f t="shared" si="39"/>
        <v>0</v>
      </c>
      <c r="AI83" s="48">
        <f t="shared" si="39"/>
        <v>0</v>
      </c>
      <c r="AJ83" s="48">
        <f t="shared" si="39"/>
        <v>798</v>
      </c>
      <c r="AK83" s="48">
        <f t="shared" si="39"/>
        <v>0</v>
      </c>
      <c r="AL83" s="53"/>
      <c r="AM83" s="48">
        <f t="shared" si="40"/>
        <v>108.03</v>
      </c>
      <c r="AN83" s="48">
        <f t="shared" si="40"/>
        <v>798</v>
      </c>
    </row>
    <row r="84" spans="1:40" outlineLevel="1" x14ac:dyDescent="0.2">
      <c r="A84" s="37" t="s">
        <v>378</v>
      </c>
      <c r="B84" s="77">
        <v>6955</v>
      </c>
      <c r="C84" s="77"/>
      <c r="D84" s="77"/>
      <c r="E84" s="45">
        <f>5031.72</f>
        <v>5031.72</v>
      </c>
      <c r="F84" s="45">
        <f>5031.72</f>
        <v>5031.72</v>
      </c>
      <c r="G84" s="45">
        <f>7200</f>
        <v>7200</v>
      </c>
      <c r="H84" s="45">
        <f>5035</f>
        <v>5035</v>
      </c>
      <c r="I84" s="44">
        <f>0</f>
        <v>0</v>
      </c>
      <c r="J84" s="44">
        <f>0</f>
        <v>0</v>
      </c>
      <c r="K84" s="44">
        <f>0</f>
        <v>0</v>
      </c>
      <c r="L84" s="44">
        <f>0</f>
        <v>0</v>
      </c>
      <c r="M84" s="44">
        <f>0</f>
        <v>0</v>
      </c>
      <c r="N84" s="44">
        <f>0</f>
        <v>0</v>
      </c>
      <c r="O84" s="44">
        <f>0</f>
        <v>0</v>
      </c>
      <c r="P84" s="44">
        <f>0</f>
        <v>0</v>
      </c>
      <c r="Q84" s="44">
        <v>1239.93</v>
      </c>
      <c r="R84" s="44">
        <v>1099.81</v>
      </c>
      <c r="S84" s="44">
        <v>15.64</v>
      </c>
      <c r="T84" s="45">
        <v>0</v>
      </c>
      <c r="U84" s="45">
        <v>231</v>
      </c>
      <c r="V84" s="45">
        <v>213</v>
      </c>
      <c r="W84" s="45">
        <v>258</v>
      </c>
      <c r="X84" s="45">
        <v>278</v>
      </c>
      <c r="Y84" s="45">
        <v>503</v>
      </c>
      <c r="Z84" s="45">
        <v>291</v>
      </c>
      <c r="AA84" s="45">
        <v>317</v>
      </c>
      <c r="AB84" s="45">
        <v>336</v>
      </c>
      <c r="AD84" s="48">
        <f t="shared" si="39"/>
        <v>17263.440000000002</v>
      </c>
      <c r="AE84" s="48">
        <f t="shared" si="39"/>
        <v>5035</v>
      </c>
      <c r="AF84" s="48">
        <f t="shared" si="39"/>
        <v>0</v>
      </c>
      <c r="AG84" s="48">
        <f t="shared" si="39"/>
        <v>0</v>
      </c>
      <c r="AH84" s="48">
        <f t="shared" si="39"/>
        <v>2355.3799999999997</v>
      </c>
      <c r="AI84" s="48">
        <f t="shared" si="39"/>
        <v>444</v>
      </c>
      <c r="AJ84" s="48">
        <f t="shared" si="39"/>
        <v>1039</v>
      </c>
      <c r="AK84" s="48">
        <f t="shared" si="39"/>
        <v>944</v>
      </c>
      <c r="AL84" s="53"/>
      <c r="AM84" s="48">
        <f t="shared" si="40"/>
        <v>22298.440000000002</v>
      </c>
      <c r="AN84" s="48">
        <f t="shared" si="40"/>
        <v>4782.3799999999992</v>
      </c>
    </row>
    <row r="85" spans="1:40" outlineLevel="1" x14ac:dyDescent="0.2">
      <c r="A85" s="37" t="s">
        <v>379</v>
      </c>
      <c r="B85" s="77" t="s">
        <v>380</v>
      </c>
      <c r="C85" s="77"/>
      <c r="D85" s="77"/>
      <c r="E85" s="45">
        <f>38.06</f>
        <v>38.06</v>
      </c>
      <c r="F85" s="45">
        <f>530.31</f>
        <v>530.30999999999995</v>
      </c>
      <c r="G85" s="45">
        <f>911.97</f>
        <v>911.97</v>
      </c>
      <c r="H85" s="45">
        <f>3345.22</f>
        <v>3345.22</v>
      </c>
      <c r="I85" s="45">
        <f>3710.8</f>
        <v>3710.8</v>
      </c>
      <c r="J85" s="45">
        <f>410.23</f>
        <v>410.23</v>
      </c>
      <c r="K85" s="45">
        <f>1767.51</f>
        <v>1767.51</v>
      </c>
      <c r="L85" s="45">
        <f>4496</f>
        <v>4496</v>
      </c>
      <c r="M85" s="45">
        <f>3723.73</f>
        <v>3723.73</v>
      </c>
      <c r="N85" s="45">
        <f>744.52</f>
        <v>744.52</v>
      </c>
      <c r="O85" s="45">
        <f>149.86</f>
        <v>149.86000000000001</v>
      </c>
      <c r="P85" s="45">
        <f>262.43</f>
        <v>262.43</v>
      </c>
      <c r="Q85" s="45">
        <v>1517.49</v>
      </c>
      <c r="R85" s="45">
        <v>527.66</v>
      </c>
      <c r="S85" s="45">
        <v>1649.5</v>
      </c>
      <c r="T85" s="44">
        <v>1606</v>
      </c>
      <c r="U85" s="44">
        <v>3425</v>
      </c>
      <c r="V85" s="44">
        <v>5735</v>
      </c>
      <c r="W85" s="44">
        <v>2782</v>
      </c>
      <c r="X85" s="44">
        <v>2498</v>
      </c>
      <c r="Y85" s="44">
        <v>8832</v>
      </c>
      <c r="Z85" s="44">
        <v>1963</v>
      </c>
      <c r="AA85" s="44">
        <v>-7464</v>
      </c>
      <c r="AB85" s="44">
        <v>1836</v>
      </c>
      <c r="AD85" s="50">
        <f t="shared" si="39"/>
        <v>1480.34</v>
      </c>
      <c r="AE85" s="50">
        <f t="shared" si="39"/>
        <v>7466.25</v>
      </c>
      <c r="AF85" s="50">
        <f t="shared" si="39"/>
        <v>9987.24</v>
      </c>
      <c r="AG85" s="50">
        <f t="shared" si="39"/>
        <v>1156.81</v>
      </c>
      <c r="AH85" s="50">
        <f t="shared" si="39"/>
        <v>3694.65</v>
      </c>
      <c r="AI85" s="50">
        <f t="shared" si="39"/>
        <v>10766</v>
      </c>
      <c r="AJ85" s="50">
        <f t="shared" si="39"/>
        <v>14112</v>
      </c>
      <c r="AK85" s="50">
        <f t="shared" si="39"/>
        <v>-3665</v>
      </c>
      <c r="AL85" s="53"/>
      <c r="AM85" s="50">
        <f t="shared" si="40"/>
        <v>20090.640000000003</v>
      </c>
      <c r="AN85" s="50">
        <f t="shared" si="40"/>
        <v>24907.65</v>
      </c>
    </row>
    <row r="86" spans="1:40" outlineLevel="1" x14ac:dyDescent="0.2">
      <c r="A86" s="37" t="s">
        <v>381</v>
      </c>
      <c r="B86" s="77" t="s">
        <v>382</v>
      </c>
      <c r="C86" s="77"/>
      <c r="D86" s="77"/>
      <c r="E86" s="45">
        <f>386.96</f>
        <v>386.96</v>
      </c>
      <c r="F86" s="45">
        <f>759.18</f>
        <v>759.18</v>
      </c>
      <c r="G86" s="45">
        <f>867.85</f>
        <v>867.85</v>
      </c>
      <c r="H86" s="45">
        <f>550.53</f>
        <v>550.53</v>
      </c>
      <c r="I86" s="45">
        <f>959.61</f>
        <v>959.61</v>
      </c>
      <c r="J86" s="45">
        <f>968.62</f>
        <v>968.62</v>
      </c>
      <c r="K86" s="45">
        <f>885.73</f>
        <v>885.73</v>
      </c>
      <c r="L86" s="45">
        <f>1050.37</f>
        <v>1050.3699999999999</v>
      </c>
      <c r="M86" s="45">
        <f>676.86</f>
        <v>676.86</v>
      </c>
      <c r="N86" s="45">
        <f>443.17</f>
        <v>443.17</v>
      </c>
      <c r="O86" s="45">
        <f>1594.95</f>
        <v>1594.95</v>
      </c>
      <c r="P86" s="45">
        <f>1037.65</f>
        <v>1037.6500000000001</v>
      </c>
      <c r="Q86" s="45">
        <v>353.56</v>
      </c>
      <c r="R86" s="45">
        <v>1307.53</v>
      </c>
      <c r="S86" s="45">
        <v>685.67</v>
      </c>
      <c r="T86" s="45">
        <v>1062</v>
      </c>
      <c r="U86" s="45">
        <v>922</v>
      </c>
      <c r="V86" s="45">
        <v>2001</v>
      </c>
      <c r="W86" s="45">
        <v>654</v>
      </c>
      <c r="X86" s="45">
        <v>1182</v>
      </c>
      <c r="Y86" s="45">
        <v>1337</v>
      </c>
      <c r="Z86" s="45">
        <v>2626</v>
      </c>
      <c r="AA86" s="45">
        <v>1361</v>
      </c>
      <c r="AB86" s="45">
        <v>5240</v>
      </c>
      <c r="AD86" s="50">
        <f t="shared" ref="AD86:AK95" si="44">SUMIFS($E86:$AB86,$E$6:$AB$6,AD$5)</f>
        <v>2013.9899999999998</v>
      </c>
      <c r="AE86" s="50">
        <f t="shared" si="44"/>
        <v>2478.7599999999998</v>
      </c>
      <c r="AF86" s="50">
        <f t="shared" si="44"/>
        <v>2612.96</v>
      </c>
      <c r="AG86" s="50">
        <f t="shared" si="44"/>
        <v>3075.7700000000004</v>
      </c>
      <c r="AH86" s="50">
        <f t="shared" si="44"/>
        <v>2346.7599999999998</v>
      </c>
      <c r="AI86" s="50">
        <f t="shared" si="44"/>
        <v>3985</v>
      </c>
      <c r="AJ86" s="50">
        <f t="shared" si="44"/>
        <v>3173</v>
      </c>
      <c r="AK86" s="50">
        <f t="shared" si="44"/>
        <v>9227</v>
      </c>
      <c r="AL86" s="53"/>
      <c r="AM86" s="50">
        <f t="shared" si="40"/>
        <v>10181.48</v>
      </c>
      <c r="AN86" s="50">
        <f t="shared" si="40"/>
        <v>18731.760000000002</v>
      </c>
    </row>
    <row r="87" spans="1:40" x14ac:dyDescent="0.2">
      <c r="A87" s="3" t="s">
        <v>383</v>
      </c>
      <c r="B87" s="77" t="s">
        <v>370</v>
      </c>
      <c r="C87" s="77" t="s">
        <v>161</v>
      </c>
      <c r="D87" s="77"/>
      <c r="E87" s="13">
        <f t="shared" ref="E87:P87" si="45">(((((((E79)+(E80))+(E81))+(E82))+(E83))+(E84))+(E85))+(E86)</f>
        <v>13533.689999999999</v>
      </c>
      <c r="F87" s="13">
        <f t="shared" si="45"/>
        <v>14114.74</v>
      </c>
      <c r="G87" s="13">
        <f t="shared" si="45"/>
        <v>22291.83</v>
      </c>
      <c r="H87" s="13">
        <f t="shared" si="45"/>
        <v>29253.420000000002</v>
      </c>
      <c r="I87" s="13">
        <f t="shared" si="45"/>
        <v>21710.02</v>
      </c>
      <c r="J87" s="13">
        <f t="shared" si="45"/>
        <v>17802.64</v>
      </c>
      <c r="K87" s="13">
        <f t="shared" si="45"/>
        <v>20099.579999999998</v>
      </c>
      <c r="L87" s="13">
        <f t="shared" si="45"/>
        <v>22784.52</v>
      </c>
      <c r="M87" s="13">
        <f t="shared" si="45"/>
        <v>21523.39</v>
      </c>
      <c r="N87" s="13">
        <f t="shared" si="45"/>
        <v>18733.609999999997</v>
      </c>
      <c r="O87" s="13">
        <f t="shared" si="45"/>
        <v>17757.64</v>
      </c>
      <c r="P87" s="13">
        <f t="shared" si="45"/>
        <v>17225.439999999999</v>
      </c>
      <c r="Q87" s="13">
        <v>17436.5</v>
      </c>
      <c r="R87" s="13">
        <v>17243.41</v>
      </c>
      <c r="S87" s="13">
        <v>17487.04</v>
      </c>
      <c r="T87" s="13">
        <v>19869</v>
      </c>
      <c r="U87" s="13">
        <v>21690</v>
      </c>
      <c r="V87" s="13">
        <v>25455</v>
      </c>
      <c r="W87" s="13">
        <v>20633</v>
      </c>
      <c r="X87" s="13">
        <v>23548</v>
      </c>
      <c r="Y87" s="13">
        <v>28143</v>
      </c>
      <c r="Z87" s="13">
        <v>25080</v>
      </c>
      <c r="AA87" s="13">
        <v>12664</v>
      </c>
      <c r="AB87" s="13">
        <v>25085</v>
      </c>
      <c r="AD87" s="49">
        <f t="shared" si="44"/>
        <v>49940.26</v>
      </c>
      <c r="AE87" s="49">
        <f t="shared" si="44"/>
        <v>68766.080000000002</v>
      </c>
      <c r="AF87" s="49">
        <f t="shared" si="44"/>
        <v>64407.49</v>
      </c>
      <c r="AG87" s="49">
        <f t="shared" si="44"/>
        <v>53716.69</v>
      </c>
      <c r="AH87" s="49">
        <f t="shared" si="44"/>
        <v>52166.950000000004</v>
      </c>
      <c r="AI87" s="49">
        <f t="shared" si="44"/>
        <v>67014</v>
      </c>
      <c r="AJ87" s="49">
        <f t="shared" si="44"/>
        <v>72324</v>
      </c>
      <c r="AK87" s="49">
        <f t="shared" si="44"/>
        <v>62829</v>
      </c>
      <c r="AL87" s="53"/>
      <c r="AM87" s="49">
        <f t="shared" si="40"/>
        <v>236830.52000000002</v>
      </c>
      <c r="AN87" s="49">
        <f t="shared" si="40"/>
        <v>254333.95</v>
      </c>
    </row>
    <row r="88" spans="1:40" outlineLevel="1" x14ac:dyDescent="0.2">
      <c r="A88" s="37" t="s">
        <v>384</v>
      </c>
      <c r="B88" s="77" t="s">
        <v>385</v>
      </c>
      <c r="C88" s="77" t="s">
        <v>165</v>
      </c>
      <c r="D88" s="77"/>
      <c r="E88" s="44">
        <f>0</f>
        <v>0</v>
      </c>
      <c r="F88" s="44">
        <f>0</f>
        <v>0</v>
      </c>
      <c r="G88" s="44">
        <f>0</f>
        <v>0</v>
      </c>
      <c r="H88" s="44">
        <f>0</f>
        <v>0</v>
      </c>
      <c r="I88" s="44">
        <f>0</f>
        <v>0</v>
      </c>
      <c r="J88" s="44">
        <f>0</f>
        <v>0</v>
      </c>
      <c r="K88" s="44">
        <f>0</f>
        <v>0</v>
      </c>
      <c r="L88" s="44">
        <f>0</f>
        <v>0</v>
      </c>
      <c r="M88" s="44">
        <f>0</f>
        <v>0</v>
      </c>
      <c r="N88" s="44">
        <f>0</f>
        <v>0</v>
      </c>
      <c r="O88" s="44">
        <f>0</f>
        <v>0</v>
      </c>
      <c r="P88" s="44">
        <f>0</f>
        <v>0</v>
      </c>
      <c r="Q88" s="44">
        <f>0</f>
        <v>0</v>
      </c>
      <c r="R88" s="44">
        <f>0</f>
        <v>0</v>
      </c>
      <c r="S88" s="44">
        <f>0</f>
        <v>0</v>
      </c>
      <c r="T88" s="44">
        <f>0</f>
        <v>0</v>
      </c>
      <c r="U88" s="44">
        <f>0</f>
        <v>0</v>
      </c>
      <c r="V88" s="44">
        <f>0</f>
        <v>0</v>
      </c>
      <c r="W88" s="44">
        <f>0</f>
        <v>0</v>
      </c>
      <c r="X88" s="44">
        <f>0</f>
        <v>0</v>
      </c>
      <c r="Y88" s="44">
        <f>0</f>
        <v>0</v>
      </c>
      <c r="Z88" s="44">
        <f>0</f>
        <v>0</v>
      </c>
      <c r="AA88" s="44">
        <f>0</f>
        <v>0</v>
      </c>
      <c r="AB88" s="44">
        <f>0</f>
        <v>0</v>
      </c>
      <c r="AD88" s="48">
        <f t="shared" si="44"/>
        <v>0</v>
      </c>
      <c r="AE88" s="48">
        <f t="shared" si="44"/>
        <v>0</v>
      </c>
      <c r="AF88" s="48">
        <f t="shared" si="44"/>
        <v>0</v>
      </c>
      <c r="AG88" s="48">
        <f t="shared" si="44"/>
        <v>0</v>
      </c>
      <c r="AH88" s="48">
        <f t="shared" si="44"/>
        <v>0</v>
      </c>
      <c r="AI88" s="48">
        <f t="shared" si="44"/>
        <v>0</v>
      </c>
      <c r="AJ88" s="48">
        <f t="shared" si="44"/>
        <v>0</v>
      </c>
      <c r="AK88" s="48">
        <f t="shared" si="44"/>
        <v>0</v>
      </c>
      <c r="AL88" s="53"/>
      <c r="AM88" s="48">
        <f t="shared" si="40"/>
        <v>0</v>
      </c>
      <c r="AN88" s="48">
        <f t="shared" si="40"/>
        <v>0</v>
      </c>
    </row>
    <row r="89" spans="1:40" outlineLevel="1" x14ac:dyDescent="0.2">
      <c r="A89" s="37" t="s">
        <v>386</v>
      </c>
      <c r="B89" s="77" t="s">
        <v>387</v>
      </c>
      <c r="C89" s="77" t="s">
        <v>165</v>
      </c>
      <c r="D89" s="77"/>
      <c r="E89" s="45">
        <f>11062.5</f>
        <v>11062.5</v>
      </c>
      <c r="F89" s="45">
        <f>8186.58</f>
        <v>8186.58</v>
      </c>
      <c r="G89" s="44">
        <f>0</f>
        <v>0</v>
      </c>
      <c r="H89" s="45">
        <f>16350</f>
        <v>16350</v>
      </c>
      <c r="I89" s="44">
        <f>0</f>
        <v>0</v>
      </c>
      <c r="J89" s="44">
        <f>0</f>
        <v>0</v>
      </c>
      <c r="K89" s="44">
        <f>0</f>
        <v>0</v>
      </c>
      <c r="L89" s="44">
        <f>0</f>
        <v>0</v>
      </c>
      <c r="M89" s="44">
        <f>0</f>
        <v>0</v>
      </c>
      <c r="N89" s="44">
        <f>0</f>
        <v>0</v>
      </c>
      <c r="O89" s="44">
        <f>0</f>
        <v>0</v>
      </c>
      <c r="P89" s="44">
        <f>0</f>
        <v>0</v>
      </c>
      <c r="Q89" s="44">
        <f>0</f>
        <v>0</v>
      </c>
      <c r="R89" s="44">
        <f>0</f>
        <v>0</v>
      </c>
      <c r="S89" s="44">
        <f>0</f>
        <v>0</v>
      </c>
      <c r="T89" s="44">
        <f>0</f>
        <v>0</v>
      </c>
      <c r="U89" s="44">
        <f>0</f>
        <v>0</v>
      </c>
      <c r="V89" s="44">
        <f>0</f>
        <v>0</v>
      </c>
      <c r="W89" s="44">
        <f>0</f>
        <v>0</v>
      </c>
      <c r="X89" s="44">
        <f>0</f>
        <v>0</v>
      </c>
      <c r="Y89" s="44">
        <f>0</f>
        <v>0</v>
      </c>
      <c r="Z89" s="44">
        <f>0</f>
        <v>0</v>
      </c>
      <c r="AA89" s="44">
        <f>0</f>
        <v>0</v>
      </c>
      <c r="AB89" s="44">
        <f>0</f>
        <v>0</v>
      </c>
      <c r="AD89" s="48">
        <f t="shared" si="44"/>
        <v>19249.080000000002</v>
      </c>
      <c r="AE89" s="48">
        <f t="shared" si="44"/>
        <v>16350</v>
      </c>
      <c r="AF89" s="48">
        <f t="shared" si="44"/>
        <v>0</v>
      </c>
      <c r="AG89" s="48">
        <f t="shared" si="44"/>
        <v>0</v>
      </c>
      <c r="AH89" s="48">
        <f t="shared" si="44"/>
        <v>0</v>
      </c>
      <c r="AI89" s="48">
        <f t="shared" si="44"/>
        <v>0</v>
      </c>
      <c r="AJ89" s="48">
        <f t="shared" si="44"/>
        <v>0</v>
      </c>
      <c r="AK89" s="48">
        <f t="shared" si="44"/>
        <v>0</v>
      </c>
      <c r="AL89" s="53"/>
      <c r="AM89" s="48">
        <f t="shared" si="40"/>
        <v>35599.08</v>
      </c>
      <c r="AN89" s="48">
        <f t="shared" si="40"/>
        <v>0</v>
      </c>
    </row>
    <row r="90" spans="1:40" outlineLevel="1" x14ac:dyDescent="0.2">
      <c r="A90" s="37" t="s">
        <v>388</v>
      </c>
      <c r="B90" s="77" t="s">
        <v>389</v>
      </c>
      <c r="C90" s="77" t="s">
        <v>165</v>
      </c>
      <c r="D90" s="77"/>
      <c r="E90" s="45">
        <f>59970</f>
        <v>59970</v>
      </c>
      <c r="F90" s="44">
        <f>0</f>
        <v>0</v>
      </c>
      <c r="G90" s="44">
        <f>0</f>
        <v>0</v>
      </c>
      <c r="H90" s="45">
        <f>11323.84</f>
        <v>11323.84</v>
      </c>
      <c r="I90" s="44">
        <f>0</f>
        <v>0</v>
      </c>
      <c r="J90" s="44">
        <f>0</f>
        <v>0</v>
      </c>
      <c r="K90" s="44">
        <f>0</f>
        <v>0</v>
      </c>
      <c r="L90" s="44">
        <f>0</f>
        <v>0</v>
      </c>
      <c r="M90" s="44">
        <f>0</f>
        <v>0</v>
      </c>
      <c r="N90" s="44">
        <f>0</f>
        <v>0</v>
      </c>
      <c r="O90" s="44">
        <f>0</f>
        <v>0</v>
      </c>
      <c r="P90" s="44">
        <f>0</f>
        <v>0</v>
      </c>
      <c r="Q90" s="44">
        <f>0</f>
        <v>0</v>
      </c>
      <c r="R90" s="44">
        <f>0</f>
        <v>0</v>
      </c>
      <c r="S90" s="44">
        <f>0</f>
        <v>0</v>
      </c>
      <c r="T90" s="44">
        <f>0</f>
        <v>0</v>
      </c>
      <c r="U90" s="44">
        <f>0</f>
        <v>0</v>
      </c>
      <c r="V90" s="44">
        <f>0</f>
        <v>0</v>
      </c>
      <c r="W90" s="44">
        <f>0</f>
        <v>0</v>
      </c>
      <c r="X90" s="44">
        <f>0</f>
        <v>0</v>
      </c>
      <c r="Y90" s="44">
        <f>0</f>
        <v>0</v>
      </c>
      <c r="Z90" s="44">
        <f>0</f>
        <v>0</v>
      </c>
      <c r="AA90" s="44">
        <f>0</f>
        <v>0</v>
      </c>
      <c r="AB90" s="44">
        <f>0</f>
        <v>0</v>
      </c>
      <c r="AD90" s="48">
        <f t="shared" si="44"/>
        <v>59970</v>
      </c>
      <c r="AE90" s="48">
        <f t="shared" si="44"/>
        <v>11323.84</v>
      </c>
      <c r="AF90" s="48">
        <f t="shared" si="44"/>
        <v>0</v>
      </c>
      <c r="AG90" s="48">
        <f t="shared" si="44"/>
        <v>0</v>
      </c>
      <c r="AH90" s="48">
        <f t="shared" si="44"/>
        <v>0</v>
      </c>
      <c r="AI90" s="48">
        <f t="shared" si="44"/>
        <v>0</v>
      </c>
      <c r="AJ90" s="48">
        <f t="shared" si="44"/>
        <v>0</v>
      </c>
      <c r="AK90" s="48">
        <f t="shared" si="44"/>
        <v>0</v>
      </c>
      <c r="AL90" s="53"/>
      <c r="AM90" s="48">
        <f t="shared" si="40"/>
        <v>71293.84</v>
      </c>
      <c r="AN90" s="48">
        <f t="shared" si="40"/>
        <v>0</v>
      </c>
    </row>
    <row r="91" spans="1:40" outlineLevel="1" x14ac:dyDescent="0.2">
      <c r="A91" s="37" t="s">
        <v>390</v>
      </c>
      <c r="B91" s="77" t="s">
        <v>391</v>
      </c>
      <c r="C91" s="77" t="s">
        <v>165</v>
      </c>
      <c r="D91" s="77"/>
      <c r="E91" s="45">
        <f>54857</f>
        <v>54857</v>
      </c>
      <c r="F91" s="45">
        <f>-2698.17</f>
        <v>-2698.17</v>
      </c>
      <c r="G91" s="44">
        <f>0</f>
        <v>0</v>
      </c>
      <c r="H91" s="45">
        <f>-8221.33</f>
        <v>-8221.33</v>
      </c>
      <c r="I91" s="44">
        <f>0</f>
        <v>0</v>
      </c>
      <c r="J91" s="44">
        <f>0</f>
        <v>0</v>
      </c>
      <c r="K91" s="44">
        <f>0</f>
        <v>0</v>
      </c>
      <c r="L91" s="44">
        <f>0</f>
        <v>0</v>
      </c>
      <c r="M91" s="44">
        <f>0</f>
        <v>0</v>
      </c>
      <c r="N91" s="44">
        <f>0</f>
        <v>0</v>
      </c>
      <c r="O91" s="44">
        <f>0</f>
        <v>0</v>
      </c>
      <c r="P91" s="44">
        <f>0</f>
        <v>0</v>
      </c>
      <c r="Q91" s="44">
        <f>0</f>
        <v>0</v>
      </c>
      <c r="R91" s="44">
        <f>0</f>
        <v>0</v>
      </c>
      <c r="S91" s="44">
        <f>0</f>
        <v>0</v>
      </c>
      <c r="T91" s="44">
        <f>0</f>
        <v>0</v>
      </c>
      <c r="U91" s="44">
        <f>0</f>
        <v>0</v>
      </c>
      <c r="V91" s="44">
        <f>0</f>
        <v>0</v>
      </c>
      <c r="W91" s="44">
        <f>0</f>
        <v>0</v>
      </c>
      <c r="X91" s="44">
        <f>0</f>
        <v>0</v>
      </c>
      <c r="Y91" s="44">
        <f>0</f>
        <v>0</v>
      </c>
      <c r="Z91" s="44">
        <f>0</f>
        <v>0</v>
      </c>
      <c r="AA91" s="44">
        <f>0</f>
        <v>0</v>
      </c>
      <c r="AB91" s="44">
        <f>0</f>
        <v>0</v>
      </c>
      <c r="AD91" s="48">
        <f t="shared" si="44"/>
        <v>52158.83</v>
      </c>
      <c r="AE91" s="48">
        <f t="shared" si="44"/>
        <v>-8221.33</v>
      </c>
      <c r="AF91" s="48">
        <f t="shared" si="44"/>
        <v>0</v>
      </c>
      <c r="AG91" s="48">
        <f t="shared" si="44"/>
        <v>0</v>
      </c>
      <c r="AH91" s="48">
        <f t="shared" si="44"/>
        <v>0</v>
      </c>
      <c r="AI91" s="48">
        <f t="shared" si="44"/>
        <v>0</v>
      </c>
      <c r="AJ91" s="48">
        <f t="shared" si="44"/>
        <v>0</v>
      </c>
      <c r="AK91" s="48">
        <f t="shared" si="44"/>
        <v>0</v>
      </c>
      <c r="AL91" s="53"/>
      <c r="AM91" s="48">
        <f t="shared" si="40"/>
        <v>43937.5</v>
      </c>
      <c r="AN91" s="48">
        <f t="shared" si="40"/>
        <v>0</v>
      </c>
    </row>
    <row r="92" spans="1:40" outlineLevel="1" x14ac:dyDescent="0.2">
      <c r="A92" s="37" t="s">
        <v>392</v>
      </c>
      <c r="B92" s="77" t="s">
        <v>393</v>
      </c>
      <c r="C92" s="77" t="s">
        <v>165</v>
      </c>
      <c r="D92" s="77"/>
      <c r="E92" s="45">
        <f>1353.13</f>
        <v>1353.13</v>
      </c>
      <c r="F92" s="45">
        <f>18885.33</f>
        <v>18885.330000000002</v>
      </c>
      <c r="G92" s="44">
        <f>0</f>
        <v>0</v>
      </c>
      <c r="H92" s="45">
        <f>2150.94</f>
        <v>2150.94</v>
      </c>
      <c r="I92" s="45">
        <f>1281.65</f>
        <v>1281.6500000000001</v>
      </c>
      <c r="J92" s="45">
        <f>242734.98</f>
        <v>242734.98</v>
      </c>
      <c r="K92" s="45">
        <f>2751.04</f>
        <v>2751.04</v>
      </c>
      <c r="L92" s="44">
        <f>0</f>
        <v>0</v>
      </c>
      <c r="M92" s="44">
        <f>0</f>
        <v>0</v>
      </c>
      <c r="N92" s="44">
        <f>0</f>
        <v>0</v>
      </c>
      <c r="O92" s="44">
        <f>0</f>
        <v>0</v>
      </c>
      <c r="P92" s="44">
        <f>0</f>
        <v>0</v>
      </c>
      <c r="Q92" s="44">
        <f>0</f>
        <v>0</v>
      </c>
      <c r="R92" s="44">
        <f>0</f>
        <v>0</v>
      </c>
      <c r="S92" s="44">
        <f>0</f>
        <v>0</v>
      </c>
      <c r="T92" s="44">
        <f>0</f>
        <v>0</v>
      </c>
      <c r="U92" s="44">
        <f>0</f>
        <v>0</v>
      </c>
      <c r="V92" s="44">
        <f>0</f>
        <v>0</v>
      </c>
      <c r="W92" s="44">
        <f>0</f>
        <v>0</v>
      </c>
      <c r="X92" s="44">
        <f>0</f>
        <v>0</v>
      </c>
      <c r="Y92" s="44">
        <f>0</f>
        <v>0</v>
      </c>
      <c r="Z92" s="44">
        <f>0</f>
        <v>0</v>
      </c>
      <c r="AA92" s="44">
        <f>0</f>
        <v>0</v>
      </c>
      <c r="AB92" s="44">
        <f>0</f>
        <v>0</v>
      </c>
      <c r="AD92" s="48">
        <f t="shared" si="44"/>
        <v>20238.460000000003</v>
      </c>
      <c r="AE92" s="48">
        <f t="shared" si="44"/>
        <v>246167.57</v>
      </c>
      <c r="AF92" s="48">
        <f t="shared" si="44"/>
        <v>2751.04</v>
      </c>
      <c r="AG92" s="48">
        <f t="shared" si="44"/>
        <v>0</v>
      </c>
      <c r="AH92" s="48">
        <f t="shared" si="44"/>
        <v>0</v>
      </c>
      <c r="AI92" s="48">
        <f t="shared" si="44"/>
        <v>0</v>
      </c>
      <c r="AJ92" s="48">
        <f t="shared" si="44"/>
        <v>0</v>
      </c>
      <c r="AK92" s="48">
        <f t="shared" si="44"/>
        <v>0</v>
      </c>
      <c r="AL92" s="53"/>
      <c r="AM92" s="48">
        <f t="shared" si="40"/>
        <v>269157.07</v>
      </c>
      <c r="AN92" s="48">
        <f t="shared" si="40"/>
        <v>0</v>
      </c>
    </row>
    <row r="93" spans="1:40" outlineLevel="1" x14ac:dyDescent="0.2">
      <c r="A93" s="37" t="s">
        <v>394</v>
      </c>
      <c r="B93" s="77" t="s">
        <v>395</v>
      </c>
      <c r="C93" s="77" t="s">
        <v>167</v>
      </c>
      <c r="D93" s="77"/>
      <c r="E93" s="45">
        <f>8457.87</f>
        <v>8457.8700000000008</v>
      </c>
      <c r="F93" s="45">
        <f>16000</f>
        <v>16000</v>
      </c>
      <c r="G93" s="45">
        <f>480666.29</f>
        <v>480666.29</v>
      </c>
      <c r="H93" s="45">
        <f>276223.85</f>
        <v>276223.84999999998</v>
      </c>
      <c r="I93" s="45">
        <f>62380.33</f>
        <v>62380.33</v>
      </c>
      <c r="J93" s="45">
        <f>468607.3</f>
        <v>468607.3</v>
      </c>
      <c r="K93" s="45">
        <f>1198394.32</f>
        <v>1198394.32</v>
      </c>
      <c r="L93" s="45">
        <f>679388.08</f>
        <v>679388.08</v>
      </c>
      <c r="M93" s="45">
        <f>2153862.85</f>
        <v>2153862.85</v>
      </c>
      <c r="N93" s="45">
        <f>616524.14</f>
        <v>616524.14</v>
      </c>
      <c r="O93" s="45">
        <f>2031686.56</f>
        <v>2031686.56</v>
      </c>
      <c r="P93" s="45">
        <f>436952.2</f>
        <v>436952.2</v>
      </c>
      <c r="Q93" s="44">
        <v>347073</v>
      </c>
      <c r="R93" s="44">
        <v>342448</v>
      </c>
      <c r="S93" s="44">
        <v>2909601</v>
      </c>
      <c r="T93" s="229">
        <v>277435</v>
      </c>
      <c r="U93" s="229">
        <v>142917</v>
      </c>
      <c r="V93" s="229">
        <v>261931</v>
      </c>
      <c r="W93" s="229">
        <v>203249</v>
      </c>
      <c r="X93" s="229">
        <v>80887</v>
      </c>
      <c r="Y93" s="229">
        <v>300876</v>
      </c>
      <c r="Z93" s="229">
        <v>37022</v>
      </c>
      <c r="AA93" s="229">
        <v>372</v>
      </c>
      <c r="AB93" s="229">
        <v>297</v>
      </c>
      <c r="AD93" s="48">
        <f t="shared" si="44"/>
        <v>505124.16</v>
      </c>
      <c r="AE93" s="48">
        <f t="shared" si="44"/>
        <v>807211.48</v>
      </c>
      <c r="AF93" s="48">
        <f t="shared" si="44"/>
        <v>4031645.25</v>
      </c>
      <c r="AG93" s="48">
        <f t="shared" si="44"/>
        <v>3085162.9000000004</v>
      </c>
      <c r="AH93" s="48">
        <f t="shared" si="44"/>
        <v>3599122</v>
      </c>
      <c r="AI93" s="48">
        <f t="shared" si="44"/>
        <v>682283</v>
      </c>
      <c r="AJ93" s="48">
        <f t="shared" si="44"/>
        <v>585012</v>
      </c>
      <c r="AK93" s="48">
        <f t="shared" si="44"/>
        <v>37691</v>
      </c>
      <c r="AL93" s="53"/>
      <c r="AM93" s="48">
        <f t="shared" si="40"/>
        <v>8429143.7899999991</v>
      </c>
      <c r="AN93" s="48">
        <f t="shared" si="40"/>
        <v>4904108</v>
      </c>
    </row>
    <row r="94" spans="1:40" outlineLevel="1" x14ac:dyDescent="0.2">
      <c r="A94" s="37" t="s">
        <v>396</v>
      </c>
      <c r="B94" s="77" t="s">
        <v>397</v>
      </c>
      <c r="C94" s="77" t="s">
        <v>165</v>
      </c>
      <c r="D94" s="77"/>
      <c r="E94" s="45">
        <f>95.39</f>
        <v>95.39</v>
      </c>
      <c r="F94" s="45">
        <f>20121.72</f>
        <v>20121.72</v>
      </c>
      <c r="G94" s="45">
        <f>41897.28</f>
        <v>41897.279999999999</v>
      </c>
      <c r="H94" s="45">
        <f>47501.96</f>
        <v>47501.96</v>
      </c>
      <c r="I94" s="44">
        <f>0</f>
        <v>0</v>
      </c>
      <c r="J94" s="44">
        <f>0</f>
        <v>0</v>
      </c>
      <c r="K94" s="44">
        <f>0</f>
        <v>0</v>
      </c>
      <c r="L94" s="44">
        <f>0</f>
        <v>0</v>
      </c>
      <c r="M94" s="44">
        <f>0</f>
        <v>0</v>
      </c>
      <c r="N94" s="44">
        <f>0</f>
        <v>0</v>
      </c>
      <c r="O94" s="44">
        <f>0</f>
        <v>0</v>
      </c>
      <c r="P94" s="44">
        <f>0</f>
        <v>0</v>
      </c>
      <c r="Q94" s="44">
        <f>0</f>
        <v>0</v>
      </c>
      <c r="R94" s="44">
        <f>0</f>
        <v>0</v>
      </c>
      <c r="S94" s="44">
        <f>0</f>
        <v>0</v>
      </c>
      <c r="T94" s="44">
        <f>0</f>
        <v>0</v>
      </c>
      <c r="U94" s="44">
        <f>0</f>
        <v>0</v>
      </c>
      <c r="V94" s="44">
        <f>0</f>
        <v>0</v>
      </c>
      <c r="W94" s="44">
        <f>0</f>
        <v>0</v>
      </c>
      <c r="X94" s="44">
        <f>0</f>
        <v>0</v>
      </c>
      <c r="Y94" s="44">
        <f>0</f>
        <v>0</v>
      </c>
      <c r="Z94" s="44">
        <f>0</f>
        <v>0</v>
      </c>
      <c r="AA94" s="44">
        <f>0</f>
        <v>0</v>
      </c>
      <c r="AB94" s="44">
        <f>0</f>
        <v>0</v>
      </c>
      <c r="AD94" s="48">
        <f t="shared" si="44"/>
        <v>62114.39</v>
      </c>
      <c r="AE94" s="48">
        <f t="shared" si="44"/>
        <v>47501.96</v>
      </c>
      <c r="AF94" s="48">
        <f t="shared" si="44"/>
        <v>0</v>
      </c>
      <c r="AG94" s="48">
        <f t="shared" si="44"/>
        <v>0</v>
      </c>
      <c r="AH94" s="48">
        <f t="shared" si="44"/>
        <v>0</v>
      </c>
      <c r="AI94" s="48">
        <f t="shared" si="44"/>
        <v>0</v>
      </c>
      <c r="AJ94" s="48">
        <f t="shared" si="44"/>
        <v>0</v>
      </c>
      <c r="AK94" s="48">
        <f t="shared" si="44"/>
        <v>0</v>
      </c>
      <c r="AL94" s="53"/>
      <c r="AM94" s="48">
        <f t="shared" si="40"/>
        <v>109616.35</v>
      </c>
      <c r="AN94" s="48">
        <f t="shared" si="40"/>
        <v>0</v>
      </c>
    </row>
    <row r="95" spans="1:40" outlineLevel="1" x14ac:dyDescent="0.2">
      <c r="A95" s="37" t="s">
        <v>398</v>
      </c>
      <c r="B95" s="77" t="s">
        <v>399</v>
      </c>
      <c r="C95" s="77" t="s">
        <v>165</v>
      </c>
      <c r="D95" s="77"/>
      <c r="E95" s="44">
        <f>0</f>
        <v>0</v>
      </c>
      <c r="F95" s="45">
        <f>53325.67</f>
        <v>53325.67</v>
      </c>
      <c r="G95" s="44">
        <f>0</f>
        <v>0</v>
      </c>
      <c r="H95" s="45">
        <f>59011.33</f>
        <v>59011.33</v>
      </c>
      <c r="I95" s="45">
        <f>2312.5</f>
        <v>2312.5</v>
      </c>
      <c r="J95" s="44">
        <f>0</f>
        <v>0</v>
      </c>
      <c r="K95" s="45">
        <f>7500</f>
        <v>7500</v>
      </c>
      <c r="L95" s="45">
        <f>24750</f>
        <v>24750</v>
      </c>
      <c r="M95" s="44">
        <f>0</f>
        <v>0</v>
      </c>
      <c r="N95" s="45">
        <f>104017.33</f>
        <v>104017.33</v>
      </c>
      <c r="O95" s="45">
        <f>90718.21</f>
        <v>90718.21</v>
      </c>
      <c r="P95" s="44">
        <f>0</f>
        <v>0</v>
      </c>
      <c r="Q95" s="87">
        <f>0</f>
        <v>0</v>
      </c>
      <c r="R95" s="44">
        <v>10586.96</v>
      </c>
      <c r="S95" s="87">
        <f>0</f>
        <v>0</v>
      </c>
      <c r="T95" s="87">
        <f>0</f>
        <v>0</v>
      </c>
      <c r="U95" s="87">
        <f>0</f>
        <v>0</v>
      </c>
      <c r="V95" s="87">
        <f>0</f>
        <v>0</v>
      </c>
      <c r="W95" s="87">
        <f>0</f>
        <v>0</v>
      </c>
      <c r="X95" s="87">
        <f>0</f>
        <v>0</v>
      </c>
      <c r="Y95" s="87">
        <f>0</f>
        <v>0</v>
      </c>
      <c r="Z95" s="87">
        <f>0</f>
        <v>0</v>
      </c>
      <c r="AA95" s="87">
        <f>0</f>
        <v>0</v>
      </c>
      <c r="AB95" s="87">
        <f>0</f>
        <v>0</v>
      </c>
      <c r="AD95" s="52">
        <f t="shared" si="44"/>
        <v>53325.67</v>
      </c>
      <c r="AE95" s="52">
        <f t="shared" si="44"/>
        <v>61323.83</v>
      </c>
      <c r="AF95" s="52">
        <f t="shared" si="44"/>
        <v>32250</v>
      </c>
      <c r="AG95" s="52">
        <f t="shared" si="44"/>
        <v>194735.54</v>
      </c>
      <c r="AH95" s="52">
        <f t="shared" si="44"/>
        <v>10586.96</v>
      </c>
      <c r="AI95" s="52">
        <f t="shared" si="44"/>
        <v>0</v>
      </c>
      <c r="AJ95" s="52">
        <f t="shared" si="44"/>
        <v>0</v>
      </c>
      <c r="AK95" s="52">
        <f t="shared" si="44"/>
        <v>0</v>
      </c>
      <c r="AL95" s="53"/>
      <c r="AM95" s="52">
        <f t="shared" si="40"/>
        <v>341635.04000000004</v>
      </c>
      <c r="AN95" s="52">
        <f t="shared" si="40"/>
        <v>10586.96</v>
      </c>
    </row>
    <row r="96" spans="1:40" outlineLevel="1" x14ac:dyDescent="0.2">
      <c r="A96" s="37" t="s">
        <v>400</v>
      </c>
      <c r="B96" s="77" t="s">
        <v>401</v>
      </c>
      <c r="C96" s="77" t="s">
        <v>165</v>
      </c>
      <c r="D96" s="77"/>
      <c r="E96" s="44">
        <f>0</f>
        <v>0</v>
      </c>
      <c r="F96" s="44">
        <f>0</f>
        <v>0</v>
      </c>
      <c r="G96" s="44">
        <f>0</f>
        <v>0</v>
      </c>
      <c r="H96" s="45">
        <f>5037.5</f>
        <v>5037.5</v>
      </c>
      <c r="I96" s="45">
        <f>600</f>
        <v>600</v>
      </c>
      <c r="J96" s="45">
        <f>1600</f>
        <v>1600</v>
      </c>
      <c r="K96" s="45">
        <f>23350</f>
        <v>23350</v>
      </c>
      <c r="L96" s="45">
        <f>2200</f>
        <v>2200</v>
      </c>
      <c r="M96" s="45">
        <f>12062.5</f>
        <v>12062.5</v>
      </c>
      <c r="N96" s="44">
        <f>0</f>
        <v>0</v>
      </c>
      <c r="O96" s="45">
        <f>17200</f>
        <v>17200</v>
      </c>
      <c r="P96" s="44">
        <f>0</f>
        <v>0</v>
      </c>
      <c r="Q96" s="44">
        <f>0</f>
        <v>0</v>
      </c>
      <c r="R96" s="44">
        <f>0</f>
        <v>0</v>
      </c>
      <c r="S96" s="44">
        <f>0</f>
        <v>0</v>
      </c>
      <c r="T96" s="44">
        <f>0</f>
        <v>0</v>
      </c>
      <c r="U96" s="44">
        <f>0</f>
        <v>0</v>
      </c>
      <c r="V96" s="44">
        <f>0</f>
        <v>0</v>
      </c>
      <c r="W96" s="44">
        <f>0</f>
        <v>0</v>
      </c>
      <c r="X96" s="44">
        <f>0</f>
        <v>0</v>
      </c>
      <c r="Y96" s="44">
        <f>0</f>
        <v>0</v>
      </c>
      <c r="Z96" s="44">
        <f>0</f>
        <v>0</v>
      </c>
      <c r="AA96" s="44">
        <f>0</f>
        <v>0</v>
      </c>
      <c r="AB96" s="44">
        <f>0</f>
        <v>0</v>
      </c>
      <c r="AD96" s="48">
        <f t="shared" ref="AD96:AK103" si="46">SUMIFS($E96:$AB96,$E$6:$AB$6,AD$5)</f>
        <v>0</v>
      </c>
      <c r="AE96" s="48">
        <f t="shared" si="46"/>
        <v>7237.5</v>
      </c>
      <c r="AF96" s="48">
        <f t="shared" si="46"/>
        <v>37612.5</v>
      </c>
      <c r="AG96" s="48">
        <f t="shared" si="46"/>
        <v>17200</v>
      </c>
      <c r="AH96" s="48">
        <f t="shared" si="46"/>
        <v>0</v>
      </c>
      <c r="AI96" s="48">
        <f t="shared" si="46"/>
        <v>0</v>
      </c>
      <c r="AJ96" s="48">
        <f t="shared" si="46"/>
        <v>0</v>
      </c>
      <c r="AK96" s="48">
        <f t="shared" si="46"/>
        <v>0</v>
      </c>
      <c r="AL96" s="53"/>
      <c r="AM96" s="48">
        <f t="shared" ref="AM96:AN103" si="47">SUMIFS($E96:$AB96,$E$7:$AB$7,AM$5)</f>
        <v>62050</v>
      </c>
      <c r="AN96" s="48">
        <f t="shared" si="47"/>
        <v>0</v>
      </c>
    </row>
    <row r="97" spans="1:40" outlineLevel="1" x14ac:dyDescent="0.2">
      <c r="A97" s="37" t="s">
        <v>402</v>
      </c>
      <c r="B97" s="77" t="s">
        <v>403</v>
      </c>
      <c r="C97" s="77" t="s">
        <v>165</v>
      </c>
      <c r="D97" s="77"/>
      <c r="E97" s="44">
        <f>0</f>
        <v>0</v>
      </c>
      <c r="F97" s="44">
        <f>0</f>
        <v>0</v>
      </c>
      <c r="G97" s="44">
        <f>0</f>
        <v>0</v>
      </c>
      <c r="H97" s="44">
        <f>0</f>
        <v>0</v>
      </c>
      <c r="I97" s="45">
        <f>19976.65</f>
        <v>19976.650000000001</v>
      </c>
      <c r="J97" s="45">
        <f>8400</f>
        <v>8400</v>
      </c>
      <c r="K97" s="44">
        <f>0</f>
        <v>0</v>
      </c>
      <c r="L97" s="44">
        <f>0</f>
        <v>0</v>
      </c>
      <c r="M97" s="44">
        <f>0</f>
        <v>0</v>
      </c>
      <c r="N97" s="44">
        <f>0</f>
        <v>0</v>
      </c>
      <c r="O97" s="44">
        <f>0</f>
        <v>0</v>
      </c>
      <c r="P97" s="44">
        <f>0</f>
        <v>0</v>
      </c>
      <c r="Q97" s="44">
        <f>0</f>
        <v>0</v>
      </c>
      <c r="R97" s="44">
        <f>0</f>
        <v>0</v>
      </c>
      <c r="S97" s="44">
        <f>0</f>
        <v>0</v>
      </c>
      <c r="T97" s="44">
        <f>0</f>
        <v>0</v>
      </c>
      <c r="U97" s="44">
        <f>0</f>
        <v>0</v>
      </c>
      <c r="V97" s="44">
        <f>0</f>
        <v>0</v>
      </c>
      <c r="W97" s="44">
        <f>0</f>
        <v>0</v>
      </c>
      <c r="X97" s="44">
        <f>0</f>
        <v>0</v>
      </c>
      <c r="Y97" s="44">
        <f>0</f>
        <v>0</v>
      </c>
      <c r="Z97" s="44">
        <f>0</f>
        <v>0</v>
      </c>
      <c r="AA97" s="44">
        <f>0</f>
        <v>0</v>
      </c>
      <c r="AB97" s="44">
        <f>0</f>
        <v>0</v>
      </c>
      <c r="AD97" s="48">
        <f t="shared" si="46"/>
        <v>0</v>
      </c>
      <c r="AE97" s="48">
        <f t="shared" si="46"/>
        <v>28376.65</v>
      </c>
      <c r="AF97" s="48">
        <f t="shared" si="46"/>
        <v>0</v>
      </c>
      <c r="AG97" s="48">
        <f t="shared" si="46"/>
        <v>0</v>
      </c>
      <c r="AH97" s="48">
        <f t="shared" si="46"/>
        <v>0</v>
      </c>
      <c r="AI97" s="48">
        <f t="shared" si="46"/>
        <v>0</v>
      </c>
      <c r="AJ97" s="48">
        <f t="shared" si="46"/>
        <v>0</v>
      </c>
      <c r="AK97" s="48">
        <f t="shared" si="46"/>
        <v>0</v>
      </c>
      <c r="AL97" s="53"/>
      <c r="AM97" s="48">
        <f t="shared" si="47"/>
        <v>28376.65</v>
      </c>
      <c r="AN97" s="48">
        <f t="shared" si="47"/>
        <v>0</v>
      </c>
    </row>
    <row r="98" spans="1:40" outlineLevel="1" x14ac:dyDescent="0.2">
      <c r="A98" s="37" t="s">
        <v>404</v>
      </c>
      <c r="B98" s="77" t="s">
        <v>405</v>
      </c>
      <c r="C98" s="77" t="s">
        <v>165</v>
      </c>
      <c r="D98" s="77"/>
      <c r="E98" s="44">
        <f>0</f>
        <v>0</v>
      </c>
      <c r="F98" s="44">
        <f>0</f>
        <v>0</v>
      </c>
      <c r="G98" s="44">
        <f>0</f>
        <v>0</v>
      </c>
      <c r="H98" s="44">
        <f>0</f>
        <v>0</v>
      </c>
      <c r="I98" s="44">
        <f>0</f>
        <v>0</v>
      </c>
      <c r="J98" s="45">
        <f>103365</f>
        <v>103365</v>
      </c>
      <c r="K98" s="45">
        <f>34730.64</f>
        <v>34730.639999999999</v>
      </c>
      <c r="L98" s="45">
        <f>0</f>
        <v>0</v>
      </c>
      <c r="M98" s="44">
        <f>0</f>
        <v>0</v>
      </c>
      <c r="N98" s="44">
        <f>0</f>
        <v>0</v>
      </c>
      <c r="O98" s="44">
        <f>0</f>
        <v>0</v>
      </c>
      <c r="P98" s="44">
        <f>0</f>
        <v>0</v>
      </c>
      <c r="Q98" s="44">
        <f>0</f>
        <v>0</v>
      </c>
      <c r="R98" s="44">
        <f>0</f>
        <v>0</v>
      </c>
      <c r="S98" s="44">
        <f>0</f>
        <v>0</v>
      </c>
      <c r="T98" s="44">
        <f>0</f>
        <v>0</v>
      </c>
      <c r="U98" s="44">
        <f>0</f>
        <v>0</v>
      </c>
      <c r="V98" s="44">
        <f>0</f>
        <v>0</v>
      </c>
      <c r="W98" s="44">
        <f>0</f>
        <v>0</v>
      </c>
      <c r="X98" s="44">
        <f>0</f>
        <v>0</v>
      </c>
      <c r="Y98" s="44">
        <f>0</f>
        <v>0</v>
      </c>
      <c r="Z98" s="44">
        <f>0</f>
        <v>0</v>
      </c>
      <c r="AA98" s="44">
        <f>0</f>
        <v>0</v>
      </c>
      <c r="AB98" s="44">
        <f>0</f>
        <v>0</v>
      </c>
      <c r="AD98" s="48">
        <f t="shared" si="46"/>
        <v>0</v>
      </c>
      <c r="AE98" s="48">
        <f t="shared" si="46"/>
        <v>103365</v>
      </c>
      <c r="AF98" s="48">
        <f t="shared" si="46"/>
        <v>34730.639999999999</v>
      </c>
      <c r="AG98" s="48">
        <f t="shared" si="46"/>
        <v>0</v>
      </c>
      <c r="AH98" s="48">
        <f t="shared" si="46"/>
        <v>0</v>
      </c>
      <c r="AI98" s="48">
        <f t="shared" si="46"/>
        <v>0</v>
      </c>
      <c r="AJ98" s="48">
        <f t="shared" si="46"/>
        <v>0</v>
      </c>
      <c r="AK98" s="48">
        <f t="shared" si="46"/>
        <v>0</v>
      </c>
      <c r="AL98" s="53"/>
      <c r="AM98" s="48">
        <f t="shared" si="47"/>
        <v>138095.64000000001</v>
      </c>
      <c r="AN98" s="48">
        <f t="shared" si="47"/>
        <v>0</v>
      </c>
    </row>
    <row r="99" spans="1:40" outlineLevel="1" x14ac:dyDescent="0.2">
      <c r="A99" s="37" t="s">
        <v>406</v>
      </c>
      <c r="B99" s="77" t="s">
        <v>407</v>
      </c>
      <c r="C99" s="77" t="s">
        <v>165</v>
      </c>
      <c r="D99" s="77"/>
      <c r="E99" s="44">
        <f>0</f>
        <v>0</v>
      </c>
      <c r="F99" s="44">
        <f>0</f>
        <v>0</v>
      </c>
      <c r="G99" s="44">
        <f>0</f>
        <v>0</v>
      </c>
      <c r="H99" s="44">
        <f>0</f>
        <v>0</v>
      </c>
      <c r="I99" s="44">
        <f>0</f>
        <v>0</v>
      </c>
      <c r="J99" s="44">
        <f>0</f>
        <v>0</v>
      </c>
      <c r="K99" s="45">
        <f>19963.86</f>
        <v>19963.86</v>
      </c>
      <c r="L99" s="45">
        <f>17082.02</f>
        <v>17082.02</v>
      </c>
      <c r="M99" s="45">
        <f>600</f>
        <v>600</v>
      </c>
      <c r="N99" s="44">
        <f>0</f>
        <v>0</v>
      </c>
      <c r="O99" s="45">
        <f>2325</f>
        <v>2325</v>
      </c>
      <c r="P99" s="44">
        <f>0</f>
        <v>0</v>
      </c>
      <c r="Q99" s="44">
        <f>0</f>
        <v>0</v>
      </c>
      <c r="R99" s="87">
        <v>750</v>
      </c>
      <c r="S99" s="44">
        <f>0</f>
        <v>0</v>
      </c>
      <c r="T99" s="44">
        <f>0</f>
        <v>0</v>
      </c>
      <c r="U99" s="44">
        <f>0</f>
        <v>0</v>
      </c>
      <c r="V99" s="44">
        <f>0</f>
        <v>0</v>
      </c>
      <c r="W99" s="44">
        <f>0</f>
        <v>0</v>
      </c>
      <c r="X99" s="44">
        <f>0</f>
        <v>0</v>
      </c>
      <c r="Y99" s="44">
        <f>0</f>
        <v>0</v>
      </c>
      <c r="Z99" s="44">
        <f>0</f>
        <v>0</v>
      </c>
      <c r="AA99" s="44">
        <f>0</f>
        <v>0</v>
      </c>
      <c r="AB99" s="44">
        <f>0</f>
        <v>0</v>
      </c>
      <c r="AD99" s="48">
        <f t="shared" si="46"/>
        <v>0</v>
      </c>
      <c r="AE99" s="48">
        <f t="shared" si="46"/>
        <v>0</v>
      </c>
      <c r="AF99" s="48">
        <f t="shared" si="46"/>
        <v>37645.880000000005</v>
      </c>
      <c r="AG99" s="48">
        <f t="shared" si="46"/>
        <v>2325</v>
      </c>
      <c r="AH99" s="48">
        <f t="shared" si="46"/>
        <v>750</v>
      </c>
      <c r="AI99" s="48">
        <f t="shared" si="46"/>
        <v>0</v>
      </c>
      <c r="AJ99" s="48">
        <f t="shared" si="46"/>
        <v>0</v>
      </c>
      <c r="AK99" s="48">
        <f t="shared" si="46"/>
        <v>0</v>
      </c>
      <c r="AL99" s="53"/>
      <c r="AM99" s="48">
        <f t="shared" si="47"/>
        <v>39970.880000000005</v>
      </c>
      <c r="AN99" s="48">
        <f t="shared" si="47"/>
        <v>750</v>
      </c>
    </row>
    <row r="100" spans="1:40" outlineLevel="1" x14ac:dyDescent="0.2">
      <c r="A100" s="37" t="s">
        <v>408</v>
      </c>
      <c r="B100" s="77" t="s">
        <v>409</v>
      </c>
      <c r="C100" s="77" t="s">
        <v>127</v>
      </c>
      <c r="D100" s="77"/>
      <c r="E100" s="44">
        <f>0</f>
        <v>0</v>
      </c>
      <c r="F100" s="44">
        <f>0</f>
        <v>0</v>
      </c>
      <c r="G100" s="44">
        <f>0</f>
        <v>0</v>
      </c>
      <c r="H100" s="44">
        <f>0</f>
        <v>0</v>
      </c>
      <c r="I100" s="44">
        <f>0</f>
        <v>0</v>
      </c>
      <c r="J100" s="45">
        <f>16626</f>
        <v>16626</v>
      </c>
      <c r="K100" s="45">
        <f>25042</f>
        <v>25042</v>
      </c>
      <c r="L100" s="45">
        <f>5412</f>
        <v>5412</v>
      </c>
      <c r="M100" s="44">
        <f>0</f>
        <v>0</v>
      </c>
      <c r="N100" s="44">
        <f>0</f>
        <v>0</v>
      </c>
      <c r="O100" s="44">
        <f>0</f>
        <v>0</v>
      </c>
      <c r="P100" s="44">
        <f>0</f>
        <v>0</v>
      </c>
      <c r="Q100" s="44">
        <f>0</f>
        <v>0</v>
      </c>
      <c r="R100" s="44">
        <f>0</f>
        <v>0</v>
      </c>
      <c r="S100" s="44">
        <f>0</f>
        <v>0</v>
      </c>
      <c r="T100" s="44">
        <f>0</f>
        <v>0</v>
      </c>
      <c r="U100" s="44">
        <f>0</f>
        <v>0</v>
      </c>
      <c r="V100" s="44">
        <f>0</f>
        <v>0</v>
      </c>
      <c r="W100" s="44">
        <f>0</f>
        <v>0</v>
      </c>
      <c r="X100" s="44">
        <f>0</f>
        <v>0</v>
      </c>
      <c r="Y100" s="44">
        <f>0</f>
        <v>0</v>
      </c>
      <c r="Z100" s="44">
        <f>0</f>
        <v>0</v>
      </c>
      <c r="AA100" s="44">
        <f>0</f>
        <v>0</v>
      </c>
      <c r="AB100" s="44">
        <f>0</f>
        <v>0</v>
      </c>
      <c r="AD100" s="48">
        <f t="shared" si="46"/>
        <v>0</v>
      </c>
      <c r="AE100" s="48">
        <f t="shared" si="46"/>
        <v>16626</v>
      </c>
      <c r="AF100" s="48">
        <f t="shared" si="46"/>
        <v>30454</v>
      </c>
      <c r="AG100" s="48">
        <f t="shared" si="46"/>
        <v>0</v>
      </c>
      <c r="AH100" s="48">
        <f t="shared" si="46"/>
        <v>0</v>
      </c>
      <c r="AI100" s="48">
        <f t="shared" si="46"/>
        <v>0</v>
      </c>
      <c r="AJ100" s="48">
        <f t="shared" si="46"/>
        <v>0</v>
      </c>
      <c r="AK100" s="48">
        <f t="shared" si="46"/>
        <v>0</v>
      </c>
      <c r="AL100" s="53"/>
      <c r="AM100" s="48">
        <f t="shared" si="47"/>
        <v>47080</v>
      </c>
      <c r="AN100" s="48">
        <f t="shared" si="47"/>
        <v>0</v>
      </c>
    </row>
    <row r="101" spans="1:40" outlineLevel="1" x14ac:dyDescent="0.2">
      <c r="A101" s="37" t="s">
        <v>410</v>
      </c>
      <c r="B101" s="77" t="s">
        <v>411</v>
      </c>
      <c r="C101" s="77" t="s">
        <v>165</v>
      </c>
      <c r="D101" s="77"/>
      <c r="E101" s="44">
        <f>0</f>
        <v>0</v>
      </c>
      <c r="F101" s="44">
        <f>0</f>
        <v>0</v>
      </c>
      <c r="G101" s="44">
        <f>0</f>
        <v>0</v>
      </c>
      <c r="H101" s="44">
        <f>0</f>
        <v>0</v>
      </c>
      <c r="I101" s="44">
        <f>0</f>
        <v>0</v>
      </c>
      <c r="J101" s="44">
        <f>0</f>
        <v>0</v>
      </c>
      <c r="K101" s="45">
        <f>78600</f>
        <v>78600</v>
      </c>
      <c r="L101" s="45">
        <f>458.28</f>
        <v>458.28</v>
      </c>
      <c r="M101" s="44">
        <f>0</f>
        <v>0</v>
      </c>
      <c r="N101" s="44">
        <f>0</f>
        <v>0</v>
      </c>
      <c r="O101" s="44">
        <f>0</f>
        <v>0</v>
      </c>
      <c r="P101" s="44">
        <f>0</f>
        <v>0</v>
      </c>
      <c r="Q101" s="44">
        <f>0</f>
        <v>0</v>
      </c>
      <c r="R101" s="44">
        <f>0</f>
        <v>0</v>
      </c>
      <c r="S101" s="44">
        <v>193.96</v>
      </c>
      <c r="T101" s="44">
        <v>0</v>
      </c>
      <c r="U101" s="44">
        <v>0</v>
      </c>
      <c r="V101" s="44">
        <v>0</v>
      </c>
      <c r="W101" s="44">
        <v>0</v>
      </c>
      <c r="X101" s="44">
        <v>0</v>
      </c>
      <c r="Y101" s="44">
        <v>0</v>
      </c>
      <c r="Z101" s="44">
        <v>0</v>
      </c>
      <c r="AA101" s="44">
        <v>0</v>
      </c>
      <c r="AB101" s="44">
        <v>0</v>
      </c>
      <c r="AD101" s="48">
        <f t="shared" si="46"/>
        <v>0</v>
      </c>
      <c r="AE101" s="48">
        <f t="shared" si="46"/>
        <v>0</v>
      </c>
      <c r="AF101" s="48">
        <f t="shared" si="46"/>
        <v>79058.28</v>
      </c>
      <c r="AG101" s="48">
        <f t="shared" si="46"/>
        <v>0</v>
      </c>
      <c r="AH101" s="48">
        <f t="shared" si="46"/>
        <v>193.96</v>
      </c>
      <c r="AI101" s="48">
        <f t="shared" si="46"/>
        <v>0</v>
      </c>
      <c r="AJ101" s="48">
        <f t="shared" si="46"/>
        <v>0</v>
      </c>
      <c r="AK101" s="48">
        <f t="shared" si="46"/>
        <v>0</v>
      </c>
      <c r="AL101" s="53"/>
      <c r="AM101" s="48">
        <f t="shared" si="47"/>
        <v>79058.28</v>
      </c>
      <c r="AN101" s="48">
        <f t="shared" si="47"/>
        <v>193.96</v>
      </c>
    </row>
    <row r="102" spans="1:40" outlineLevel="1" x14ac:dyDescent="0.2">
      <c r="A102" s="37" t="s">
        <v>412</v>
      </c>
      <c r="B102" s="77" t="s">
        <v>413</v>
      </c>
      <c r="C102" s="77" t="s">
        <v>165</v>
      </c>
      <c r="D102" s="77"/>
      <c r="E102" s="44">
        <f>0</f>
        <v>0</v>
      </c>
      <c r="F102" s="44">
        <f>0</f>
        <v>0</v>
      </c>
      <c r="G102" s="44">
        <f>0</f>
        <v>0</v>
      </c>
      <c r="H102" s="44">
        <f>0</f>
        <v>0</v>
      </c>
      <c r="I102" s="44">
        <f>0</f>
        <v>0</v>
      </c>
      <c r="J102" s="44">
        <f>0</f>
        <v>0</v>
      </c>
      <c r="K102" s="44">
        <f>0</f>
        <v>0</v>
      </c>
      <c r="L102" s="44">
        <f>0</f>
        <v>0</v>
      </c>
      <c r="M102" s="45">
        <f>4350</f>
        <v>4350</v>
      </c>
      <c r="N102" s="45">
        <f>6998.24</f>
        <v>6998.24</v>
      </c>
      <c r="O102" s="45">
        <f>7227.9</f>
        <v>7227.9</v>
      </c>
      <c r="P102" s="44">
        <f>0</f>
        <v>0</v>
      </c>
      <c r="Q102" s="44">
        <f>0</f>
        <v>0</v>
      </c>
      <c r="R102" s="44">
        <f>0</f>
        <v>0</v>
      </c>
      <c r="S102" s="44">
        <f>0</f>
        <v>0</v>
      </c>
      <c r="T102" s="44">
        <v>31114</v>
      </c>
      <c r="U102" s="44">
        <v>0</v>
      </c>
      <c r="V102" s="44">
        <v>625</v>
      </c>
      <c r="W102" s="44">
        <v>0</v>
      </c>
      <c r="X102" s="44">
        <v>0</v>
      </c>
      <c r="Y102" s="44">
        <v>0</v>
      </c>
      <c r="Z102" s="44">
        <v>0</v>
      </c>
      <c r="AA102" s="44">
        <v>0</v>
      </c>
      <c r="AB102" s="44">
        <v>0</v>
      </c>
      <c r="AD102" s="48">
        <f t="shared" si="46"/>
        <v>0</v>
      </c>
      <c r="AE102" s="48">
        <f t="shared" si="46"/>
        <v>0</v>
      </c>
      <c r="AF102" s="48">
        <f t="shared" si="46"/>
        <v>4350</v>
      </c>
      <c r="AG102" s="48">
        <f t="shared" si="46"/>
        <v>14226.14</v>
      </c>
      <c r="AH102" s="48">
        <f t="shared" si="46"/>
        <v>0</v>
      </c>
      <c r="AI102" s="48">
        <f t="shared" si="46"/>
        <v>31739</v>
      </c>
      <c r="AJ102" s="48">
        <f t="shared" si="46"/>
        <v>0</v>
      </c>
      <c r="AK102" s="48">
        <f t="shared" si="46"/>
        <v>0</v>
      </c>
      <c r="AL102" s="53"/>
      <c r="AM102" s="48">
        <f t="shared" si="47"/>
        <v>18576.14</v>
      </c>
      <c r="AN102" s="48">
        <f t="shared" si="47"/>
        <v>31739</v>
      </c>
    </row>
    <row r="103" spans="1:40" outlineLevel="1" x14ac:dyDescent="0.2">
      <c r="A103" s="37" t="s">
        <v>414</v>
      </c>
      <c r="B103" s="77" t="s">
        <v>415</v>
      </c>
      <c r="C103" s="77" t="s">
        <v>165</v>
      </c>
      <c r="D103" s="77"/>
      <c r="E103" s="44">
        <f>0</f>
        <v>0</v>
      </c>
      <c r="F103" s="44">
        <f>0</f>
        <v>0</v>
      </c>
      <c r="G103" s="44">
        <f>0</f>
        <v>0</v>
      </c>
      <c r="H103" s="44">
        <f>0</f>
        <v>0</v>
      </c>
      <c r="I103" s="44">
        <f>0</f>
        <v>0</v>
      </c>
      <c r="J103" s="44">
        <f>0</f>
        <v>0</v>
      </c>
      <c r="K103" s="44">
        <f>0</f>
        <v>0</v>
      </c>
      <c r="L103" s="44">
        <f>0</f>
        <v>0</v>
      </c>
      <c r="M103" s="44">
        <f>0</f>
        <v>0</v>
      </c>
      <c r="N103" s="45">
        <f>74422.8</f>
        <v>74422.8</v>
      </c>
      <c r="O103" s="45">
        <f>44194.28</f>
        <v>44194.28</v>
      </c>
      <c r="P103" s="44">
        <f>0</f>
        <v>0</v>
      </c>
      <c r="Q103" s="44">
        <v>34012.980000000003</v>
      </c>
      <c r="R103" s="44">
        <v>3212.5</v>
      </c>
      <c r="S103" s="44">
        <f>0</f>
        <v>0</v>
      </c>
      <c r="T103" s="44">
        <f>0</f>
        <v>0</v>
      </c>
      <c r="U103" s="44">
        <f>0</f>
        <v>0</v>
      </c>
      <c r="V103" s="44">
        <f>0</f>
        <v>0</v>
      </c>
      <c r="W103" s="44">
        <f>0</f>
        <v>0</v>
      </c>
      <c r="X103" s="44">
        <f>0</f>
        <v>0</v>
      </c>
      <c r="Y103" s="44">
        <f>0</f>
        <v>0</v>
      </c>
      <c r="Z103" s="44">
        <f>0</f>
        <v>0</v>
      </c>
      <c r="AA103" s="44">
        <f>0</f>
        <v>0</v>
      </c>
      <c r="AB103" s="44">
        <f>0</f>
        <v>0</v>
      </c>
      <c r="AD103" s="48">
        <f t="shared" si="46"/>
        <v>0</v>
      </c>
      <c r="AE103" s="48">
        <f t="shared" si="46"/>
        <v>0</v>
      </c>
      <c r="AF103" s="48">
        <f t="shared" si="46"/>
        <v>0</v>
      </c>
      <c r="AG103" s="48">
        <f t="shared" si="46"/>
        <v>118617.08</v>
      </c>
      <c r="AH103" s="48">
        <f t="shared" si="46"/>
        <v>37225.480000000003</v>
      </c>
      <c r="AI103" s="48">
        <f t="shared" si="46"/>
        <v>0</v>
      </c>
      <c r="AJ103" s="48">
        <f t="shared" si="46"/>
        <v>0</v>
      </c>
      <c r="AK103" s="48">
        <f t="shared" si="46"/>
        <v>0</v>
      </c>
      <c r="AL103" s="53"/>
      <c r="AM103" s="48">
        <f t="shared" si="47"/>
        <v>118617.08</v>
      </c>
      <c r="AN103" s="48">
        <f t="shared" si="47"/>
        <v>37225.480000000003</v>
      </c>
    </row>
    <row r="104" spans="1:40" outlineLevel="1" x14ac:dyDescent="0.2">
      <c r="A104" s="37" t="s">
        <v>416</v>
      </c>
      <c r="B104" s="77">
        <v>7019</v>
      </c>
      <c r="C104" s="77" t="s">
        <v>165</v>
      </c>
      <c r="D104" s="77"/>
      <c r="E104" s="44">
        <v>0</v>
      </c>
      <c r="F104" s="44">
        <v>0</v>
      </c>
      <c r="G104" s="44">
        <v>0</v>
      </c>
      <c r="H104" s="44">
        <v>0</v>
      </c>
      <c r="I104" s="44">
        <v>0</v>
      </c>
      <c r="J104" s="44">
        <v>0</v>
      </c>
      <c r="K104" s="44">
        <v>0</v>
      </c>
      <c r="L104" s="44">
        <v>0</v>
      </c>
      <c r="M104" s="44">
        <v>0</v>
      </c>
      <c r="N104" s="45">
        <v>0</v>
      </c>
      <c r="O104" s="45">
        <v>0</v>
      </c>
      <c r="P104" s="44">
        <v>0</v>
      </c>
      <c r="Q104" s="44">
        <v>0</v>
      </c>
      <c r="R104" s="44">
        <v>0</v>
      </c>
      <c r="S104" s="44">
        <v>0</v>
      </c>
      <c r="T104" s="44">
        <v>0</v>
      </c>
      <c r="U104" s="44">
        <v>0</v>
      </c>
      <c r="V104" s="44">
        <v>19046</v>
      </c>
      <c r="W104" s="44">
        <v>1335</v>
      </c>
      <c r="X104" s="44">
        <v>1619</v>
      </c>
      <c r="Y104" s="44">
        <v>0</v>
      </c>
      <c r="Z104" s="44">
        <v>0</v>
      </c>
      <c r="AA104" s="44">
        <v>98</v>
      </c>
      <c r="AB104" s="44">
        <v>0</v>
      </c>
      <c r="AD104" s="48">
        <f t="shared" ref="AD104:AK112" si="48">SUMIFS($E104:$AB104,$E$6:$AB$6,AD$5)</f>
        <v>0</v>
      </c>
      <c r="AE104" s="48">
        <f t="shared" si="48"/>
        <v>0</v>
      </c>
      <c r="AF104" s="48">
        <f t="shared" si="48"/>
        <v>0</v>
      </c>
      <c r="AG104" s="48">
        <f t="shared" si="48"/>
        <v>0</v>
      </c>
      <c r="AH104" s="48">
        <f t="shared" si="48"/>
        <v>0</v>
      </c>
      <c r="AI104" s="48">
        <f t="shared" si="48"/>
        <v>19046</v>
      </c>
      <c r="AJ104" s="48">
        <f t="shared" si="48"/>
        <v>2954</v>
      </c>
      <c r="AK104" s="48">
        <f t="shared" si="48"/>
        <v>98</v>
      </c>
      <c r="AL104" s="53"/>
      <c r="AM104" s="48">
        <f t="shared" ref="AM104:AN112" si="49">SUMIFS($E104:$AB104,$E$7:$AB$7,AM$5)</f>
        <v>0</v>
      </c>
      <c r="AN104" s="48">
        <f t="shared" si="49"/>
        <v>22098</v>
      </c>
    </row>
    <row r="105" spans="1:40" outlineLevel="1" x14ac:dyDescent="0.2">
      <c r="A105" s="37" t="s">
        <v>417</v>
      </c>
      <c r="B105" s="77" t="s">
        <v>418</v>
      </c>
      <c r="C105" s="77" t="s">
        <v>165</v>
      </c>
      <c r="D105" s="77"/>
      <c r="E105" s="44">
        <f>0</f>
        <v>0</v>
      </c>
      <c r="F105" s="44">
        <f>0</f>
        <v>0</v>
      </c>
      <c r="G105" s="44">
        <f>0</f>
        <v>0</v>
      </c>
      <c r="H105" s="44">
        <f>0</f>
        <v>0</v>
      </c>
      <c r="I105" s="44">
        <f>0</f>
        <v>0</v>
      </c>
      <c r="J105" s="44">
        <f>0</f>
        <v>0</v>
      </c>
      <c r="K105" s="44">
        <f>0</f>
        <v>0</v>
      </c>
      <c r="L105" s="44">
        <f>0</f>
        <v>0</v>
      </c>
      <c r="M105" s="44">
        <f>0</f>
        <v>0</v>
      </c>
      <c r="N105" s="44">
        <f>0</f>
        <v>0</v>
      </c>
      <c r="O105" s="45">
        <f>6400</f>
        <v>6400</v>
      </c>
      <c r="P105" s="44">
        <f>0</f>
        <v>0</v>
      </c>
      <c r="Q105" s="44">
        <f>0</f>
        <v>0</v>
      </c>
      <c r="R105" s="44">
        <v>4000</v>
      </c>
      <c r="S105" s="44">
        <v>500</v>
      </c>
      <c r="T105" s="44">
        <v>1600</v>
      </c>
      <c r="U105" s="44">
        <v>0</v>
      </c>
      <c r="V105" s="44">
        <v>1600</v>
      </c>
      <c r="W105" s="44">
        <v>0</v>
      </c>
      <c r="X105" s="44">
        <v>0</v>
      </c>
      <c r="Y105" s="44">
        <v>0</v>
      </c>
      <c r="Z105" s="44">
        <v>0</v>
      </c>
      <c r="AA105" s="44">
        <v>0</v>
      </c>
      <c r="AB105" s="44">
        <v>0</v>
      </c>
      <c r="AD105" s="48">
        <f t="shared" si="48"/>
        <v>0</v>
      </c>
      <c r="AE105" s="48">
        <f t="shared" si="48"/>
        <v>0</v>
      </c>
      <c r="AF105" s="48">
        <f t="shared" si="48"/>
        <v>0</v>
      </c>
      <c r="AG105" s="48">
        <f t="shared" si="48"/>
        <v>6400</v>
      </c>
      <c r="AH105" s="48">
        <f t="shared" si="48"/>
        <v>4500</v>
      </c>
      <c r="AI105" s="48">
        <f t="shared" si="48"/>
        <v>3200</v>
      </c>
      <c r="AJ105" s="48">
        <f t="shared" si="48"/>
        <v>0</v>
      </c>
      <c r="AK105" s="48">
        <f t="shared" si="48"/>
        <v>0</v>
      </c>
      <c r="AL105" s="53"/>
      <c r="AM105" s="48">
        <f t="shared" si="49"/>
        <v>6400</v>
      </c>
      <c r="AN105" s="48">
        <f t="shared" si="49"/>
        <v>7700</v>
      </c>
    </row>
    <row r="106" spans="1:40" outlineLevel="1" x14ac:dyDescent="0.2">
      <c r="A106" s="37" t="s">
        <v>419</v>
      </c>
      <c r="B106" s="77" t="s">
        <v>420</v>
      </c>
      <c r="C106" s="77" t="s">
        <v>165</v>
      </c>
      <c r="D106" s="77"/>
      <c r="E106" s="44">
        <f>0</f>
        <v>0</v>
      </c>
      <c r="F106" s="44">
        <f>0</f>
        <v>0</v>
      </c>
      <c r="G106" s="44">
        <f>0</f>
        <v>0</v>
      </c>
      <c r="H106" s="44">
        <f>0</f>
        <v>0</v>
      </c>
      <c r="I106" s="44">
        <f>0</f>
        <v>0</v>
      </c>
      <c r="J106" s="44">
        <f>0</f>
        <v>0</v>
      </c>
      <c r="K106" s="44">
        <f>0</f>
        <v>0</v>
      </c>
      <c r="L106" s="44">
        <f>0</f>
        <v>0</v>
      </c>
      <c r="M106" s="44">
        <f>0</f>
        <v>0</v>
      </c>
      <c r="N106" s="44">
        <f>0</f>
        <v>0</v>
      </c>
      <c r="O106" s="45">
        <f>0</f>
        <v>0</v>
      </c>
      <c r="P106" s="44">
        <f>0</f>
        <v>0</v>
      </c>
      <c r="Q106" s="44">
        <v>6725</v>
      </c>
      <c r="R106" s="44">
        <v>99165.54</v>
      </c>
      <c r="S106" s="44">
        <f>0</f>
        <v>0</v>
      </c>
      <c r="T106" s="44">
        <v>0</v>
      </c>
      <c r="U106" s="44">
        <v>0</v>
      </c>
      <c r="V106" s="44">
        <v>0</v>
      </c>
      <c r="W106" s="44">
        <v>0</v>
      </c>
      <c r="X106" s="44">
        <v>0</v>
      </c>
      <c r="Y106" s="44">
        <v>0</v>
      </c>
      <c r="Z106" s="44">
        <v>0</v>
      </c>
      <c r="AA106" s="44">
        <v>0</v>
      </c>
      <c r="AB106" s="44">
        <v>0</v>
      </c>
      <c r="AD106" s="48">
        <f t="shared" si="48"/>
        <v>0</v>
      </c>
      <c r="AE106" s="48">
        <f t="shared" si="48"/>
        <v>0</v>
      </c>
      <c r="AF106" s="48">
        <f t="shared" si="48"/>
        <v>0</v>
      </c>
      <c r="AG106" s="48">
        <f t="shared" si="48"/>
        <v>0</v>
      </c>
      <c r="AH106" s="48">
        <f t="shared" si="48"/>
        <v>105890.54</v>
      </c>
      <c r="AI106" s="48">
        <f t="shared" si="48"/>
        <v>0</v>
      </c>
      <c r="AJ106" s="48">
        <f t="shared" si="48"/>
        <v>0</v>
      </c>
      <c r="AK106" s="48">
        <f t="shared" si="48"/>
        <v>0</v>
      </c>
      <c r="AL106" s="53"/>
      <c r="AM106" s="48">
        <f t="shared" si="49"/>
        <v>0</v>
      </c>
      <c r="AN106" s="48">
        <f t="shared" si="49"/>
        <v>105890.54</v>
      </c>
    </row>
    <row r="107" spans="1:40" outlineLevel="1" x14ac:dyDescent="0.2">
      <c r="A107" s="37" t="s">
        <v>421</v>
      </c>
      <c r="B107" s="77" t="s">
        <v>422</v>
      </c>
      <c r="C107" s="77" t="s">
        <v>165</v>
      </c>
      <c r="D107" s="77"/>
      <c r="E107" s="44">
        <f>0</f>
        <v>0</v>
      </c>
      <c r="F107" s="44">
        <f>0</f>
        <v>0</v>
      </c>
      <c r="G107" s="44">
        <f>0</f>
        <v>0</v>
      </c>
      <c r="H107" s="44">
        <f>0</f>
        <v>0</v>
      </c>
      <c r="I107" s="44">
        <f>0</f>
        <v>0</v>
      </c>
      <c r="J107" s="44">
        <f>0</f>
        <v>0</v>
      </c>
      <c r="K107" s="44">
        <f>0</f>
        <v>0</v>
      </c>
      <c r="L107" s="44">
        <f>0</f>
        <v>0</v>
      </c>
      <c r="M107" s="44">
        <f>0</f>
        <v>0</v>
      </c>
      <c r="N107" s="44">
        <f>0</f>
        <v>0</v>
      </c>
      <c r="O107" s="45">
        <f>0</f>
        <v>0</v>
      </c>
      <c r="P107" s="44">
        <f>0</f>
        <v>0</v>
      </c>
      <c r="Q107" s="44">
        <f>0</f>
        <v>0</v>
      </c>
      <c r="R107" s="44">
        <f>0</f>
        <v>0</v>
      </c>
      <c r="S107" s="44">
        <v>27001.08</v>
      </c>
      <c r="T107" s="87">
        <v>120111</v>
      </c>
      <c r="U107" s="87">
        <v>0</v>
      </c>
      <c r="V107" s="87">
        <v>149557</v>
      </c>
      <c r="W107" s="87">
        <v>90726</v>
      </c>
      <c r="X107" s="87">
        <v>0</v>
      </c>
      <c r="Y107" s="87">
        <v>177545</v>
      </c>
      <c r="Z107" s="87">
        <v>79405</v>
      </c>
      <c r="AA107" s="87">
        <v>71061</v>
      </c>
      <c r="AB107" s="87">
        <v>134026</v>
      </c>
      <c r="AD107" s="48">
        <f t="shared" si="48"/>
        <v>0</v>
      </c>
      <c r="AE107" s="48">
        <f t="shared" si="48"/>
        <v>0</v>
      </c>
      <c r="AF107" s="48">
        <f t="shared" si="48"/>
        <v>0</v>
      </c>
      <c r="AG107" s="48">
        <f t="shared" si="48"/>
        <v>0</v>
      </c>
      <c r="AH107" s="48">
        <f t="shared" si="48"/>
        <v>27001.08</v>
      </c>
      <c r="AI107" s="48">
        <f t="shared" si="48"/>
        <v>269668</v>
      </c>
      <c r="AJ107" s="48">
        <f t="shared" si="48"/>
        <v>268271</v>
      </c>
      <c r="AK107" s="48">
        <f t="shared" si="48"/>
        <v>284492</v>
      </c>
      <c r="AL107" s="53"/>
      <c r="AM107" s="48">
        <f t="shared" si="49"/>
        <v>0</v>
      </c>
      <c r="AN107" s="48">
        <f t="shared" si="49"/>
        <v>849432.08000000007</v>
      </c>
    </row>
    <row r="108" spans="1:40" outlineLevel="1" x14ac:dyDescent="0.2">
      <c r="A108" s="37" t="s">
        <v>423</v>
      </c>
      <c r="B108" s="77">
        <v>7023</v>
      </c>
      <c r="C108" s="77" t="s">
        <v>165</v>
      </c>
      <c r="D108" s="77"/>
      <c r="E108" s="44">
        <v>0</v>
      </c>
      <c r="F108" s="44">
        <v>0</v>
      </c>
      <c r="G108" s="44">
        <v>0</v>
      </c>
      <c r="H108" s="44">
        <v>0</v>
      </c>
      <c r="I108" s="44">
        <v>0</v>
      </c>
      <c r="J108" s="44">
        <v>0</v>
      </c>
      <c r="K108" s="44">
        <v>0</v>
      </c>
      <c r="L108" s="44">
        <v>0</v>
      </c>
      <c r="M108" s="44">
        <v>0</v>
      </c>
      <c r="N108" s="44">
        <v>0</v>
      </c>
      <c r="O108" s="45">
        <v>0</v>
      </c>
      <c r="P108" s="44">
        <v>0</v>
      </c>
      <c r="Q108" s="44">
        <v>0</v>
      </c>
      <c r="R108" s="44">
        <v>0</v>
      </c>
      <c r="S108" s="44">
        <v>0</v>
      </c>
      <c r="T108" s="44">
        <v>0</v>
      </c>
      <c r="U108" s="44">
        <v>0</v>
      </c>
      <c r="V108" s="44">
        <v>1900</v>
      </c>
      <c r="W108" s="44">
        <v>0</v>
      </c>
      <c r="X108" s="44">
        <v>0</v>
      </c>
      <c r="Y108" s="44">
        <v>0</v>
      </c>
      <c r="Z108" s="44">
        <v>0</v>
      </c>
      <c r="AA108" s="44">
        <v>0</v>
      </c>
      <c r="AB108" s="44">
        <v>0</v>
      </c>
      <c r="AD108" s="48">
        <f t="shared" si="48"/>
        <v>0</v>
      </c>
      <c r="AE108" s="48">
        <f t="shared" si="48"/>
        <v>0</v>
      </c>
      <c r="AF108" s="48">
        <f t="shared" si="48"/>
        <v>0</v>
      </c>
      <c r="AG108" s="48">
        <f t="shared" si="48"/>
        <v>0</v>
      </c>
      <c r="AH108" s="48">
        <f t="shared" si="48"/>
        <v>0</v>
      </c>
      <c r="AI108" s="48">
        <f t="shared" si="48"/>
        <v>1900</v>
      </c>
      <c r="AJ108" s="48">
        <f t="shared" si="48"/>
        <v>0</v>
      </c>
      <c r="AK108" s="48">
        <f t="shared" si="48"/>
        <v>0</v>
      </c>
      <c r="AL108" s="53"/>
      <c r="AM108" s="48">
        <f t="shared" si="49"/>
        <v>0</v>
      </c>
      <c r="AN108" s="48">
        <f t="shared" si="49"/>
        <v>1900</v>
      </c>
    </row>
    <row r="109" spans="1:40" outlineLevel="1" x14ac:dyDescent="0.2">
      <c r="A109" s="37" t="s">
        <v>424</v>
      </c>
      <c r="B109" s="77">
        <v>7043</v>
      </c>
      <c r="C109" s="77" t="s">
        <v>165</v>
      </c>
      <c r="D109" s="77"/>
      <c r="E109" s="44">
        <v>0</v>
      </c>
      <c r="F109" s="44">
        <v>0</v>
      </c>
      <c r="G109" s="44">
        <v>0</v>
      </c>
      <c r="H109" s="44">
        <v>0</v>
      </c>
      <c r="I109" s="44">
        <v>0</v>
      </c>
      <c r="J109" s="44">
        <v>0</v>
      </c>
      <c r="K109" s="44">
        <v>0</v>
      </c>
      <c r="L109" s="44">
        <v>0</v>
      </c>
      <c r="M109" s="44">
        <v>0</v>
      </c>
      <c r="N109" s="44">
        <v>0</v>
      </c>
      <c r="O109" s="45">
        <v>0</v>
      </c>
      <c r="P109" s="44">
        <v>0</v>
      </c>
      <c r="Q109" s="44">
        <v>0</v>
      </c>
      <c r="R109" s="44">
        <v>0</v>
      </c>
      <c r="S109" s="44">
        <v>0</v>
      </c>
      <c r="T109" s="44">
        <v>0</v>
      </c>
      <c r="U109" s="44">
        <v>0</v>
      </c>
      <c r="V109" s="44">
        <v>0</v>
      </c>
      <c r="W109" s="44">
        <v>0</v>
      </c>
      <c r="X109" s="44">
        <v>0</v>
      </c>
      <c r="Y109" s="44">
        <v>8479</v>
      </c>
      <c r="Z109" s="44">
        <v>17093</v>
      </c>
      <c r="AA109" s="44">
        <v>54172</v>
      </c>
      <c r="AB109" s="44">
        <v>17144</v>
      </c>
      <c r="AD109" s="48">
        <f t="shared" si="48"/>
        <v>0</v>
      </c>
      <c r="AE109" s="48">
        <f t="shared" si="48"/>
        <v>0</v>
      </c>
      <c r="AF109" s="48">
        <f t="shared" si="48"/>
        <v>0</v>
      </c>
      <c r="AG109" s="48">
        <f t="shared" si="48"/>
        <v>0</v>
      </c>
      <c r="AH109" s="48">
        <f t="shared" si="48"/>
        <v>0</v>
      </c>
      <c r="AI109" s="48">
        <f t="shared" si="48"/>
        <v>0</v>
      </c>
      <c r="AJ109" s="48">
        <f t="shared" si="48"/>
        <v>8479</v>
      </c>
      <c r="AK109" s="48">
        <f t="shared" si="48"/>
        <v>88409</v>
      </c>
      <c r="AL109" s="53"/>
      <c r="AM109" s="48">
        <f t="shared" si="49"/>
        <v>0</v>
      </c>
      <c r="AN109" s="48">
        <f t="shared" si="49"/>
        <v>96888</v>
      </c>
    </row>
    <row r="110" spans="1:40" outlineLevel="1" x14ac:dyDescent="0.2">
      <c r="A110" s="37" t="s">
        <v>425</v>
      </c>
      <c r="B110" s="77">
        <v>7048</v>
      </c>
      <c r="C110" s="77" t="s">
        <v>165</v>
      </c>
      <c r="D110" s="77"/>
      <c r="E110" s="44">
        <v>0</v>
      </c>
      <c r="F110" s="44">
        <v>0</v>
      </c>
      <c r="G110" s="44">
        <v>0</v>
      </c>
      <c r="H110" s="44">
        <v>0</v>
      </c>
      <c r="I110" s="44">
        <v>0</v>
      </c>
      <c r="J110" s="44">
        <v>0</v>
      </c>
      <c r="K110" s="44">
        <v>0</v>
      </c>
      <c r="L110" s="44">
        <v>0</v>
      </c>
      <c r="M110" s="44">
        <v>0</v>
      </c>
      <c r="N110" s="44">
        <v>0</v>
      </c>
      <c r="O110" s="45">
        <v>0</v>
      </c>
      <c r="P110" s="44">
        <v>0</v>
      </c>
      <c r="Q110" s="44">
        <v>0</v>
      </c>
      <c r="R110" s="44">
        <v>0</v>
      </c>
      <c r="S110" s="44">
        <v>0</v>
      </c>
      <c r="T110" s="44">
        <v>0</v>
      </c>
      <c r="U110" s="44">
        <v>0</v>
      </c>
      <c r="V110" s="44">
        <v>0</v>
      </c>
      <c r="W110" s="44">
        <v>0</v>
      </c>
      <c r="X110" s="44">
        <v>0</v>
      </c>
      <c r="Y110" s="44">
        <v>5700</v>
      </c>
      <c r="Z110" s="44">
        <v>0</v>
      </c>
      <c r="AA110" s="44">
        <v>0</v>
      </c>
      <c r="AB110" s="44">
        <v>0</v>
      </c>
      <c r="AD110" s="48">
        <f t="shared" si="48"/>
        <v>0</v>
      </c>
      <c r="AE110" s="48">
        <f t="shared" si="48"/>
        <v>0</v>
      </c>
      <c r="AF110" s="48">
        <f t="shared" si="48"/>
        <v>0</v>
      </c>
      <c r="AG110" s="48">
        <f t="shared" si="48"/>
        <v>0</v>
      </c>
      <c r="AH110" s="48">
        <f t="shared" si="48"/>
        <v>0</v>
      </c>
      <c r="AI110" s="48">
        <f t="shared" si="48"/>
        <v>0</v>
      </c>
      <c r="AJ110" s="48">
        <f t="shared" si="48"/>
        <v>5700</v>
      </c>
      <c r="AK110" s="48">
        <f t="shared" si="48"/>
        <v>0</v>
      </c>
      <c r="AL110" s="53"/>
      <c r="AM110" s="48">
        <f t="shared" si="49"/>
        <v>0</v>
      </c>
      <c r="AN110" s="48">
        <f t="shared" si="49"/>
        <v>5700</v>
      </c>
    </row>
    <row r="111" spans="1:40" outlineLevel="1" x14ac:dyDescent="0.2">
      <c r="A111" s="37" t="s">
        <v>426</v>
      </c>
      <c r="B111" s="77">
        <v>7056</v>
      </c>
      <c r="C111" s="77" t="s">
        <v>165</v>
      </c>
      <c r="D111" s="77"/>
      <c r="E111" s="44">
        <v>0</v>
      </c>
      <c r="F111" s="44">
        <v>0</v>
      </c>
      <c r="G111" s="44">
        <v>0</v>
      </c>
      <c r="H111" s="44">
        <v>0</v>
      </c>
      <c r="I111" s="44">
        <v>0</v>
      </c>
      <c r="J111" s="44">
        <v>0</v>
      </c>
      <c r="K111" s="44">
        <v>0</v>
      </c>
      <c r="L111" s="44">
        <v>0</v>
      </c>
      <c r="M111" s="44">
        <v>0</v>
      </c>
      <c r="N111" s="44">
        <v>0</v>
      </c>
      <c r="O111" s="45">
        <v>0</v>
      </c>
      <c r="P111" s="44">
        <v>0</v>
      </c>
      <c r="Q111" s="44">
        <v>0</v>
      </c>
      <c r="R111" s="44">
        <v>0</v>
      </c>
      <c r="S111" s="44">
        <v>0</v>
      </c>
      <c r="T111" s="44">
        <v>0</v>
      </c>
      <c r="U111" s="44">
        <v>0</v>
      </c>
      <c r="V111" s="44">
        <v>0</v>
      </c>
      <c r="W111" s="44">
        <v>25200</v>
      </c>
      <c r="X111" s="44">
        <v>0</v>
      </c>
      <c r="Y111" s="44">
        <v>45000</v>
      </c>
      <c r="Z111" s="44">
        <v>21600</v>
      </c>
      <c r="AA111" s="44">
        <v>31000</v>
      </c>
      <c r="AB111" s="44">
        <v>34200</v>
      </c>
      <c r="AD111" s="48">
        <f t="shared" si="48"/>
        <v>0</v>
      </c>
      <c r="AE111" s="48">
        <f t="shared" si="48"/>
        <v>0</v>
      </c>
      <c r="AF111" s="48">
        <f t="shared" si="48"/>
        <v>0</v>
      </c>
      <c r="AG111" s="48">
        <f t="shared" si="48"/>
        <v>0</v>
      </c>
      <c r="AH111" s="48">
        <f t="shared" si="48"/>
        <v>0</v>
      </c>
      <c r="AI111" s="48">
        <f t="shared" si="48"/>
        <v>0</v>
      </c>
      <c r="AJ111" s="48">
        <f t="shared" si="48"/>
        <v>70200</v>
      </c>
      <c r="AK111" s="48">
        <f t="shared" si="48"/>
        <v>86800</v>
      </c>
      <c r="AL111" s="53"/>
      <c r="AM111" s="48">
        <f t="shared" si="49"/>
        <v>0</v>
      </c>
      <c r="AN111" s="48">
        <f t="shared" si="49"/>
        <v>157000</v>
      </c>
    </row>
    <row r="112" spans="1:40" outlineLevel="1" x14ac:dyDescent="0.2">
      <c r="A112" s="37" t="s">
        <v>427</v>
      </c>
      <c r="B112" s="77">
        <v>7086</v>
      </c>
      <c r="C112" s="77" t="s">
        <v>165</v>
      </c>
      <c r="D112" s="77"/>
      <c r="E112" s="44">
        <v>0</v>
      </c>
      <c r="F112" s="44">
        <v>0</v>
      </c>
      <c r="G112" s="44">
        <v>0</v>
      </c>
      <c r="H112" s="44">
        <v>0</v>
      </c>
      <c r="I112" s="44">
        <v>0</v>
      </c>
      <c r="J112" s="44">
        <v>0</v>
      </c>
      <c r="K112" s="44">
        <v>0</v>
      </c>
      <c r="L112" s="44">
        <v>0</v>
      </c>
      <c r="M112" s="44">
        <v>0</v>
      </c>
      <c r="N112" s="44">
        <v>0</v>
      </c>
      <c r="O112" s="45">
        <v>0</v>
      </c>
      <c r="P112" s="44">
        <v>0</v>
      </c>
      <c r="Q112" s="44">
        <v>0</v>
      </c>
      <c r="R112" s="44">
        <v>0</v>
      </c>
      <c r="S112" s="44">
        <v>0</v>
      </c>
      <c r="T112" s="44">
        <v>0</v>
      </c>
      <c r="U112" s="44">
        <v>0</v>
      </c>
      <c r="V112" s="44">
        <v>10100</v>
      </c>
      <c r="W112" s="44">
        <v>12000</v>
      </c>
      <c r="X112" s="44">
        <v>0</v>
      </c>
      <c r="Y112" s="44">
        <v>18300</v>
      </c>
      <c r="Z112" s="44">
        <v>12000</v>
      </c>
      <c r="AA112" s="44">
        <v>12000</v>
      </c>
      <c r="AB112" s="44">
        <v>12000</v>
      </c>
      <c r="AD112" s="48">
        <f t="shared" si="48"/>
        <v>0</v>
      </c>
      <c r="AE112" s="48">
        <f t="shared" si="48"/>
        <v>0</v>
      </c>
      <c r="AF112" s="48">
        <f t="shared" si="48"/>
        <v>0</v>
      </c>
      <c r="AG112" s="48">
        <f t="shared" si="48"/>
        <v>0</v>
      </c>
      <c r="AH112" s="48">
        <f t="shared" si="48"/>
        <v>0</v>
      </c>
      <c r="AI112" s="48">
        <f t="shared" si="48"/>
        <v>10100</v>
      </c>
      <c r="AJ112" s="48">
        <f t="shared" si="48"/>
        <v>30300</v>
      </c>
      <c r="AK112" s="48">
        <f t="shared" si="48"/>
        <v>36000</v>
      </c>
      <c r="AL112" s="53"/>
      <c r="AM112" s="48">
        <f t="shared" si="49"/>
        <v>0</v>
      </c>
      <c r="AN112" s="48">
        <f t="shared" si="49"/>
        <v>76400</v>
      </c>
    </row>
    <row r="113" spans="1:40" outlineLevel="1" x14ac:dyDescent="0.2">
      <c r="A113" s="3" t="s">
        <v>428</v>
      </c>
      <c r="B113" s="77" t="s">
        <v>385</v>
      </c>
      <c r="C113" s="77"/>
      <c r="D113" s="77"/>
      <c r="E113" s="13">
        <f t="shared" ref="E113:S113" si="50">SUM(E88:E107)</f>
        <v>135795.89000000001</v>
      </c>
      <c r="F113" s="13">
        <f t="shared" si="50"/>
        <v>113821.13</v>
      </c>
      <c r="G113" s="13">
        <f t="shared" si="50"/>
        <v>522563.56999999995</v>
      </c>
      <c r="H113" s="13">
        <f t="shared" si="50"/>
        <v>409378.09</v>
      </c>
      <c r="I113" s="13">
        <f t="shared" si="50"/>
        <v>86551.13</v>
      </c>
      <c r="J113" s="13">
        <f t="shared" si="50"/>
        <v>841333.28</v>
      </c>
      <c r="K113" s="13">
        <f t="shared" si="50"/>
        <v>1390331.86</v>
      </c>
      <c r="L113" s="13">
        <f t="shared" si="50"/>
        <v>729290.38</v>
      </c>
      <c r="M113" s="13">
        <f t="shared" si="50"/>
        <v>2170875.35</v>
      </c>
      <c r="N113" s="13">
        <f t="shared" si="50"/>
        <v>801962.51</v>
      </c>
      <c r="O113" s="13">
        <f t="shared" si="50"/>
        <v>2199751.9499999997</v>
      </c>
      <c r="P113" s="13">
        <f t="shared" si="50"/>
        <v>436952.2</v>
      </c>
      <c r="Q113" s="13">
        <f t="shared" si="50"/>
        <v>387810.98</v>
      </c>
      <c r="R113" s="13">
        <f t="shared" si="50"/>
        <v>460163</v>
      </c>
      <c r="S113" s="13">
        <f t="shared" si="50"/>
        <v>2937296.04</v>
      </c>
      <c r="T113" s="13">
        <v>430261</v>
      </c>
      <c r="U113" s="13">
        <v>142917</v>
      </c>
      <c r="V113" s="13">
        <v>444759</v>
      </c>
      <c r="W113" s="13">
        <v>332509</v>
      </c>
      <c r="X113" s="13">
        <v>82506</v>
      </c>
      <c r="Y113" s="13">
        <v>555901</v>
      </c>
      <c r="Z113" s="13">
        <v>167119</v>
      </c>
      <c r="AA113" s="13">
        <v>168703</v>
      </c>
      <c r="AB113" s="13">
        <v>197668</v>
      </c>
      <c r="AD113" s="49">
        <f t="shared" ref="AD113:AK113" si="51">SUMIFS($E113:$AB113,$E$6:$AB$6,AD$5)</f>
        <v>772180.59</v>
      </c>
      <c r="AE113" s="49">
        <f t="shared" si="51"/>
        <v>1337262.5</v>
      </c>
      <c r="AF113" s="49">
        <f t="shared" si="51"/>
        <v>4290497.59</v>
      </c>
      <c r="AG113" s="49">
        <f t="shared" si="51"/>
        <v>3438666.66</v>
      </c>
      <c r="AH113" s="49">
        <f t="shared" si="51"/>
        <v>3785270.02</v>
      </c>
      <c r="AI113" s="49">
        <f t="shared" si="51"/>
        <v>1017937</v>
      </c>
      <c r="AJ113" s="49">
        <f t="shared" si="51"/>
        <v>970916</v>
      </c>
      <c r="AK113" s="49">
        <f t="shared" si="51"/>
        <v>533490</v>
      </c>
      <c r="AL113" s="53"/>
      <c r="AM113" s="49">
        <f>SUMIFS($E113:$AB113,$E$7:$AB$7,AM$5)</f>
        <v>9838607.339999998</v>
      </c>
      <c r="AN113" s="49">
        <f>SUMIFS($E113:$AB113,$E$7:$AB$7,AN$5)</f>
        <v>6307613.0199999996</v>
      </c>
    </row>
    <row r="114" spans="1:40" x14ac:dyDescent="0.2">
      <c r="A114" s="37" t="s">
        <v>429</v>
      </c>
      <c r="B114" s="77">
        <v>7101</v>
      </c>
      <c r="C114" s="77" t="s">
        <v>126</v>
      </c>
      <c r="D114" s="77"/>
      <c r="E114" s="44">
        <f>0</f>
        <v>0</v>
      </c>
      <c r="F114" s="44">
        <f>0</f>
        <v>0</v>
      </c>
      <c r="G114" s="44">
        <f>0</f>
        <v>0</v>
      </c>
      <c r="H114" s="44">
        <f>0</f>
        <v>0</v>
      </c>
      <c r="I114" s="44">
        <f>0</f>
        <v>0</v>
      </c>
      <c r="J114" s="44">
        <f>0</f>
        <v>0</v>
      </c>
      <c r="K114" s="44">
        <f>0</f>
        <v>0</v>
      </c>
      <c r="L114" s="44">
        <f>0</f>
        <v>0</v>
      </c>
      <c r="M114" s="45">
        <f>4025</f>
        <v>4025</v>
      </c>
      <c r="N114" s="44">
        <f>0</f>
        <v>0</v>
      </c>
      <c r="O114" s="45">
        <f>3617.3</f>
        <v>3617.3</v>
      </c>
      <c r="P114" s="45">
        <f>1138</f>
        <v>1138</v>
      </c>
      <c r="Q114" s="45">
        <f>0</f>
        <v>0</v>
      </c>
      <c r="R114" s="45">
        <f>0</f>
        <v>0</v>
      </c>
      <c r="S114" s="44">
        <v>5075</v>
      </c>
      <c r="T114" s="44">
        <v>7200</v>
      </c>
      <c r="U114" s="44">
        <v>3500</v>
      </c>
      <c r="V114" s="44">
        <v>81797</v>
      </c>
      <c r="W114" s="44">
        <v>64568</v>
      </c>
      <c r="X114" s="44">
        <v>208739</v>
      </c>
      <c r="Y114" s="44">
        <v>4608</v>
      </c>
      <c r="Z114" s="44">
        <v>3146</v>
      </c>
      <c r="AA114" s="44">
        <v>10248</v>
      </c>
      <c r="AB114" s="44">
        <v>36074</v>
      </c>
      <c r="AD114" s="232">
        <f t="shared" ref="AD114:AK118" si="52">SUMIFS($E114:$AB114,$E$6:$AB$6,AD$5)</f>
        <v>0</v>
      </c>
      <c r="AE114" s="232">
        <f t="shared" si="52"/>
        <v>0</v>
      </c>
      <c r="AF114" s="232">
        <f t="shared" si="52"/>
        <v>4025</v>
      </c>
      <c r="AG114" s="232">
        <f t="shared" si="52"/>
        <v>4755.3</v>
      </c>
      <c r="AH114" s="232">
        <f t="shared" si="52"/>
        <v>5075</v>
      </c>
      <c r="AI114" s="232">
        <f t="shared" si="52"/>
        <v>92497</v>
      </c>
      <c r="AJ114" s="232">
        <f t="shared" si="52"/>
        <v>277915</v>
      </c>
      <c r="AK114" s="232">
        <f t="shared" si="52"/>
        <v>49468</v>
      </c>
      <c r="AL114" s="232"/>
      <c r="AM114" s="232">
        <f t="shared" ref="AM114:AN118" si="53">SUMIFS($E114:$AB114,$E$7:$AB$7,AM$5)</f>
        <v>8780.2999999999993</v>
      </c>
      <c r="AN114" s="232">
        <f t="shared" si="53"/>
        <v>424955</v>
      </c>
    </row>
    <row r="115" spans="1:40" x14ac:dyDescent="0.2">
      <c r="A115" s="37" t="s">
        <v>430</v>
      </c>
      <c r="B115" s="77">
        <v>7102</v>
      </c>
      <c r="C115" s="77"/>
      <c r="D115" s="77"/>
      <c r="E115" s="227">
        <v>0</v>
      </c>
      <c r="F115" s="227">
        <v>0</v>
      </c>
      <c r="G115" s="227">
        <v>0</v>
      </c>
      <c r="H115" s="227">
        <v>0</v>
      </c>
      <c r="I115" s="227">
        <v>0</v>
      </c>
      <c r="J115" s="227">
        <v>0</v>
      </c>
      <c r="K115" s="227">
        <v>0</v>
      </c>
      <c r="L115" s="227">
        <v>0</v>
      </c>
      <c r="M115" s="227">
        <v>0</v>
      </c>
      <c r="N115" s="227">
        <v>0</v>
      </c>
      <c r="O115" s="227">
        <v>0</v>
      </c>
      <c r="P115" s="227">
        <v>0</v>
      </c>
      <c r="Q115" s="227">
        <v>0</v>
      </c>
      <c r="R115" s="227">
        <v>0</v>
      </c>
      <c r="S115" s="227">
        <v>0</v>
      </c>
      <c r="T115" s="44">
        <v>0</v>
      </c>
      <c r="U115" s="44">
        <v>0</v>
      </c>
      <c r="V115" s="44">
        <v>0</v>
      </c>
      <c r="W115" s="44">
        <v>0</v>
      </c>
      <c r="X115" s="44">
        <v>0</v>
      </c>
      <c r="Y115" s="44">
        <v>0</v>
      </c>
      <c r="Z115" s="44">
        <v>602</v>
      </c>
      <c r="AA115" s="44">
        <v>0</v>
      </c>
      <c r="AB115" s="44">
        <v>0</v>
      </c>
      <c r="AD115" s="232">
        <f t="shared" si="52"/>
        <v>0</v>
      </c>
      <c r="AE115" s="232">
        <f t="shared" si="52"/>
        <v>0</v>
      </c>
      <c r="AF115" s="232">
        <f t="shared" si="52"/>
        <v>0</v>
      </c>
      <c r="AG115" s="232">
        <f t="shared" si="52"/>
        <v>0</v>
      </c>
      <c r="AH115" s="232">
        <f t="shared" si="52"/>
        <v>0</v>
      </c>
      <c r="AI115" s="232">
        <f t="shared" si="52"/>
        <v>0</v>
      </c>
      <c r="AJ115" s="232">
        <f t="shared" si="52"/>
        <v>0</v>
      </c>
      <c r="AK115" s="232">
        <f t="shared" si="52"/>
        <v>602</v>
      </c>
      <c r="AL115" s="53"/>
      <c r="AM115" s="232">
        <f t="shared" si="53"/>
        <v>0</v>
      </c>
      <c r="AN115" s="232">
        <f t="shared" si="53"/>
        <v>602</v>
      </c>
    </row>
    <row r="116" spans="1:40" x14ac:dyDescent="0.2">
      <c r="A116" s="37" t="s">
        <v>431</v>
      </c>
      <c r="B116" s="77">
        <v>7103</v>
      </c>
      <c r="C116" s="77"/>
      <c r="D116" s="77"/>
      <c r="E116" s="227">
        <v>0</v>
      </c>
      <c r="F116" s="227">
        <v>0</v>
      </c>
      <c r="G116" s="227">
        <v>0</v>
      </c>
      <c r="H116" s="227">
        <v>0</v>
      </c>
      <c r="I116" s="227">
        <v>0</v>
      </c>
      <c r="J116" s="227">
        <v>0</v>
      </c>
      <c r="K116" s="227">
        <v>0</v>
      </c>
      <c r="L116" s="227">
        <v>0</v>
      </c>
      <c r="M116" s="227">
        <v>0</v>
      </c>
      <c r="N116" s="227">
        <v>0</v>
      </c>
      <c r="O116" s="227">
        <v>0</v>
      </c>
      <c r="P116" s="227">
        <v>0</v>
      </c>
      <c r="Q116" s="227">
        <v>0</v>
      </c>
      <c r="R116" s="227">
        <v>0</v>
      </c>
      <c r="S116" s="227">
        <v>0</v>
      </c>
      <c r="T116" s="44">
        <v>0</v>
      </c>
      <c r="U116" s="44">
        <v>0</v>
      </c>
      <c r="V116" s="44">
        <v>0</v>
      </c>
      <c r="W116" s="44">
        <v>0</v>
      </c>
      <c r="X116" s="44">
        <v>0</v>
      </c>
      <c r="Y116" s="44">
        <v>500</v>
      </c>
      <c r="Z116" s="44">
        <v>452</v>
      </c>
      <c r="AA116" s="44">
        <v>0</v>
      </c>
      <c r="AB116" s="44">
        <v>1990</v>
      </c>
      <c r="AD116" s="232">
        <f t="shared" si="52"/>
        <v>0</v>
      </c>
      <c r="AE116" s="232">
        <f t="shared" si="52"/>
        <v>0</v>
      </c>
      <c r="AF116" s="232">
        <f t="shared" si="52"/>
        <v>0</v>
      </c>
      <c r="AG116" s="232">
        <f t="shared" si="52"/>
        <v>0</v>
      </c>
      <c r="AH116" s="232">
        <f t="shared" si="52"/>
        <v>0</v>
      </c>
      <c r="AI116" s="232">
        <f t="shared" si="52"/>
        <v>0</v>
      </c>
      <c r="AJ116" s="232">
        <f t="shared" si="52"/>
        <v>500</v>
      </c>
      <c r="AK116" s="232">
        <f t="shared" si="52"/>
        <v>2442</v>
      </c>
      <c r="AL116" s="53"/>
      <c r="AM116" s="232">
        <f t="shared" si="53"/>
        <v>0</v>
      </c>
      <c r="AN116" s="232">
        <f t="shared" si="53"/>
        <v>2942</v>
      </c>
    </row>
    <row r="117" spans="1:40" x14ac:dyDescent="0.2">
      <c r="A117" s="37" t="s">
        <v>432</v>
      </c>
      <c r="B117" s="77">
        <v>7104</v>
      </c>
      <c r="C117" s="77"/>
      <c r="D117" s="77"/>
      <c r="E117" s="227">
        <v>0</v>
      </c>
      <c r="F117" s="227">
        <v>0</v>
      </c>
      <c r="G117" s="227">
        <v>0</v>
      </c>
      <c r="H117" s="227">
        <v>0</v>
      </c>
      <c r="I117" s="227">
        <v>0</v>
      </c>
      <c r="J117" s="227">
        <v>0</v>
      </c>
      <c r="K117" s="227">
        <v>0</v>
      </c>
      <c r="L117" s="227">
        <v>0</v>
      </c>
      <c r="M117" s="227">
        <v>0</v>
      </c>
      <c r="N117" s="227">
        <v>0</v>
      </c>
      <c r="O117" s="227">
        <v>0</v>
      </c>
      <c r="P117" s="227">
        <v>0</v>
      </c>
      <c r="Q117" s="227">
        <v>0</v>
      </c>
      <c r="R117" s="227">
        <v>0</v>
      </c>
      <c r="S117" s="227">
        <v>0</v>
      </c>
      <c r="T117" s="44">
        <v>0</v>
      </c>
      <c r="U117" s="44">
        <v>0</v>
      </c>
      <c r="V117" s="44">
        <v>0</v>
      </c>
      <c r="W117" s="44">
        <v>0</v>
      </c>
      <c r="X117" s="44">
        <v>20000</v>
      </c>
      <c r="Y117" s="44">
        <v>92800</v>
      </c>
      <c r="Z117" s="44">
        <v>1317</v>
      </c>
      <c r="AA117" s="44">
        <v>0</v>
      </c>
      <c r="AB117" s="44">
        <v>19394</v>
      </c>
      <c r="AD117" s="232">
        <f t="shared" si="52"/>
        <v>0</v>
      </c>
      <c r="AE117" s="232">
        <f t="shared" si="52"/>
        <v>0</v>
      </c>
      <c r="AF117" s="232">
        <f t="shared" si="52"/>
        <v>0</v>
      </c>
      <c r="AG117" s="232">
        <f t="shared" si="52"/>
        <v>0</v>
      </c>
      <c r="AH117" s="232">
        <f t="shared" si="52"/>
        <v>0</v>
      </c>
      <c r="AI117" s="232">
        <f t="shared" si="52"/>
        <v>0</v>
      </c>
      <c r="AJ117" s="232">
        <f t="shared" si="52"/>
        <v>112800</v>
      </c>
      <c r="AK117" s="232">
        <f t="shared" si="52"/>
        <v>20711</v>
      </c>
      <c r="AL117" s="53"/>
      <c r="AM117" s="232">
        <f t="shared" si="53"/>
        <v>0</v>
      </c>
      <c r="AN117" s="232">
        <f t="shared" si="53"/>
        <v>133511</v>
      </c>
    </row>
    <row r="118" spans="1:40" x14ac:dyDescent="0.2">
      <c r="A118" s="37" t="s">
        <v>433</v>
      </c>
      <c r="B118" s="77">
        <v>7105</v>
      </c>
      <c r="C118" s="77"/>
      <c r="D118" s="77"/>
      <c r="E118" s="44">
        <v>0</v>
      </c>
      <c r="F118" s="44">
        <v>0</v>
      </c>
      <c r="G118" s="44">
        <v>0</v>
      </c>
      <c r="H118" s="44">
        <v>0</v>
      </c>
      <c r="I118" s="44">
        <v>0</v>
      </c>
      <c r="J118" s="44">
        <v>0</v>
      </c>
      <c r="K118" s="44">
        <v>0</v>
      </c>
      <c r="L118" s="44">
        <v>0</v>
      </c>
      <c r="M118" s="44">
        <v>0</v>
      </c>
      <c r="N118" s="44">
        <v>0</v>
      </c>
      <c r="O118" s="44">
        <v>0</v>
      </c>
      <c r="P118" s="44">
        <v>0</v>
      </c>
      <c r="Q118" s="44">
        <v>0</v>
      </c>
      <c r="R118" s="44">
        <v>0</v>
      </c>
      <c r="S118" s="44">
        <v>0</v>
      </c>
      <c r="T118" s="44">
        <v>0</v>
      </c>
      <c r="U118" s="44">
        <v>0</v>
      </c>
      <c r="V118" s="44">
        <v>0</v>
      </c>
      <c r="W118" s="44">
        <v>0</v>
      </c>
      <c r="X118" s="44">
        <v>25750</v>
      </c>
      <c r="Y118" s="44">
        <v>29975</v>
      </c>
      <c r="Z118" s="44">
        <v>19107</v>
      </c>
      <c r="AA118" s="44">
        <v>5620</v>
      </c>
      <c r="AB118" s="44">
        <v>9850</v>
      </c>
      <c r="AD118" s="232">
        <f t="shared" si="52"/>
        <v>0</v>
      </c>
      <c r="AE118" s="232">
        <f t="shared" si="52"/>
        <v>0</v>
      </c>
      <c r="AF118" s="232">
        <f t="shared" si="52"/>
        <v>0</v>
      </c>
      <c r="AG118" s="232">
        <f t="shared" si="52"/>
        <v>0</v>
      </c>
      <c r="AH118" s="232">
        <f t="shared" si="52"/>
        <v>0</v>
      </c>
      <c r="AI118" s="232">
        <f t="shared" si="52"/>
        <v>0</v>
      </c>
      <c r="AJ118" s="232">
        <f t="shared" si="52"/>
        <v>55725</v>
      </c>
      <c r="AK118" s="232">
        <f t="shared" si="52"/>
        <v>34577</v>
      </c>
      <c r="AL118" s="53"/>
      <c r="AM118" s="232">
        <f t="shared" si="53"/>
        <v>0</v>
      </c>
      <c r="AN118" s="232">
        <f t="shared" si="53"/>
        <v>90302</v>
      </c>
    </row>
    <row r="119" spans="1:40" x14ac:dyDescent="0.2">
      <c r="A119" s="37"/>
      <c r="B119" s="77"/>
      <c r="C119" s="77"/>
      <c r="D119" s="77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D119" s="232"/>
      <c r="AE119" s="232"/>
      <c r="AF119" s="232"/>
      <c r="AG119" s="232"/>
      <c r="AH119" s="232"/>
      <c r="AI119" s="232"/>
      <c r="AJ119" s="232"/>
      <c r="AK119" s="232"/>
      <c r="AL119" s="53"/>
      <c r="AM119" s="232"/>
      <c r="AN119" s="232"/>
    </row>
    <row r="120" spans="1:40" x14ac:dyDescent="0.2">
      <c r="A120" s="37" t="s">
        <v>434</v>
      </c>
      <c r="B120" s="77" t="s">
        <v>435</v>
      </c>
      <c r="C120" s="77" t="s">
        <v>175</v>
      </c>
      <c r="D120" s="77"/>
      <c r="E120" s="44">
        <f>0</f>
        <v>0</v>
      </c>
      <c r="F120" s="45">
        <f>2866.44</f>
        <v>2866.44</v>
      </c>
      <c r="G120" s="44">
        <f>0</f>
        <v>0</v>
      </c>
      <c r="H120" s="44">
        <f>0</f>
        <v>0</v>
      </c>
      <c r="I120" s="44">
        <f>0</f>
        <v>0</v>
      </c>
      <c r="J120" s="44">
        <f>0</f>
        <v>0</v>
      </c>
      <c r="K120" s="44">
        <f>0</f>
        <v>0</v>
      </c>
      <c r="L120" s="44">
        <f>0</f>
        <v>0</v>
      </c>
      <c r="M120" s="45">
        <f>25</f>
        <v>25</v>
      </c>
      <c r="N120" s="44">
        <f>0</f>
        <v>0</v>
      </c>
      <c r="O120" s="44">
        <f>0</f>
        <v>0</v>
      </c>
      <c r="P120" s="44">
        <f>0</f>
        <v>0</v>
      </c>
      <c r="Q120" s="44">
        <f>0</f>
        <v>0</v>
      </c>
      <c r="R120" s="44">
        <f>0</f>
        <v>0</v>
      </c>
      <c r="S120" s="44">
        <v>14921.14</v>
      </c>
      <c r="T120" s="44">
        <v>0</v>
      </c>
      <c r="U120" s="44">
        <v>0</v>
      </c>
      <c r="V120" s="44">
        <v>0</v>
      </c>
      <c r="W120" s="44">
        <v>0</v>
      </c>
      <c r="X120" s="44">
        <v>0</v>
      </c>
      <c r="Y120" s="44">
        <v>0</v>
      </c>
      <c r="Z120" s="44">
        <v>800</v>
      </c>
      <c r="AA120" s="44">
        <v>981</v>
      </c>
      <c r="AB120" s="44">
        <v>13011</v>
      </c>
      <c r="AD120" s="48">
        <f t="shared" ref="AD120:AK120" si="54">SUMIFS($E120:$AB120,$E$6:$AB$6,AD$5)</f>
        <v>2866.44</v>
      </c>
      <c r="AE120" s="48">
        <f t="shared" si="54"/>
        <v>0</v>
      </c>
      <c r="AF120" s="48">
        <f t="shared" si="54"/>
        <v>25</v>
      </c>
      <c r="AG120" s="48">
        <f t="shared" si="54"/>
        <v>0</v>
      </c>
      <c r="AH120" s="48">
        <f t="shared" si="54"/>
        <v>14921.14</v>
      </c>
      <c r="AI120" s="48">
        <f t="shared" si="54"/>
        <v>0</v>
      </c>
      <c r="AJ120" s="48">
        <f t="shared" si="54"/>
        <v>0</v>
      </c>
      <c r="AK120" s="48">
        <f t="shared" si="54"/>
        <v>14792</v>
      </c>
      <c r="AL120" s="53"/>
      <c r="AM120" s="48">
        <f>SUMIFS($E120:$AB120,$E$7:$AB$7,AM$5)</f>
        <v>2891.44</v>
      </c>
      <c r="AN120" s="48">
        <f>SUMIFS($E120:$AB120,$E$7:$AB$7,AN$5)</f>
        <v>29713.14</v>
      </c>
    </row>
    <row r="121" spans="1:40" x14ac:dyDescent="0.2">
      <c r="A121" s="37" t="s">
        <v>436</v>
      </c>
      <c r="B121" s="77" t="s">
        <v>437</v>
      </c>
      <c r="C121" s="77" t="s">
        <v>160</v>
      </c>
      <c r="D121" s="77"/>
      <c r="E121" s="45">
        <f>2892.7</f>
        <v>2892.7</v>
      </c>
      <c r="F121" s="45">
        <f>2892.7</f>
        <v>2892.7</v>
      </c>
      <c r="G121" s="45">
        <f>2963.06</f>
        <v>2963.06</v>
      </c>
      <c r="H121" s="45">
        <f>2892.7</f>
        <v>2892.7</v>
      </c>
      <c r="I121" s="45">
        <f>2892.7</f>
        <v>2892.7</v>
      </c>
      <c r="J121" s="45">
        <f>2892.7</f>
        <v>2892.7</v>
      </c>
      <c r="K121" s="45">
        <f>2892.7</f>
        <v>2892.7</v>
      </c>
      <c r="L121" s="45">
        <f>27099.95</f>
        <v>27099.95</v>
      </c>
      <c r="M121" s="45">
        <f>27636.68</f>
        <v>27636.68</v>
      </c>
      <c r="N121" s="45">
        <f>27636.68</f>
        <v>27636.68</v>
      </c>
      <c r="O121" s="45">
        <f>27636.58</f>
        <v>27636.58</v>
      </c>
      <c r="P121" s="45">
        <f>27830.15</f>
        <v>27830.15</v>
      </c>
      <c r="Q121" s="45">
        <f>0</f>
        <v>0</v>
      </c>
      <c r="R121" s="45">
        <f>0</f>
        <v>0</v>
      </c>
      <c r="S121" s="44">
        <v>27830.15</v>
      </c>
      <c r="T121" s="44">
        <v>17039</v>
      </c>
      <c r="U121" s="44">
        <v>17039</v>
      </c>
      <c r="V121" s="44">
        <v>12483</v>
      </c>
      <c r="W121" s="44">
        <v>14761</v>
      </c>
      <c r="X121" s="44">
        <v>3623</v>
      </c>
      <c r="Y121" s="44">
        <v>17707</v>
      </c>
      <c r="Z121" s="44">
        <v>10397</v>
      </c>
      <c r="AA121" s="44">
        <v>10397</v>
      </c>
      <c r="AB121" s="44">
        <v>16901</v>
      </c>
      <c r="AD121" s="50">
        <f t="shared" ref="AD121:AK135" si="55">SUMIFS($E121:$AB121,$E$6:$AB$6,AD$5)</f>
        <v>8748.4599999999991</v>
      </c>
      <c r="AE121" s="50">
        <f t="shared" si="55"/>
        <v>8678.0999999999985</v>
      </c>
      <c r="AF121" s="50">
        <f t="shared" si="55"/>
        <v>57629.33</v>
      </c>
      <c r="AG121" s="50">
        <f t="shared" si="55"/>
        <v>83103.41</v>
      </c>
      <c r="AH121" s="50">
        <f t="shared" si="55"/>
        <v>27830.15</v>
      </c>
      <c r="AI121" s="50">
        <f t="shared" si="55"/>
        <v>46561</v>
      </c>
      <c r="AJ121" s="50">
        <f t="shared" si="55"/>
        <v>36091</v>
      </c>
      <c r="AK121" s="50">
        <f t="shared" si="55"/>
        <v>37695</v>
      </c>
      <c r="AL121" s="53"/>
      <c r="AM121" s="50">
        <f t="shared" ref="AM121:AN135" si="56">SUMIFS($E121:$AB121,$E$7:$AB$7,AM$5)</f>
        <v>158159.30000000002</v>
      </c>
      <c r="AN121" s="50">
        <f t="shared" si="56"/>
        <v>148177.15</v>
      </c>
    </row>
    <row r="122" spans="1:40" x14ac:dyDescent="0.2">
      <c r="A122" s="37" t="s">
        <v>438</v>
      </c>
      <c r="B122" s="77" t="s">
        <v>439</v>
      </c>
      <c r="C122" s="77" t="s">
        <v>75</v>
      </c>
      <c r="D122" s="77"/>
      <c r="E122" s="44">
        <f>0</f>
        <v>0</v>
      </c>
      <c r="F122" s="44">
        <f>0</f>
        <v>0</v>
      </c>
      <c r="G122" s="44">
        <f>0</f>
        <v>0</v>
      </c>
      <c r="H122" s="44">
        <f>0</f>
        <v>0</v>
      </c>
      <c r="I122" s="45">
        <f>500</f>
        <v>500</v>
      </c>
      <c r="J122" s="44">
        <f>0</f>
        <v>0</v>
      </c>
      <c r="K122" s="44">
        <f>0</f>
        <v>0</v>
      </c>
      <c r="L122" s="44">
        <f>0</f>
        <v>0</v>
      </c>
      <c r="M122" s="44">
        <f>0</f>
        <v>0</v>
      </c>
      <c r="N122" s="44">
        <f>0</f>
        <v>0</v>
      </c>
      <c r="O122" s="44">
        <f>0</f>
        <v>0</v>
      </c>
      <c r="P122" s="44">
        <f>0</f>
        <v>0</v>
      </c>
      <c r="Q122" s="44">
        <v>27830.15</v>
      </c>
      <c r="R122" s="44">
        <v>27830.15</v>
      </c>
      <c r="S122" s="44">
        <v>0</v>
      </c>
      <c r="T122" s="44">
        <v>0</v>
      </c>
      <c r="U122" s="44">
        <v>0</v>
      </c>
      <c r="V122" s="44">
        <v>0</v>
      </c>
      <c r="W122" s="44">
        <v>0</v>
      </c>
      <c r="X122" s="44">
        <v>0</v>
      </c>
      <c r="Y122" s="44">
        <v>0</v>
      </c>
      <c r="Z122" s="44">
        <v>0</v>
      </c>
      <c r="AA122" s="44">
        <v>1000</v>
      </c>
      <c r="AB122" s="44">
        <v>0</v>
      </c>
      <c r="AD122" s="48">
        <f t="shared" si="55"/>
        <v>0</v>
      </c>
      <c r="AE122" s="48">
        <f t="shared" si="55"/>
        <v>500</v>
      </c>
      <c r="AF122" s="48">
        <f t="shared" si="55"/>
        <v>0</v>
      </c>
      <c r="AG122" s="48">
        <f t="shared" si="55"/>
        <v>0</v>
      </c>
      <c r="AH122" s="48">
        <f t="shared" si="55"/>
        <v>55660.3</v>
      </c>
      <c r="AI122" s="48">
        <f t="shared" si="55"/>
        <v>0</v>
      </c>
      <c r="AJ122" s="48">
        <f t="shared" si="55"/>
        <v>0</v>
      </c>
      <c r="AK122" s="48">
        <f t="shared" si="55"/>
        <v>1000</v>
      </c>
      <c r="AL122" s="53"/>
      <c r="AM122" s="48">
        <f t="shared" si="56"/>
        <v>500</v>
      </c>
      <c r="AN122" s="48">
        <f t="shared" si="56"/>
        <v>56660.3</v>
      </c>
    </row>
    <row r="123" spans="1:40" x14ac:dyDescent="0.2">
      <c r="A123" s="37" t="s">
        <v>440</v>
      </c>
      <c r="B123" s="77">
        <v>7900</v>
      </c>
      <c r="C123" s="77" t="s">
        <v>102</v>
      </c>
      <c r="D123" s="77"/>
      <c r="E123" s="44">
        <v>0</v>
      </c>
      <c r="F123" s="44">
        <v>0</v>
      </c>
      <c r="G123" s="44">
        <v>0</v>
      </c>
      <c r="H123" s="44">
        <v>0</v>
      </c>
      <c r="I123" s="45">
        <v>0</v>
      </c>
      <c r="J123" s="44">
        <v>0</v>
      </c>
      <c r="K123" s="44">
        <v>0</v>
      </c>
      <c r="L123" s="44">
        <v>0</v>
      </c>
      <c r="M123" s="44">
        <v>0</v>
      </c>
      <c r="N123" s="44">
        <v>0</v>
      </c>
      <c r="O123" s="44">
        <v>0</v>
      </c>
      <c r="P123" s="44">
        <v>0</v>
      </c>
      <c r="Q123" s="44">
        <v>0</v>
      </c>
      <c r="R123" s="44">
        <v>0</v>
      </c>
      <c r="S123" s="44">
        <v>0</v>
      </c>
      <c r="T123" s="44">
        <v>0</v>
      </c>
      <c r="U123" s="44">
        <v>0</v>
      </c>
      <c r="V123" s="44">
        <v>0</v>
      </c>
      <c r="W123" s="44">
        <v>0</v>
      </c>
      <c r="X123" s="44">
        <v>0</v>
      </c>
      <c r="Y123" s="44">
        <v>0</v>
      </c>
      <c r="Z123" s="44">
        <v>29</v>
      </c>
      <c r="AA123" s="44">
        <v>0</v>
      </c>
      <c r="AB123" s="44">
        <v>580</v>
      </c>
      <c r="AD123" s="48">
        <f t="shared" si="55"/>
        <v>0</v>
      </c>
      <c r="AE123" s="48">
        <f t="shared" si="55"/>
        <v>0</v>
      </c>
      <c r="AF123" s="48">
        <f t="shared" si="55"/>
        <v>0</v>
      </c>
      <c r="AG123" s="48">
        <f t="shared" si="55"/>
        <v>0</v>
      </c>
      <c r="AH123" s="48">
        <f t="shared" si="55"/>
        <v>0</v>
      </c>
      <c r="AI123" s="48">
        <f t="shared" si="55"/>
        <v>0</v>
      </c>
      <c r="AJ123" s="48">
        <f t="shared" si="55"/>
        <v>0</v>
      </c>
      <c r="AK123" s="48">
        <f t="shared" si="55"/>
        <v>609</v>
      </c>
      <c r="AL123" s="53"/>
      <c r="AM123" s="48">
        <f t="shared" si="56"/>
        <v>0</v>
      </c>
      <c r="AN123" s="48">
        <f t="shared" si="56"/>
        <v>609</v>
      </c>
    </row>
    <row r="124" spans="1:40" x14ac:dyDescent="0.2">
      <c r="A124" s="3" t="s">
        <v>441</v>
      </c>
      <c r="B124" s="77" t="s">
        <v>93</v>
      </c>
      <c r="C124" s="77"/>
      <c r="D124" s="77"/>
      <c r="E124" s="13">
        <f t="shared" ref="E124:S124" si="57">SUM(E12:E14,E22,E23,E38,E50,E57,E58:E63,E78,E87,E113,E114:E123)</f>
        <v>485311.70000000007</v>
      </c>
      <c r="F124" s="13">
        <f t="shared" si="57"/>
        <v>534277.75999999989</v>
      </c>
      <c r="G124" s="13">
        <f t="shared" si="57"/>
        <v>808779.60000000009</v>
      </c>
      <c r="H124" s="13">
        <f t="shared" si="57"/>
        <v>767935.92999999993</v>
      </c>
      <c r="I124" s="13">
        <f t="shared" si="57"/>
        <v>562345.40999999992</v>
      </c>
      <c r="J124" s="13">
        <f t="shared" si="57"/>
        <v>1093359.0999999999</v>
      </c>
      <c r="K124" s="13">
        <f t="shared" si="57"/>
        <v>1727646.4200000002</v>
      </c>
      <c r="L124" s="13">
        <f t="shared" si="57"/>
        <v>1074586.46</v>
      </c>
      <c r="M124" s="13">
        <f t="shared" si="57"/>
        <v>2574519.7100000004</v>
      </c>
      <c r="N124" s="13">
        <f t="shared" si="57"/>
        <v>1207103.1199999999</v>
      </c>
      <c r="O124" s="13">
        <f t="shared" si="57"/>
        <v>2569493.7199999997</v>
      </c>
      <c r="P124" s="13">
        <f t="shared" si="57"/>
        <v>931333.95999999985</v>
      </c>
      <c r="Q124" s="13">
        <f t="shared" si="57"/>
        <v>834856.76000000013</v>
      </c>
      <c r="R124" s="13">
        <f t="shared" si="57"/>
        <v>1050913.6600000001</v>
      </c>
      <c r="S124" s="13">
        <f t="shared" si="57"/>
        <v>3534600.65</v>
      </c>
      <c r="T124" s="13">
        <v>1093387</v>
      </c>
      <c r="U124" s="13">
        <v>761532</v>
      </c>
      <c r="V124" s="13">
        <v>1372920</v>
      </c>
      <c r="W124" s="13">
        <v>1035021</v>
      </c>
      <c r="X124" s="13">
        <v>959220</v>
      </c>
      <c r="Y124" s="13">
        <v>1473252</v>
      </c>
      <c r="Z124" s="13">
        <v>950457</v>
      </c>
      <c r="AA124" s="13">
        <v>902559</v>
      </c>
      <c r="AB124" s="13">
        <v>1184701</v>
      </c>
      <c r="AD124" s="49">
        <f t="shared" si="55"/>
        <v>1828369.06</v>
      </c>
      <c r="AE124" s="49">
        <f t="shared" si="55"/>
        <v>2423640.4399999995</v>
      </c>
      <c r="AF124" s="49">
        <f t="shared" si="55"/>
        <v>5376752.5899999999</v>
      </c>
      <c r="AG124" s="49">
        <f t="shared" si="55"/>
        <v>4707930.8</v>
      </c>
      <c r="AH124" s="49">
        <f t="shared" si="55"/>
        <v>5420371.0700000003</v>
      </c>
      <c r="AI124" s="49">
        <f t="shared" si="55"/>
        <v>3227839</v>
      </c>
      <c r="AJ124" s="49">
        <f t="shared" si="55"/>
        <v>3467493</v>
      </c>
      <c r="AK124" s="49">
        <f t="shared" si="55"/>
        <v>3037717</v>
      </c>
      <c r="AL124" s="53"/>
      <c r="AM124" s="49">
        <f t="shared" si="56"/>
        <v>14336692.889999999</v>
      </c>
      <c r="AN124" s="49">
        <f t="shared" si="56"/>
        <v>15153420.07</v>
      </c>
    </row>
    <row r="125" spans="1:40" x14ac:dyDescent="0.2">
      <c r="A125" s="3" t="s">
        <v>442</v>
      </c>
      <c r="B125" s="77" t="s">
        <v>442</v>
      </c>
      <c r="C125" s="77"/>
      <c r="D125" s="77"/>
      <c r="E125" s="13">
        <f t="shared" ref="E125:S125" si="58">(E10)-(E124)</f>
        <v>-485311.70000000007</v>
      </c>
      <c r="F125" s="13">
        <f t="shared" si="58"/>
        <v>-534277.75999999989</v>
      </c>
      <c r="G125" s="13">
        <f t="shared" si="58"/>
        <v>-808779.60000000009</v>
      </c>
      <c r="H125" s="13">
        <f t="shared" si="58"/>
        <v>-767935.92999999993</v>
      </c>
      <c r="I125" s="13">
        <f t="shared" si="58"/>
        <v>-562345.40999999992</v>
      </c>
      <c r="J125" s="13">
        <f t="shared" si="58"/>
        <v>-1093359.0999999999</v>
      </c>
      <c r="K125" s="13">
        <f t="shared" si="58"/>
        <v>-1727646.4200000002</v>
      </c>
      <c r="L125" s="13">
        <f t="shared" si="58"/>
        <v>-1074586.46</v>
      </c>
      <c r="M125" s="13">
        <f t="shared" si="58"/>
        <v>-2574519.7100000004</v>
      </c>
      <c r="N125" s="13">
        <f t="shared" si="58"/>
        <v>-1207103.1199999999</v>
      </c>
      <c r="O125" s="13">
        <f t="shared" si="58"/>
        <v>-2569493.7199999997</v>
      </c>
      <c r="P125" s="13">
        <f t="shared" si="58"/>
        <v>-931333.95999999985</v>
      </c>
      <c r="Q125" s="13">
        <f t="shared" si="58"/>
        <v>-834856.76000000013</v>
      </c>
      <c r="R125" s="13">
        <f t="shared" si="58"/>
        <v>-1050913.6600000001</v>
      </c>
      <c r="S125" s="13">
        <f t="shared" si="58"/>
        <v>-3534600.65</v>
      </c>
      <c r="T125" s="13">
        <v>-1093387</v>
      </c>
      <c r="U125" s="13">
        <v>-761532</v>
      </c>
      <c r="V125" s="13">
        <v>-1372920</v>
      </c>
      <c r="W125" s="13">
        <v>-1035021</v>
      </c>
      <c r="X125" s="13">
        <v>-959220</v>
      </c>
      <c r="Y125" s="13">
        <v>-1473252</v>
      </c>
      <c r="Z125" s="13">
        <v>-950457</v>
      </c>
      <c r="AA125" s="13">
        <v>-902559</v>
      </c>
      <c r="AB125" s="13">
        <v>-1184701</v>
      </c>
      <c r="AD125" s="49">
        <f t="shared" si="55"/>
        <v>-1828369.06</v>
      </c>
      <c r="AE125" s="49">
        <f t="shared" si="55"/>
        <v>-2423640.4399999995</v>
      </c>
      <c r="AF125" s="49">
        <f t="shared" si="55"/>
        <v>-5376752.5899999999</v>
      </c>
      <c r="AG125" s="49">
        <f t="shared" si="55"/>
        <v>-4707930.8</v>
      </c>
      <c r="AH125" s="49">
        <f t="shared" si="55"/>
        <v>-5420371.0700000003</v>
      </c>
      <c r="AI125" s="49">
        <f t="shared" si="55"/>
        <v>-3227839</v>
      </c>
      <c r="AJ125" s="49">
        <f t="shared" si="55"/>
        <v>-3467493</v>
      </c>
      <c r="AK125" s="49">
        <f t="shared" si="55"/>
        <v>-3037717</v>
      </c>
      <c r="AL125" s="53"/>
      <c r="AM125" s="49">
        <f t="shared" si="56"/>
        <v>-14336692.889999999</v>
      </c>
      <c r="AN125" s="49">
        <f t="shared" si="56"/>
        <v>-15153420.07</v>
      </c>
    </row>
    <row r="126" spans="1:40" x14ac:dyDescent="0.2">
      <c r="A126" s="3" t="s">
        <v>443</v>
      </c>
      <c r="B126" s="77"/>
      <c r="C126" s="77"/>
      <c r="D126" s="77"/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44">
        <v>0</v>
      </c>
      <c r="U126" s="44">
        <v>0</v>
      </c>
      <c r="V126" s="44">
        <v>0</v>
      </c>
      <c r="W126" s="44">
        <v>0</v>
      </c>
      <c r="X126" s="44">
        <v>0</v>
      </c>
      <c r="Y126" s="44">
        <v>0</v>
      </c>
      <c r="Z126" s="44">
        <v>0</v>
      </c>
      <c r="AA126" s="44">
        <v>0</v>
      </c>
      <c r="AB126" s="44">
        <v>0</v>
      </c>
      <c r="AD126" s="48">
        <f t="shared" si="55"/>
        <v>0</v>
      </c>
      <c r="AE126" s="48">
        <f t="shared" si="55"/>
        <v>0</v>
      </c>
      <c r="AF126" s="48">
        <f t="shared" si="55"/>
        <v>0</v>
      </c>
      <c r="AG126" s="48">
        <f t="shared" si="55"/>
        <v>0</v>
      </c>
      <c r="AH126" s="48">
        <f t="shared" si="55"/>
        <v>0</v>
      </c>
      <c r="AI126" s="48">
        <f t="shared" si="55"/>
        <v>0</v>
      </c>
      <c r="AJ126" s="48">
        <f t="shared" si="55"/>
        <v>0</v>
      </c>
      <c r="AK126" s="48">
        <f t="shared" si="55"/>
        <v>0</v>
      </c>
      <c r="AL126" s="53"/>
      <c r="AM126" s="48">
        <f t="shared" si="56"/>
        <v>0</v>
      </c>
      <c r="AN126" s="48">
        <f t="shared" si="56"/>
        <v>0</v>
      </c>
    </row>
    <row r="127" spans="1:40" x14ac:dyDescent="0.2">
      <c r="A127" s="37" t="s">
        <v>444</v>
      </c>
      <c r="B127" s="77" t="s">
        <v>445</v>
      </c>
      <c r="C127" s="77" t="s">
        <v>174</v>
      </c>
      <c r="D127" s="77"/>
      <c r="E127" s="45">
        <f>34969.86</f>
        <v>34969.86</v>
      </c>
      <c r="F127" s="45">
        <f>40894.93</f>
        <v>40894.93</v>
      </c>
      <c r="G127" s="45">
        <f>54251.43</f>
        <v>54251.43</v>
      </c>
      <c r="H127" s="45">
        <f>58667.17</f>
        <v>58667.17</v>
      </c>
      <c r="I127" s="45">
        <f>69167.05</f>
        <v>69167.05</v>
      </c>
      <c r="J127" s="45">
        <f>70233.09</f>
        <v>70233.09</v>
      </c>
      <c r="K127" s="45">
        <f>69258.71</f>
        <v>69258.710000000006</v>
      </c>
      <c r="L127" s="45">
        <f>63566.53</f>
        <v>63566.53</v>
      </c>
      <c r="M127" s="45">
        <f>56891.89</f>
        <v>56891.89</v>
      </c>
      <c r="N127" s="45">
        <f>50840.56</f>
        <v>50840.56</v>
      </c>
      <c r="O127" s="45">
        <f>37700.97</f>
        <v>37700.97</v>
      </c>
      <c r="P127" s="45">
        <f>31923.28</f>
        <v>31923.279999999999</v>
      </c>
      <c r="Q127" s="45">
        <v>27628.65</v>
      </c>
      <c r="R127" s="45">
        <v>21741.57</v>
      </c>
      <c r="S127" s="45">
        <v>13689.25</v>
      </c>
      <c r="T127" s="45">
        <v>0</v>
      </c>
      <c r="U127" s="45">
        <v>19529</v>
      </c>
      <c r="V127" s="45">
        <v>36681</v>
      </c>
      <c r="W127" s="45">
        <v>37975</v>
      </c>
      <c r="X127" s="45">
        <v>33223</v>
      </c>
      <c r="Y127" s="45">
        <v>27258</v>
      </c>
      <c r="Z127" s="45">
        <v>22140</v>
      </c>
      <c r="AA127" s="45">
        <v>17027</v>
      </c>
      <c r="AB127" s="45">
        <v>13684</v>
      </c>
      <c r="AD127" s="50">
        <f t="shared" si="55"/>
        <v>130116.22</v>
      </c>
      <c r="AE127" s="50">
        <f t="shared" si="55"/>
        <v>198067.31</v>
      </c>
      <c r="AF127" s="50">
        <f t="shared" si="55"/>
        <v>189717.13</v>
      </c>
      <c r="AG127" s="50">
        <f t="shared" si="55"/>
        <v>120464.81</v>
      </c>
      <c r="AH127" s="50">
        <f t="shared" si="55"/>
        <v>63059.47</v>
      </c>
      <c r="AI127" s="50">
        <f t="shared" si="55"/>
        <v>56210</v>
      </c>
      <c r="AJ127" s="50">
        <f t="shared" si="55"/>
        <v>98456</v>
      </c>
      <c r="AK127" s="50">
        <f t="shared" si="55"/>
        <v>52851</v>
      </c>
      <c r="AL127" s="53"/>
      <c r="AM127" s="50">
        <f t="shared" si="56"/>
        <v>638365.47</v>
      </c>
      <c r="AN127" s="50">
        <f t="shared" si="56"/>
        <v>270576.46999999997</v>
      </c>
    </row>
    <row r="128" spans="1:40" x14ac:dyDescent="0.2">
      <c r="A128" s="3" t="s">
        <v>446</v>
      </c>
      <c r="B128" s="77" t="s">
        <v>443</v>
      </c>
      <c r="C128" s="77"/>
      <c r="D128" s="77"/>
      <c r="E128" s="13">
        <f t="shared" ref="E128:S128" si="59">E127</f>
        <v>34969.86</v>
      </c>
      <c r="F128" s="13">
        <f t="shared" si="59"/>
        <v>40894.93</v>
      </c>
      <c r="G128" s="13">
        <f t="shared" si="59"/>
        <v>54251.43</v>
      </c>
      <c r="H128" s="13">
        <f t="shared" si="59"/>
        <v>58667.17</v>
      </c>
      <c r="I128" s="13">
        <f t="shared" si="59"/>
        <v>69167.05</v>
      </c>
      <c r="J128" s="13">
        <f t="shared" si="59"/>
        <v>70233.09</v>
      </c>
      <c r="K128" s="13">
        <f t="shared" si="59"/>
        <v>69258.710000000006</v>
      </c>
      <c r="L128" s="13">
        <f t="shared" si="59"/>
        <v>63566.53</v>
      </c>
      <c r="M128" s="13">
        <f t="shared" si="59"/>
        <v>56891.89</v>
      </c>
      <c r="N128" s="13">
        <f t="shared" si="59"/>
        <v>50840.56</v>
      </c>
      <c r="O128" s="13">
        <f t="shared" si="59"/>
        <v>37700.97</v>
      </c>
      <c r="P128" s="13">
        <f t="shared" si="59"/>
        <v>31923.279999999999</v>
      </c>
      <c r="Q128" s="13">
        <f t="shared" si="59"/>
        <v>27628.65</v>
      </c>
      <c r="R128" s="13">
        <f t="shared" si="59"/>
        <v>21741.57</v>
      </c>
      <c r="S128" s="13">
        <f t="shared" si="59"/>
        <v>13689.25</v>
      </c>
      <c r="T128" s="13">
        <v>0</v>
      </c>
      <c r="U128" s="13">
        <v>19529</v>
      </c>
      <c r="V128" s="13">
        <v>36681</v>
      </c>
      <c r="W128" s="13">
        <v>37975</v>
      </c>
      <c r="X128" s="13">
        <v>33223</v>
      </c>
      <c r="Y128" s="13">
        <v>27258</v>
      </c>
      <c r="Z128" s="13">
        <v>22140</v>
      </c>
      <c r="AA128" s="13">
        <v>17027</v>
      </c>
      <c r="AB128" s="13">
        <v>13684</v>
      </c>
      <c r="AD128" s="49">
        <f t="shared" si="55"/>
        <v>130116.22</v>
      </c>
      <c r="AE128" s="49">
        <f t="shared" si="55"/>
        <v>198067.31</v>
      </c>
      <c r="AF128" s="49">
        <f t="shared" si="55"/>
        <v>189717.13</v>
      </c>
      <c r="AG128" s="49">
        <f t="shared" si="55"/>
        <v>120464.81</v>
      </c>
      <c r="AH128" s="49">
        <f t="shared" si="55"/>
        <v>63059.47</v>
      </c>
      <c r="AI128" s="49">
        <f t="shared" si="55"/>
        <v>56210</v>
      </c>
      <c r="AJ128" s="49">
        <f t="shared" si="55"/>
        <v>98456</v>
      </c>
      <c r="AK128" s="49">
        <f t="shared" si="55"/>
        <v>52851</v>
      </c>
      <c r="AL128" s="53"/>
      <c r="AM128" s="49">
        <f t="shared" si="56"/>
        <v>638365.47</v>
      </c>
      <c r="AN128" s="49">
        <f t="shared" si="56"/>
        <v>270576.46999999997</v>
      </c>
    </row>
    <row r="129" spans="1:41" x14ac:dyDescent="0.2">
      <c r="A129" s="3" t="s">
        <v>120</v>
      </c>
      <c r="B129" s="77"/>
      <c r="C129" s="77"/>
      <c r="D129" s="77"/>
      <c r="E129" s="227">
        <v>0</v>
      </c>
      <c r="F129" s="227">
        <v>0</v>
      </c>
      <c r="G129" s="227">
        <v>0</v>
      </c>
      <c r="H129" s="227">
        <v>0</v>
      </c>
      <c r="I129" s="227">
        <v>0</v>
      </c>
      <c r="J129" s="227">
        <v>0</v>
      </c>
      <c r="K129" s="227">
        <v>0</v>
      </c>
      <c r="L129" s="227">
        <v>0</v>
      </c>
      <c r="M129" s="227">
        <v>0</v>
      </c>
      <c r="N129" s="227">
        <v>0</v>
      </c>
      <c r="O129" s="227">
        <v>0</v>
      </c>
      <c r="P129" s="227">
        <v>0</v>
      </c>
      <c r="Q129" s="227">
        <v>0</v>
      </c>
      <c r="R129" s="227">
        <v>0</v>
      </c>
      <c r="S129" s="227">
        <v>0</v>
      </c>
      <c r="T129" s="227">
        <v>0</v>
      </c>
      <c r="U129" s="227">
        <v>0</v>
      </c>
      <c r="V129" s="227">
        <v>0</v>
      </c>
      <c r="W129" s="227">
        <v>0</v>
      </c>
      <c r="X129" s="227">
        <v>0</v>
      </c>
      <c r="Y129" s="227">
        <v>0</v>
      </c>
      <c r="Z129" s="227">
        <v>0</v>
      </c>
      <c r="AA129" s="227">
        <v>0</v>
      </c>
      <c r="AB129" s="227">
        <v>0</v>
      </c>
      <c r="AD129" s="228">
        <f t="shared" si="55"/>
        <v>0</v>
      </c>
      <c r="AE129" s="228">
        <f t="shared" si="55"/>
        <v>0</v>
      </c>
      <c r="AF129" s="228">
        <f t="shared" si="55"/>
        <v>0</v>
      </c>
      <c r="AG129" s="228">
        <f t="shared" si="55"/>
        <v>0</v>
      </c>
      <c r="AH129" s="228">
        <f t="shared" si="55"/>
        <v>0</v>
      </c>
      <c r="AI129" s="228">
        <f t="shared" si="55"/>
        <v>0</v>
      </c>
      <c r="AJ129" s="228">
        <f t="shared" si="55"/>
        <v>0</v>
      </c>
      <c r="AK129" s="228">
        <f t="shared" si="55"/>
        <v>0</v>
      </c>
      <c r="AL129" s="53"/>
      <c r="AM129" s="228">
        <f t="shared" si="56"/>
        <v>0</v>
      </c>
      <c r="AN129" s="228">
        <f t="shared" si="56"/>
        <v>0</v>
      </c>
    </row>
    <row r="130" spans="1:41" x14ac:dyDescent="0.2">
      <c r="A130" s="37" t="s">
        <v>447</v>
      </c>
      <c r="B130" s="77" t="s">
        <v>448</v>
      </c>
      <c r="C130" s="77" t="s">
        <v>229</v>
      </c>
      <c r="D130" s="77"/>
      <c r="E130" s="45">
        <f>765.17</f>
        <v>765.17</v>
      </c>
      <c r="F130" s="45">
        <f t="shared" ref="F130:K130" si="60">590.94</f>
        <v>590.94000000000005</v>
      </c>
      <c r="G130" s="45">
        <f t="shared" si="60"/>
        <v>590.94000000000005</v>
      </c>
      <c r="H130" s="45">
        <f t="shared" si="60"/>
        <v>590.94000000000005</v>
      </c>
      <c r="I130" s="45">
        <f t="shared" si="60"/>
        <v>590.94000000000005</v>
      </c>
      <c r="J130" s="45">
        <f t="shared" si="60"/>
        <v>590.94000000000005</v>
      </c>
      <c r="K130" s="45">
        <f t="shared" si="60"/>
        <v>590.94000000000005</v>
      </c>
      <c r="L130" s="45">
        <f>2314.26</f>
        <v>2314.2600000000002</v>
      </c>
      <c r="M130" s="45">
        <f>1029.62</f>
        <v>1029.6199999999999</v>
      </c>
      <c r="N130" s="45">
        <f>1063.68</f>
        <v>1063.68</v>
      </c>
      <c r="O130" s="45">
        <f>1063.68</f>
        <v>1063.68</v>
      </c>
      <c r="P130" s="45">
        <f>1063.68</f>
        <v>1063.68</v>
      </c>
      <c r="Q130" s="45">
        <v>1097.01</v>
      </c>
      <c r="R130" s="45">
        <v>1097.01</v>
      </c>
      <c r="S130" s="45">
        <v>3306.26</v>
      </c>
      <c r="T130" s="45">
        <v>1850</v>
      </c>
      <c r="U130" s="45">
        <v>1850</v>
      </c>
      <c r="V130" s="45">
        <v>2291</v>
      </c>
      <c r="W130" s="45">
        <v>1999</v>
      </c>
      <c r="X130" s="45">
        <v>2047</v>
      </c>
      <c r="Y130" s="45">
        <v>2047</v>
      </c>
      <c r="Z130" s="45">
        <v>2142</v>
      </c>
      <c r="AA130" s="45">
        <v>2180</v>
      </c>
      <c r="AB130" s="45">
        <v>2180</v>
      </c>
      <c r="AD130" s="50">
        <f t="shared" si="55"/>
        <v>1947.0500000000002</v>
      </c>
      <c r="AE130" s="50">
        <f t="shared" si="55"/>
        <v>1772.8200000000002</v>
      </c>
      <c r="AF130" s="50">
        <f t="shared" si="55"/>
        <v>3934.82</v>
      </c>
      <c r="AG130" s="50">
        <f t="shared" si="55"/>
        <v>3191.04</v>
      </c>
      <c r="AH130" s="50">
        <f t="shared" si="55"/>
        <v>5500.2800000000007</v>
      </c>
      <c r="AI130" s="50">
        <f t="shared" si="55"/>
        <v>5991</v>
      </c>
      <c r="AJ130" s="50">
        <f t="shared" si="55"/>
        <v>6093</v>
      </c>
      <c r="AK130" s="50">
        <f t="shared" si="55"/>
        <v>6502</v>
      </c>
      <c r="AL130" s="53"/>
      <c r="AM130" s="50">
        <f t="shared" si="56"/>
        <v>10845.730000000001</v>
      </c>
      <c r="AN130" s="50">
        <f t="shared" si="56"/>
        <v>24086.28</v>
      </c>
    </row>
    <row r="131" spans="1:41" x14ac:dyDescent="0.2">
      <c r="A131" s="37" t="s">
        <v>449</v>
      </c>
      <c r="B131" s="77" t="s">
        <v>450</v>
      </c>
      <c r="C131" s="77" t="s">
        <v>229</v>
      </c>
      <c r="D131" s="77"/>
      <c r="E131" s="45">
        <f>38.3</f>
        <v>38.299999999999997</v>
      </c>
      <c r="F131" s="45">
        <f>38.3</f>
        <v>38.299999999999997</v>
      </c>
      <c r="G131" s="45">
        <f>99.1</f>
        <v>99.1</v>
      </c>
      <c r="H131" s="45">
        <f>104.78</f>
        <v>104.78</v>
      </c>
      <c r="I131" s="45">
        <f>122.36</f>
        <v>122.36</v>
      </c>
      <c r="J131" s="45">
        <f t="shared" ref="J131:P131" si="61">113.57</f>
        <v>113.57</v>
      </c>
      <c r="K131" s="45">
        <f t="shared" si="61"/>
        <v>113.57</v>
      </c>
      <c r="L131" s="45">
        <f t="shared" si="61"/>
        <v>113.57</v>
      </c>
      <c r="M131" s="45">
        <f t="shared" si="61"/>
        <v>113.57</v>
      </c>
      <c r="N131" s="45">
        <f t="shared" si="61"/>
        <v>113.57</v>
      </c>
      <c r="O131" s="45">
        <f t="shared" si="61"/>
        <v>113.57</v>
      </c>
      <c r="P131" s="45">
        <f t="shared" si="61"/>
        <v>113.57</v>
      </c>
      <c r="Q131" s="45">
        <v>113.57</v>
      </c>
      <c r="R131" s="45">
        <v>113.57</v>
      </c>
      <c r="S131" s="45">
        <v>113.57</v>
      </c>
      <c r="T131" s="45">
        <v>114</v>
      </c>
      <c r="U131" s="45">
        <v>497</v>
      </c>
      <c r="V131" s="45">
        <v>607</v>
      </c>
      <c r="W131" s="45">
        <v>702</v>
      </c>
      <c r="X131" s="45">
        <v>770</v>
      </c>
      <c r="Y131" s="45">
        <v>973</v>
      </c>
      <c r="Z131" s="45">
        <v>973</v>
      </c>
      <c r="AA131" s="45">
        <v>973</v>
      </c>
      <c r="AB131" s="45">
        <v>899</v>
      </c>
      <c r="AD131" s="50">
        <f t="shared" si="55"/>
        <v>175.7</v>
      </c>
      <c r="AE131" s="50">
        <f t="shared" si="55"/>
        <v>340.71</v>
      </c>
      <c r="AF131" s="50">
        <f t="shared" si="55"/>
        <v>340.71</v>
      </c>
      <c r="AG131" s="50">
        <f t="shared" si="55"/>
        <v>340.71</v>
      </c>
      <c r="AH131" s="50">
        <f t="shared" si="55"/>
        <v>340.71</v>
      </c>
      <c r="AI131" s="50">
        <f t="shared" si="55"/>
        <v>1218</v>
      </c>
      <c r="AJ131" s="50">
        <f t="shared" si="55"/>
        <v>2445</v>
      </c>
      <c r="AK131" s="50">
        <f t="shared" si="55"/>
        <v>2845</v>
      </c>
      <c r="AL131" s="53"/>
      <c r="AM131" s="50">
        <f t="shared" si="56"/>
        <v>1197.8299999999997</v>
      </c>
      <c r="AN131" s="50">
        <f t="shared" si="56"/>
        <v>6848.71</v>
      </c>
    </row>
    <row r="132" spans="1:41" x14ac:dyDescent="0.2">
      <c r="A132" s="37" t="s">
        <v>451</v>
      </c>
      <c r="B132" s="77" t="s">
        <v>450</v>
      </c>
      <c r="C132" s="77" t="s">
        <v>229</v>
      </c>
      <c r="D132" s="77"/>
      <c r="E132" s="45">
        <v>0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5">
        <v>0</v>
      </c>
      <c r="M132" s="45">
        <v>0</v>
      </c>
      <c r="N132" s="45">
        <v>0</v>
      </c>
      <c r="O132" s="45">
        <v>0</v>
      </c>
      <c r="P132" s="45">
        <v>0</v>
      </c>
      <c r="Q132" s="45">
        <v>0</v>
      </c>
      <c r="R132" s="45">
        <v>0</v>
      </c>
      <c r="S132" s="45">
        <v>0</v>
      </c>
      <c r="T132" s="44">
        <v>0</v>
      </c>
      <c r="U132" s="44">
        <v>0</v>
      </c>
      <c r="V132" s="44">
        <v>49731</v>
      </c>
      <c r="W132" s="44">
        <v>96392</v>
      </c>
      <c r="X132" s="44">
        <v>0</v>
      </c>
      <c r="Y132" s="44">
        <v>0</v>
      </c>
      <c r="Z132" s="44">
        <v>0</v>
      </c>
      <c r="AA132" s="44">
        <v>0</v>
      </c>
      <c r="AB132" s="44">
        <v>3958</v>
      </c>
      <c r="AD132" s="50">
        <f t="shared" si="55"/>
        <v>0</v>
      </c>
      <c r="AE132" s="50">
        <f t="shared" si="55"/>
        <v>0</v>
      </c>
      <c r="AF132" s="50">
        <f t="shared" si="55"/>
        <v>0</v>
      </c>
      <c r="AG132" s="50">
        <f t="shared" si="55"/>
        <v>0</v>
      </c>
      <c r="AH132" s="50">
        <f t="shared" si="55"/>
        <v>0</v>
      </c>
      <c r="AI132" s="50">
        <f t="shared" si="55"/>
        <v>49731</v>
      </c>
      <c r="AJ132" s="50">
        <f t="shared" si="55"/>
        <v>96392</v>
      </c>
      <c r="AK132" s="50">
        <f t="shared" si="55"/>
        <v>3958</v>
      </c>
      <c r="AL132" s="53"/>
      <c r="AM132" s="50">
        <f t="shared" si="56"/>
        <v>0</v>
      </c>
      <c r="AN132" s="50">
        <f t="shared" si="56"/>
        <v>150081</v>
      </c>
    </row>
    <row r="133" spans="1:41" x14ac:dyDescent="0.2">
      <c r="A133" s="37" t="s">
        <v>452</v>
      </c>
      <c r="B133" s="77" t="s">
        <v>450</v>
      </c>
      <c r="C133" s="77" t="s">
        <v>102</v>
      </c>
      <c r="D133" s="77"/>
      <c r="E133" s="45">
        <v>0</v>
      </c>
      <c r="F133" s="45">
        <v>0</v>
      </c>
      <c r="G133" s="45">
        <v>0</v>
      </c>
      <c r="H133" s="45">
        <v>0</v>
      </c>
      <c r="I133" s="45">
        <v>0</v>
      </c>
      <c r="J133" s="45">
        <v>0</v>
      </c>
      <c r="K133" s="45">
        <v>0</v>
      </c>
      <c r="L133" s="45">
        <v>0</v>
      </c>
      <c r="M133" s="45">
        <v>0</v>
      </c>
      <c r="N133" s="45">
        <v>0</v>
      </c>
      <c r="O133" s="45">
        <v>0</v>
      </c>
      <c r="P133" s="45">
        <v>0</v>
      </c>
      <c r="Q133" s="45">
        <v>0</v>
      </c>
      <c r="R133" s="45">
        <v>0</v>
      </c>
      <c r="S133" s="45">
        <v>0</v>
      </c>
      <c r="T133" s="44">
        <v>9722</v>
      </c>
      <c r="U133" s="44">
        <v>17451</v>
      </c>
      <c r="V133" s="44">
        <v>34830</v>
      </c>
      <c r="W133" s="44">
        <v>27562</v>
      </c>
      <c r="X133" s="44">
        <v>26809</v>
      </c>
      <c r="Y133" s="44">
        <v>25253</v>
      </c>
      <c r="Z133" s="44">
        <v>24953</v>
      </c>
      <c r="AA133" s="44">
        <v>22934</v>
      </c>
      <c r="AB133" s="44">
        <v>22227</v>
      </c>
      <c r="AD133" s="50">
        <f t="shared" si="55"/>
        <v>0</v>
      </c>
      <c r="AE133" s="50">
        <f t="shared" si="55"/>
        <v>0</v>
      </c>
      <c r="AF133" s="50">
        <f t="shared" si="55"/>
        <v>0</v>
      </c>
      <c r="AG133" s="50">
        <f t="shared" si="55"/>
        <v>0</v>
      </c>
      <c r="AH133" s="50">
        <f t="shared" si="55"/>
        <v>0</v>
      </c>
      <c r="AI133" s="50">
        <f t="shared" si="55"/>
        <v>62003</v>
      </c>
      <c r="AJ133" s="50">
        <f t="shared" si="55"/>
        <v>79624</v>
      </c>
      <c r="AK133" s="50">
        <f t="shared" si="55"/>
        <v>70114</v>
      </c>
      <c r="AL133" s="53"/>
      <c r="AM133" s="50">
        <f t="shared" si="56"/>
        <v>0</v>
      </c>
      <c r="AN133" s="50">
        <f t="shared" si="56"/>
        <v>211741</v>
      </c>
    </row>
    <row r="134" spans="1:41" x14ac:dyDescent="0.2">
      <c r="A134" s="37" t="s">
        <v>453</v>
      </c>
      <c r="B134" s="77" t="s">
        <v>450</v>
      </c>
      <c r="C134" s="77" t="s">
        <v>231</v>
      </c>
      <c r="D134" s="77"/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0</v>
      </c>
      <c r="N134" s="45">
        <v>0</v>
      </c>
      <c r="O134" s="45">
        <v>0</v>
      </c>
      <c r="P134" s="45">
        <v>0</v>
      </c>
      <c r="Q134" s="45">
        <v>0</v>
      </c>
      <c r="R134" s="45">
        <v>0</v>
      </c>
      <c r="S134" s="45">
        <v>0</v>
      </c>
      <c r="T134" s="45">
        <v>0</v>
      </c>
      <c r="U134" s="45">
        <v>0</v>
      </c>
      <c r="V134" s="45">
        <v>0</v>
      </c>
      <c r="W134" s="45">
        <v>0</v>
      </c>
      <c r="X134" s="45">
        <v>0</v>
      </c>
      <c r="Y134" s="45">
        <v>0</v>
      </c>
      <c r="Z134" s="45">
        <v>483988</v>
      </c>
      <c r="AA134" s="45">
        <v>0</v>
      </c>
      <c r="AB134" s="45">
        <v>0</v>
      </c>
      <c r="AD134" s="50">
        <f t="shared" si="55"/>
        <v>0</v>
      </c>
      <c r="AE134" s="50">
        <f t="shared" si="55"/>
        <v>0</v>
      </c>
      <c r="AF134" s="50">
        <f t="shared" si="55"/>
        <v>0</v>
      </c>
      <c r="AG134" s="50">
        <f t="shared" si="55"/>
        <v>0</v>
      </c>
      <c r="AH134" s="50">
        <f t="shared" si="55"/>
        <v>0</v>
      </c>
      <c r="AI134" s="50">
        <f t="shared" si="55"/>
        <v>0</v>
      </c>
      <c r="AJ134" s="50">
        <f t="shared" si="55"/>
        <v>0</v>
      </c>
      <c r="AK134" s="50">
        <f t="shared" si="55"/>
        <v>483988</v>
      </c>
      <c r="AL134" s="53"/>
      <c r="AM134" s="50">
        <f t="shared" si="56"/>
        <v>0</v>
      </c>
      <c r="AN134" s="50">
        <f t="shared" si="56"/>
        <v>483988</v>
      </c>
    </row>
    <row r="135" spans="1:41" x14ac:dyDescent="0.2">
      <c r="A135" s="37" t="s">
        <v>454</v>
      </c>
      <c r="B135" s="77" t="s">
        <v>450</v>
      </c>
      <c r="C135" s="77" t="s">
        <v>344</v>
      </c>
      <c r="D135" s="77"/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5">
        <v>0</v>
      </c>
      <c r="M135" s="45">
        <v>0</v>
      </c>
      <c r="N135" s="45">
        <v>0</v>
      </c>
      <c r="O135" s="45">
        <v>0</v>
      </c>
      <c r="P135" s="45">
        <v>0</v>
      </c>
      <c r="Q135" s="45">
        <v>0</v>
      </c>
      <c r="R135" s="45">
        <v>0</v>
      </c>
      <c r="S135" s="45">
        <v>0</v>
      </c>
      <c r="T135" s="44">
        <v>0</v>
      </c>
      <c r="U135" s="44">
        <v>0</v>
      </c>
      <c r="V135" s="44">
        <v>0</v>
      </c>
      <c r="W135" s="44">
        <v>315833</v>
      </c>
      <c r="X135" s="44">
        <v>45119</v>
      </c>
      <c r="Y135" s="44">
        <v>45706</v>
      </c>
      <c r="Z135" s="44">
        <v>45706</v>
      </c>
      <c r="AA135" s="44">
        <v>45706</v>
      </c>
      <c r="AB135" s="44">
        <v>10141</v>
      </c>
      <c r="AD135" s="50">
        <f t="shared" si="55"/>
        <v>0</v>
      </c>
      <c r="AE135" s="50">
        <f t="shared" si="55"/>
        <v>0</v>
      </c>
      <c r="AF135" s="50">
        <f t="shared" si="55"/>
        <v>0</v>
      </c>
      <c r="AG135" s="50">
        <f t="shared" si="55"/>
        <v>0</v>
      </c>
      <c r="AH135" s="50">
        <f t="shared" si="55"/>
        <v>0</v>
      </c>
      <c r="AI135" s="50">
        <f t="shared" si="55"/>
        <v>0</v>
      </c>
      <c r="AJ135" s="50">
        <f t="shared" si="55"/>
        <v>406658</v>
      </c>
      <c r="AK135" s="50">
        <f t="shared" si="55"/>
        <v>101553</v>
      </c>
      <c r="AL135" s="53"/>
      <c r="AM135" s="50">
        <f t="shared" si="56"/>
        <v>0</v>
      </c>
      <c r="AN135" s="50">
        <f t="shared" si="56"/>
        <v>508211</v>
      </c>
    </row>
    <row r="136" spans="1:41" x14ac:dyDescent="0.2">
      <c r="A136" s="3" t="s">
        <v>455</v>
      </c>
      <c r="B136" s="77" t="s">
        <v>120</v>
      </c>
      <c r="C136" s="77" t="s">
        <v>120</v>
      </c>
      <c r="D136" s="77"/>
      <c r="E136" s="13">
        <f t="shared" ref="E136:S136" si="62">(E130)+(E131)</f>
        <v>803.46999999999991</v>
      </c>
      <c r="F136" s="13">
        <f t="shared" si="62"/>
        <v>629.24</v>
      </c>
      <c r="G136" s="13">
        <f t="shared" si="62"/>
        <v>690.04000000000008</v>
      </c>
      <c r="H136" s="13">
        <f t="shared" si="62"/>
        <v>695.72</v>
      </c>
      <c r="I136" s="13">
        <f t="shared" si="62"/>
        <v>713.30000000000007</v>
      </c>
      <c r="J136" s="13">
        <f t="shared" si="62"/>
        <v>704.51</v>
      </c>
      <c r="K136" s="13">
        <f t="shared" si="62"/>
        <v>704.51</v>
      </c>
      <c r="L136" s="13">
        <f t="shared" si="62"/>
        <v>2427.8300000000004</v>
      </c>
      <c r="M136" s="13">
        <f t="shared" si="62"/>
        <v>1143.1899999999998</v>
      </c>
      <c r="N136" s="13">
        <f t="shared" si="62"/>
        <v>1177.25</v>
      </c>
      <c r="O136" s="13">
        <f t="shared" si="62"/>
        <v>1177.25</v>
      </c>
      <c r="P136" s="13">
        <f t="shared" si="62"/>
        <v>1177.25</v>
      </c>
      <c r="Q136" s="13">
        <f t="shared" si="62"/>
        <v>1210.58</v>
      </c>
      <c r="R136" s="13">
        <f t="shared" si="62"/>
        <v>1210.58</v>
      </c>
      <c r="S136" s="13">
        <f t="shared" si="62"/>
        <v>3419.8300000000004</v>
      </c>
      <c r="T136" s="13">
        <v>11686</v>
      </c>
      <c r="U136" s="13">
        <v>19798</v>
      </c>
      <c r="V136" s="13">
        <v>87459</v>
      </c>
      <c r="W136" s="13">
        <v>442487</v>
      </c>
      <c r="X136" s="13">
        <v>74745</v>
      </c>
      <c r="Y136" s="13">
        <v>73979</v>
      </c>
      <c r="Z136" s="13">
        <v>557762</v>
      </c>
      <c r="AA136" s="13">
        <v>71793</v>
      </c>
      <c r="AB136" s="13">
        <v>39406</v>
      </c>
      <c r="AD136" s="49">
        <f t="shared" ref="AD136:AK138" si="63">SUMIFS($E136:$AB136,$E$6:$AB$6,AD$5)</f>
        <v>2122.75</v>
      </c>
      <c r="AE136" s="49">
        <f t="shared" si="63"/>
        <v>2113.5299999999997</v>
      </c>
      <c r="AF136" s="49">
        <f t="shared" si="63"/>
        <v>4275.53</v>
      </c>
      <c r="AG136" s="49">
        <f t="shared" si="63"/>
        <v>3531.75</v>
      </c>
      <c r="AH136" s="49">
        <f t="shared" si="63"/>
        <v>5840.99</v>
      </c>
      <c r="AI136" s="49">
        <f t="shared" si="63"/>
        <v>118943</v>
      </c>
      <c r="AJ136" s="49">
        <f t="shared" si="63"/>
        <v>591211</v>
      </c>
      <c r="AK136" s="49">
        <f t="shared" si="63"/>
        <v>668961</v>
      </c>
      <c r="AL136" s="53"/>
      <c r="AM136" s="49">
        <f t="shared" ref="AM136:AN138" si="64">SUMIFS($E136:$AB136,$E$7:$AB$7,AM$5)</f>
        <v>12043.560000000001</v>
      </c>
      <c r="AN136" s="49">
        <f t="shared" si="64"/>
        <v>1384955.99</v>
      </c>
    </row>
    <row r="137" spans="1:41" x14ac:dyDescent="0.2">
      <c r="A137" s="3" t="s">
        <v>456</v>
      </c>
      <c r="B137" s="77" t="s">
        <v>456</v>
      </c>
      <c r="C137" s="77" t="s">
        <v>456</v>
      </c>
      <c r="D137" s="77"/>
      <c r="E137" s="13">
        <f>(E128)-(E136)</f>
        <v>34166.39</v>
      </c>
      <c r="F137" s="13">
        <f t="shared" ref="F137:S137" si="65">(F128)-(F136)</f>
        <v>40265.69</v>
      </c>
      <c r="G137" s="13">
        <f t="shared" si="65"/>
        <v>53561.39</v>
      </c>
      <c r="H137" s="13">
        <f t="shared" si="65"/>
        <v>57971.45</v>
      </c>
      <c r="I137" s="13">
        <f t="shared" si="65"/>
        <v>68453.75</v>
      </c>
      <c r="J137" s="13">
        <f t="shared" si="65"/>
        <v>69528.58</v>
      </c>
      <c r="K137" s="13">
        <f t="shared" si="65"/>
        <v>68554.200000000012</v>
      </c>
      <c r="L137" s="13">
        <f t="shared" si="65"/>
        <v>61138.7</v>
      </c>
      <c r="M137" s="13">
        <f t="shared" si="65"/>
        <v>55748.7</v>
      </c>
      <c r="N137" s="13">
        <f t="shared" si="65"/>
        <v>49663.31</v>
      </c>
      <c r="O137" s="13">
        <f t="shared" si="65"/>
        <v>36523.72</v>
      </c>
      <c r="P137" s="13">
        <f t="shared" si="65"/>
        <v>30746.03</v>
      </c>
      <c r="Q137" s="13">
        <f t="shared" si="65"/>
        <v>26418.07</v>
      </c>
      <c r="R137" s="13">
        <f t="shared" si="65"/>
        <v>20530.989999999998</v>
      </c>
      <c r="S137" s="13">
        <f t="shared" si="65"/>
        <v>10269.42</v>
      </c>
      <c r="T137" s="13">
        <v>-11686</v>
      </c>
      <c r="U137" s="13">
        <v>-269</v>
      </c>
      <c r="V137" s="13">
        <v>-50777</v>
      </c>
      <c r="W137" s="13">
        <v>-404512</v>
      </c>
      <c r="X137" s="13">
        <v>-41522</v>
      </c>
      <c r="Y137" s="13">
        <v>-46721</v>
      </c>
      <c r="Z137" s="13">
        <v>-535622</v>
      </c>
      <c r="AA137" s="13">
        <v>-54766</v>
      </c>
      <c r="AB137" s="13">
        <v>-25722</v>
      </c>
      <c r="AD137" s="49">
        <f t="shared" si="63"/>
        <v>127993.47</v>
      </c>
      <c r="AE137" s="49">
        <f t="shared" si="63"/>
        <v>195953.78</v>
      </c>
      <c r="AF137" s="49">
        <f t="shared" si="63"/>
        <v>185441.6</v>
      </c>
      <c r="AG137" s="49">
        <f t="shared" si="63"/>
        <v>116933.06</v>
      </c>
      <c r="AH137" s="49">
        <f t="shared" si="63"/>
        <v>57218.479999999996</v>
      </c>
      <c r="AI137" s="49">
        <f t="shared" si="63"/>
        <v>-62732</v>
      </c>
      <c r="AJ137" s="49">
        <f t="shared" si="63"/>
        <v>-492755</v>
      </c>
      <c r="AK137" s="49">
        <f t="shared" si="63"/>
        <v>-616110</v>
      </c>
      <c r="AL137" s="53"/>
      <c r="AM137" s="49">
        <f t="shared" si="64"/>
        <v>626321.91</v>
      </c>
      <c r="AN137" s="49">
        <f t="shared" si="64"/>
        <v>-1114378.52</v>
      </c>
    </row>
    <row r="138" spans="1:41" x14ac:dyDescent="0.2">
      <c r="A138" s="3" t="s">
        <v>457</v>
      </c>
      <c r="B138" s="77" t="s">
        <v>457</v>
      </c>
      <c r="C138" s="77" t="s">
        <v>457</v>
      </c>
      <c r="D138" s="77"/>
      <c r="E138" s="13">
        <f>(E125)+(E137)</f>
        <v>-451145.31000000006</v>
      </c>
      <c r="F138" s="13">
        <f t="shared" ref="F138:S138" si="66">(F125)+(F137)</f>
        <v>-494012.06999999989</v>
      </c>
      <c r="G138" s="13">
        <f t="shared" si="66"/>
        <v>-755218.21000000008</v>
      </c>
      <c r="H138" s="13">
        <f t="shared" si="66"/>
        <v>-709964.48</v>
      </c>
      <c r="I138" s="13">
        <f t="shared" si="66"/>
        <v>-493891.65999999992</v>
      </c>
      <c r="J138" s="13">
        <f t="shared" si="66"/>
        <v>-1023830.5199999999</v>
      </c>
      <c r="K138" s="13">
        <f t="shared" si="66"/>
        <v>-1659092.2200000002</v>
      </c>
      <c r="L138" s="13">
        <f t="shared" si="66"/>
        <v>-1013447.76</v>
      </c>
      <c r="M138" s="13">
        <f t="shared" si="66"/>
        <v>-2518771.0100000002</v>
      </c>
      <c r="N138" s="13">
        <f t="shared" si="66"/>
        <v>-1157439.8099999998</v>
      </c>
      <c r="O138" s="13">
        <f t="shared" si="66"/>
        <v>-2532969.9999999995</v>
      </c>
      <c r="P138" s="13">
        <f t="shared" si="66"/>
        <v>-900587.92999999982</v>
      </c>
      <c r="Q138" s="13">
        <f t="shared" si="66"/>
        <v>-808438.69000000018</v>
      </c>
      <c r="R138" s="13">
        <f t="shared" si="66"/>
        <v>-1030382.6700000002</v>
      </c>
      <c r="S138" s="13">
        <f t="shared" si="66"/>
        <v>-3524331.23</v>
      </c>
      <c r="T138" s="13">
        <v>-1105073</v>
      </c>
      <c r="U138" s="13">
        <v>-761801</v>
      </c>
      <c r="V138" s="13">
        <v>-1423697</v>
      </c>
      <c r="W138" s="13">
        <v>-1439533</v>
      </c>
      <c r="X138" s="13">
        <v>-1000742</v>
      </c>
      <c r="Y138" s="13">
        <v>-1519973</v>
      </c>
      <c r="Z138" s="13">
        <v>-1486078</v>
      </c>
      <c r="AA138" s="13">
        <v>-957325</v>
      </c>
      <c r="AB138" s="13">
        <v>-1210424</v>
      </c>
      <c r="AD138" s="49">
        <f t="shared" si="63"/>
        <v>-1700375.5899999999</v>
      </c>
      <c r="AE138" s="49">
        <f t="shared" si="63"/>
        <v>-2227686.6599999997</v>
      </c>
      <c r="AF138" s="49">
        <f t="shared" si="63"/>
        <v>-5191310.99</v>
      </c>
      <c r="AG138" s="49">
        <f t="shared" si="63"/>
        <v>-4590997.7399999993</v>
      </c>
      <c r="AH138" s="49">
        <f t="shared" si="63"/>
        <v>-5363152.59</v>
      </c>
      <c r="AI138" s="49">
        <f t="shared" si="63"/>
        <v>-3290571</v>
      </c>
      <c r="AJ138" s="49">
        <f t="shared" si="63"/>
        <v>-3960248</v>
      </c>
      <c r="AK138" s="49">
        <f t="shared" si="63"/>
        <v>-3653827</v>
      </c>
      <c r="AL138" s="53"/>
      <c r="AM138" s="49">
        <f t="shared" si="64"/>
        <v>-13710370.98</v>
      </c>
      <c r="AN138" s="49">
        <f t="shared" si="64"/>
        <v>-16267798.59</v>
      </c>
    </row>
    <row r="139" spans="1:41" x14ac:dyDescent="0.2">
      <c r="B139" s="77"/>
      <c r="C139" s="77"/>
      <c r="D139" s="77"/>
      <c r="Q139" s="230"/>
      <c r="R139" s="230"/>
      <c r="S139" s="230"/>
      <c r="T139" s="233"/>
      <c r="U139" s="233"/>
      <c r="V139" s="233"/>
      <c r="W139" s="233"/>
      <c r="X139" s="233"/>
      <c r="Y139" s="233"/>
      <c r="Z139" s="233"/>
      <c r="AA139" s="233"/>
      <c r="AB139" s="233"/>
      <c r="AC139" s="233"/>
    </row>
    <row r="140" spans="1:41" x14ac:dyDescent="0.2">
      <c r="B140" s="77"/>
      <c r="C140" s="77"/>
      <c r="D140" s="77"/>
      <c r="Q140" s="230"/>
      <c r="R140" s="230"/>
      <c r="S140" s="230"/>
      <c r="T140" s="230"/>
      <c r="U140" s="230"/>
      <c r="V140" s="230"/>
      <c r="W140" s="230"/>
      <c r="X140" s="230"/>
      <c r="Y140" s="230"/>
      <c r="Z140" s="230"/>
      <c r="AA140" s="230"/>
      <c r="AB140" s="230"/>
      <c r="AC140" s="233"/>
    </row>
    <row r="141" spans="1:41" x14ac:dyDescent="0.2">
      <c r="B141" s="77"/>
      <c r="C141" s="77"/>
      <c r="D141" s="77"/>
      <c r="Q141" s="230"/>
      <c r="R141" s="230"/>
      <c r="S141" s="230"/>
      <c r="T141" s="233"/>
      <c r="U141" s="233"/>
      <c r="V141" s="233"/>
      <c r="W141" s="233"/>
      <c r="X141" s="233"/>
      <c r="Y141" s="233"/>
      <c r="Z141" s="233"/>
      <c r="AA141" s="233"/>
      <c r="AB141" s="233"/>
      <c r="AC141" s="233"/>
    </row>
    <row r="142" spans="1:41" x14ac:dyDescent="0.2">
      <c r="B142" s="77"/>
      <c r="C142" s="77" t="s">
        <v>214</v>
      </c>
      <c r="D142" s="77"/>
      <c r="E142" s="54">
        <f>E124-E113-SUM(E114:E118)-E120</f>
        <v>349515.81000000006</v>
      </c>
      <c r="F142" s="54">
        <f t="shared" ref="F142:AB142" si="67">F124-F113-SUM(F114:F118)-F120</f>
        <v>417590.18999999989</v>
      </c>
      <c r="G142" s="54">
        <f t="shared" si="67"/>
        <v>286216.03000000014</v>
      </c>
      <c r="H142" s="54">
        <f t="shared" si="67"/>
        <v>358557.83999999991</v>
      </c>
      <c r="I142" s="54">
        <f t="shared" si="67"/>
        <v>475794.27999999991</v>
      </c>
      <c r="J142" s="54">
        <f t="shared" si="67"/>
        <v>252025.81999999983</v>
      </c>
      <c r="K142" s="54">
        <f t="shared" si="67"/>
        <v>337314.56000000006</v>
      </c>
      <c r="L142" s="54">
        <f t="shared" si="67"/>
        <v>345296.07999999996</v>
      </c>
      <c r="M142" s="54">
        <f t="shared" si="67"/>
        <v>399594.36000000034</v>
      </c>
      <c r="N142" s="54">
        <f t="shared" si="67"/>
        <v>405140.60999999987</v>
      </c>
      <c r="O142" s="54">
        <f t="shared" si="67"/>
        <v>366124.47000000003</v>
      </c>
      <c r="P142" s="54">
        <f t="shared" si="67"/>
        <v>493243.75999999983</v>
      </c>
      <c r="Q142" s="54">
        <f t="shared" si="67"/>
        <v>447045.78000000014</v>
      </c>
      <c r="R142" s="54">
        <f t="shared" si="67"/>
        <v>590750.66000000015</v>
      </c>
      <c r="S142" s="54">
        <f t="shared" si="67"/>
        <v>577308.46999999986</v>
      </c>
      <c r="T142" s="54">
        <f t="shared" si="67"/>
        <v>655926</v>
      </c>
      <c r="U142" s="54">
        <f t="shared" si="67"/>
        <v>615115</v>
      </c>
      <c r="V142" s="54">
        <f t="shared" si="67"/>
        <v>846364</v>
      </c>
      <c r="W142" s="54">
        <f t="shared" si="67"/>
        <v>637944</v>
      </c>
      <c r="X142" s="54">
        <f t="shared" si="67"/>
        <v>622225</v>
      </c>
      <c r="Y142" s="54">
        <f t="shared" si="67"/>
        <v>789468</v>
      </c>
      <c r="Z142" s="54">
        <f t="shared" si="67"/>
        <v>757914</v>
      </c>
      <c r="AA142" s="54">
        <f t="shared" si="67"/>
        <v>717007</v>
      </c>
      <c r="AB142" s="54">
        <f t="shared" si="67"/>
        <v>906714</v>
      </c>
      <c r="AC142" s="54"/>
      <c r="AD142" s="54">
        <f t="shared" ref="AD142:AK142" si="68">AD124-AD113-SUM(AD120:AD120)-AD56</f>
        <v>1053322.0300000003</v>
      </c>
      <c r="AE142" s="54">
        <f t="shared" si="68"/>
        <v>1086377.9399999995</v>
      </c>
      <c r="AF142" s="54">
        <f t="shared" si="68"/>
        <v>1086230</v>
      </c>
      <c r="AG142" s="54">
        <f t="shared" si="68"/>
        <v>1269264.1399999997</v>
      </c>
      <c r="AH142" s="54">
        <f t="shared" si="68"/>
        <v>1529639.0600000003</v>
      </c>
      <c r="AI142" s="54">
        <f t="shared" si="68"/>
        <v>2197321</v>
      </c>
      <c r="AJ142" s="54">
        <f t="shared" si="68"/>
        <v>2496577</v>
      </c>
      <c r="AK142" s="54">
        <f t="shared" si="68"/>
        <v>2484313</v>
      </c>
      <c r="AL142" s="54"/>
      <c r="AM142" s="54">
        <f>AM124-AM113-SUM(AM120:AM120)-AM56</f>
        <v>4495194.1100000003</v>
      </c>
      <c r="AN142" s="54">
        <f>AN124-AN113-SUM(AN120:AN120)-AN56</f>
        <v>8707850.0600000005</v>
      </c>
      <c r="AO142" s="55"/>
    </row>
    <row r="143" spans="1:41" x14ac:dyDescent="0.2">
      <c r="B143" s="77"/>
      <c r="C143" s="77" t="s">
        <v>216</v>
      </c>
      <c r="D143" s="77"/>
      <c r="E143" s="54">
        <f t="shared" ref="E143:S143" si="69">E113-E100</f>
        <v>135795.89000000001</v>
      </c>
      <c r="F143" s="54">
        <f t="shared" si="69"/>
        <v>113821.13</v>
      </c>
      <c r="G143" s="54">
        <f t="shared" si="69"/>
        <v>522563.56999999995</v>
      </c>
      <c r="H143" s="54">
        <f t="shared" si="69"/>
        <v>409378.09</v>
      </c>
      <c r="I143" s="54">
        <f t="shared" si="69"/>
        <v>86551.13</v>
      </c>
      <c r="J143" s="54">
        <f t="shared" si="69"/>
        <v>824707.28</v>
      </c>
      <c r="K143" s="54">
        <f t="shared" si="69"/>
        <v>1365289.86</v>
      </c>
      <c r="L143" s="54">
        <f t="shared" si="69"/>
        <v>723878.38</v>
      </c>
      <c r="M143" s="54">
        <f t="shared" si="69"/>
        <v>2170875.35</v>
      </c>
      <c r="N143" s="54">
        <f t="shared" si="69"/>
        <v>801962.51</v>
      </c>
      <c r="O143" s="54">
        <f t="shared" si="69"/>
        <v>2199751.9499999997</v>
      </c>
      <c r="P143" s="54">
        <f t="shared" si="69"/>
        <v>436952.2</v>
      </c>
      <c r="Q143" s="54">
        <f t="shared" si="69"/>
        <v>387810.98</v>
      </c>
      <c r="R143" s="54">
        <f t="shared" si="69"/>
        <v>460163</v>
      </c>
      <c r="S143" s="54">
        <f t="shared" si="69"/>
        <v>2937296.04</v>
      </c>
      <c r="T143" s="54">
        <f t="shared" ref="T143:AB143" si="70">T113-T100</f>
        <v>430261</v>
      </c>
      <c r="U143" s="54">
        <f t="shared" si="70"/>
        <v>142917</v>
      </c>
      <c r="V143" s="54">
        <f t="shared" si="70"/>
        <v>444759</v>
      </c>
      <c r="W143" s="54">
        <f t="shared" si="70"/>
        <v>332509</v>
      </c>
      <c r="X143" s="54">
        <f t="shared" si="70"/>
        <v>82506</v>
      </c>
      <c r="Y143" s="54">
        <f t="shared" si="70"/>
        <v>555901</v>
      </c>
      <c r="Z143" s="54">
        <f t="shared" si="70"/>
        <v>167119</v>
      </c>
      <c r="AA143" s="54">
        <f t="shared" si="70"/>
        <v>168703</v>
      </c>
      <c r="AB143" s="54">
        <f t="shared" si="70"/>
        <v>197668</v>
      </c>
      <c r="AC143" s="54"/>
      <c r="AD143" s="54">
        <f>AD113-AD100</f>
        <v>772180.59</v>
      </c>
      <c r="AE143" s="54">
        <f>AE113-AE100</f>
        <v>1320636.5</v>
      </c>
      <c r="AF143" s="54">
        <f>AF113-AF100</f>
        <v>4260043.59</v>
      </c>
      <c r="AG143" s="54">
        <f>AG113-AG100</f>
        <v>3438666.66</v>
      </c>
      <c r="AH143" s="54">
        <f>AH113-AH100</f>
        <v>3785270.02</v>
      </c>
      <c r="AI143" s="54">
        <f t="shared" ref="AI143:AK143" si="71">AI113-AI100</f>
        <v>1017937</v>
      </c>
      <c r="AJ143" s="54">
        <f t="shared" si="71"/>
        <v>970916</v>
      </c>
      <c r="AK143" s="54">
        <f t="shared" si="71"/>
        <v>533490</v>
      </c>
      <c r="AL143" s="54"/>
      <c r="AM143" s="54">
        <f>AM113-AM100</f>
        <v>9791527.339999998</v>
      </c>
      <c r="AN143" s="54">
        <f>AN113-AN100</f>
        <v>6307613.0199999996</v>
      </c>
      <c r="AO143" s="54"/>
    </row>
    <row r="144" spans="1:41" x14ac:dyDescent="0.2">
      <c r="B144" s="77"/>
      <c r="C144" s="77" t="s">
        <v>218</v>
      </c>
      <c r="D144" s="77"/>
      <c r="E144" s="54">
        <f>E114</f>
        <v>0</v>
      </c>
      <c r="F144" s="54">
        <f t="shared" ref="F144:AB144" si="72">F114</f>
        <v>0</v>
      </c>
      <c r="G144" s="54">
        <f t="shared" si="72"/>
        <v>0</v>
      </c>
      <c r="H144" s="54">
        <f t="shared" si="72"/>
        <v>0</v>
      </c>
      <c r="I144" s="54">
        <f t="shared" si="72"/>
        <v>0</v>
      </c>
      <c r="J144" s="54">
        <f t="shared" si="72"/>
        <v>0</v>
      </c>
      <c r="K144" s="54">
        <f t="shared" si="72"/>
        <v>0</v>
      </c>
      <c r="L144" s="54">
        <f t="shared" si="72"/>
        <v>0</v>
      </c>
      <c r="M144" s="54">
        <f t="shared" si="72"/>
        <v>4025</v>
      </c>
      <c r="N144" s="54">
        <f t="shared" si="72"/>
        <v>0</v>
      </c>
      <c r="O144" s="54">
        <f t="shared" si="72"/>
        <v>3617.3</v>
      </c>
      <c r="P144" s="54">
        <f t="shared" si="72"/>
        <v>1138</v>
      </c>
      <c r="Q144" s="54">
        <f t="shared" si="72"/>
        <v>0</v>
      </c>
      <c r="R144" s="54">
        <f t="shared" si="72"/>
        <v>0</v>
      </c>
      <c r="S144" s="54">
        <f t="shared" si="72"/>
        <v>5075</v>
      </c>
      <c r="T144" s="54">
        <f t="shared" si="72"/>
        <v>7200</v>
      </c>
      <c r="U144" s="54">
        <f t="shared" si="72"/>
        <v>3500</v>
      </c>
      <c r="V144" s="54">
        <f t="shared" si="72"/>
        <v>81797</v>
      </c>
      <c r="W144" s="54">
        <f t="shared" si="72"/>
        <v>64568</v>
      </c>
      <c r="X144" s="54">
        <f t="shared" si="72"/>
        <v>208739</v>
      </c>
      <c r="Y144" s="54">
        <f t="shared" si="72"/>
        <v>4608</v>
      </c>
      <c r="Z144" s="54">
        <f t="shared" si="72"/>
        <v>3146</v>
      </c>
      <c r="AA144" s="54">
        <f t="shared" si="72"/>
        <v>10248</v>
      </c>
      <c r="AB144" s="54">
        <f t="shared" si="72"/>
        <v>36074</v>
      </c>
      <c r="AC144" s="54"/>
      <c r="AD144" s="54">
        <f t="shared" ref="AD144:AK144" si="73">AD56</f>
        <v>0</v>
      </c>
      <c r="AE144" s="54">
        <f t="shared" si="73"/>
        <v>0</v>
      </c>
      <c r="AF144" s="54">
        <f t="shared" si="73"/>
        <v>0</v>
      </c>
      <c r="AG144" s="54">
        <f t="shared" si="73"/>
        <v>0</v>
      </c>
      <c r="AH144" s="54">
        <f t="shared" si="73"/>
        <v>90540.85</v>
      </c>
      <c r="AI144" s="54">
        <f t="shared" si="73"/>
        <v>12581</v>
      </c>
      <c r="AJ144" s="54">
        <f t="shared" si="73"/>
        <v>0</v>
      </c>
      <c r="AK144" s="54">
        <f t="shared" si="73"/>
        <v>5122</v>
      </c>
      <c r="AL144" s="54"/>
      <c r="AM144" s="54">
        <f>AM56</f>
        <v>0</v>
      </c>
      <c r="AN144" s="54">
        <f>AN56</f>
        <v>108243.85</v>
      </c>
    </row>
    <row r="145" spans="2:38" x14ac:dyDescent="0.2">
      <c r="B145" s="77"/>
      <c r="C145" s="77" t="s">
        <v>458</v>
      </c>
      <c r="D145" s="77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L145" s="54"/>
    </row>
    <row r="147" spans="2:38" x14ac:dyDescent="0.2"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2:38" x14ac:dyDescent="0.2"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</sheetData>
  <pageMargins left="0.7" right="0.7" top="0.75" bottom="0.75" header="0.3" footer="0.3"/>
  <pageSetup scale="46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D6FD-2AC3-4B86-81AE-695900A480ED}">
  <dimension ref="A1:AO75"/>
  <sheetViews>
    <sheetView showGridLines="0" zoomScale="115" zoomScaleNormal="115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ColWidth="0" defaultRowHeight="15" outlineLevelRow="1" outlineLevelCol="1" x14ac:dyDescent="0.2"/>
  <cols>
    <col min="1" max="1" width="40.1640625" style="2" customWidth="1"/>
    <col min="2" max="2" width="8.5" style="2" hidden="1" customWidth="1"/>
    <col min="3" max="3" width="12.6640625" style="2" hidden="1" customWidth="1"/>
    <col min="4" max="27" width="10.5" style="2" customWidth="1" outlineLevel="1"/>
    <col min="28" max="28" width="2.5" style="2" customWidth="1"/>
    <col min="29" max="36" width="10.5" style="2" customWidth="1" outlineLevel="1"/>
    <col min="37" max="37" width="2.5" style="2" customWidth="1"/>
    <col min="38" max="39" width="10.5" style="2" customWidth="1"/>
    <col min="40" max="40" width="8.6640625" style="2" customWidth="1"/>
    <col min="41" max="41" width="0" style="2" hidden="1" customWidth="1"/>
    <col min="42" max="16384" width="8.6640625" style="2" hidden="1"/>
  </cols>
  <sheetData>
    <row r="1" spans="1:39" ht="18" x14ac:dyDescent="0.2">
      <c r="A1" s="17" t="s">
        <v>234</v>
      </c>
      <c r="B1" s="17"/>
      <c r="C1" s="17"/>
    </row>
    <row r="2" spans="1:39" ht="18" x14ac:dyDescent="0.2">
      <c r="A2" s="17" t="s">
        <v>459</v>
      </c>
      <c r="B2" s="17"/>
      <c r="C2" s="17"/>
    </row>
    <row r="3" spans="1:39" x14ac:dyDescent="0.2">
      <c r="A3" s="18" t="s">
        <v>236</v>
      </c>
      <c r="B3" s="18"/>
      <c r="C3" s="18"/>
    </row>
    <row r="4" spans="1:39" x14ac:dyDescent="0.2">
      <c r="D4" s="30" t="s">
        <v>237</v>
      </c>
      <c r="AC4" s="30" t="s">
        <v>238</v>
      </c>
      <c r="AL4" s="2" t="s">
        <v>239</v>
      </c>
    </row>
    <row r="5" spans="1:39" ht="16" x14ac:dyDescent="0.2">
      <c r="A5" s="66" t="s">
        <v>240</v>
      </c>
      <c r="B5" s="66"/>
      <c r="C5" s="66"/>
      <c r="D5" s="67">
        <v>45322</v>
      </c>
      <c r="E5" s="67">
        <v>45351</v>
      </c>
      <c r="F5" s="67">
        <v>45382</v>
      </c>
      <c r="G5" s="67">
        <v>45412</v>
      </c>
      <c r="H5" s="67">
        <v>45443</v>
      </c>
      <c r="I5" s="67">
        <v>45473</v>
      </c>
      <c r="J5" s="67">
        <v>45504</v>
      </c>
      <c r="K5" s="67">
        <v>45535</v>
      </c>
      <c r="L5" s="67">
        <v>45565</v>
      </c>
      <c r="M5" s="67">
        <v>45596</v>
      </c>
      <c r="N5" s="67">
        <v>45626</v>
      </c>
      <c r="O5" s="67">
        <v>45657</v>
      </c>
      <c r="P5" s="67">
        <v>45688</v>
      </c>
      <c r="Q5" s="67">
        <v>45716</v>
      </c>
      <c r="R5" s="67">
        <v>45747</v>
      </c>
      <c r="S5" s="67">
        <f>EOMONTH(R5,1)</f>
        <v>45777</v>
      </c>
      <c r="T5" s="67">
        <f t="shared" ref="T5:AA5" si="0">EOMONTH(S5,1)</f>
        <v>45808</v>
      </c>
      <c r="U5" s="67">
        <f t="shared" si="0"/>
        <v>45838</v>
      </c>
      <c r="V5" s="67">
        <f t="shared" si="0"/>
        <v>45869</v>
      </c>
      <c r="W5" s="67">
        <f t="shared" si="0"/>
        <v>45900</v>
      </c>
      <c r="X5" s="67">
        <f t="shared" si="0"/>
        <v>45930</v>
      </c>
      <c r="Y5" s="67">
        <f t="shared" si="0"/>
        <v>45961</v>
      </c>
      <c r="Z5" s="67">
        <f t="shared" si="0"/>
        <v>45991</v>
      </c>
      <c r="AA5" s="67">
        <f t="shared" si="0"/>
        <v>46022</v>
      </c>
      <c r="AB5" s="68"/>
      <c r="AC5" s="69">
        <f>$D$6</f>
        <v>45382</v>
      </c>
      <c r="AD5" s="70">
        <f>EOMONTH(AC5,3)</f>
        <v>45473</v>
      </c>
      <c r="AE5" s="70">
        <f t="shared" ref="AE5:AF5" si="1">EOMONTH(AD5,3)</f>
        <v>45565</v>
      </c>
      <c r="AF5" s="70">
        <f t="shared" si="1"/>
        <v>45657</v>
      </c>
      <c r="AG5" s="70">
        <f t="shared" ref="AG5" si="2">EOMONTH(AF5,3)</f>
        <v>45747</v>
      </c>
      <c r="AH5" s="70">
        <f t="shared" ref="AH5" si="3">EOMONTH(AG5,3)</f>
        <v>45838</v>
      </c>
      <c r="AI5" s="70">
        <f t="shared" ref="AI5" si="4">EOMONTH(AH5,3)</f>
        <v>45930</v>
      </c>
      <c r="AJ5" s="70">
        <f t="shared" ref="AJ5" si="5">EOMONTH(AI5,3)</f>
        <v>46022</v>
      </c>
      <c r="AK5" s="68"/>
      <c r="AL5" s="69">
        <f>$D$7</f>
        <v>45657</v>
      </c>
      <c r="AM5" s="70">
        <f>EOMONTH(AL5,12)</f>
        <v>46022</v>
      </c>
    </row>
    <row r="6" spans="1:39" ht="16" x14ac:dyDescent="0.2">
      <c r="A6" s="71" t="s">
        <v>241</v>
      </c>
      <c r="B6" s="66"/>
      <c r="C6" s="66"/>
      <c r="D6" s="72">
        <f>DATE(YEAR(D5),ROUNDUP(MONTH(D5)/3,0)*3+1,1)-1</f>
        <v>45382</v>
      </c>
      <c r="E6" s="72">
        <f t="shared" ref="E6:Q6" si="6">DATE(YEAR(E5),ROUNDUP(MONTH(E5)/3,0)*3+1,1)-1</f>
        <v>45382</v>
      </c>
      <c r="F6" s="72">
        <f t="shared" si="6"/>
        <v>45382</v>
      </c>
      <c r="G6" s="72">
        <f t="shared" si="6"/>
        <v>45473</v>
      </c>
      <c r="H6" s="72">
        <f t="shared" si="6"/>
        <v>45473</v>
      </c>
      <c r="I6" s="72">
        <f t="shared" si="6"/>
        <v>45473</v>
      </c>
      <c r="J6" s="72">
        <f t="shared" si="6"/>
        <v>45565</v>
      </c>
      <c r="K6" s="72">
        <f t="shared" si="6"/>
        <v>45565</v>
      </c>
      <c r="L6" s="72">
        <f t="shared" si="6"/>
        <v>45565</v>
      </c>
      <c r="M6" s="72">
        <f t="shared" si="6"/>
        <v>45657</v>
      </c>
      <c r="N6" s="72">
        <f t="shared" si="6"/>
        <v>45657</v>
      </c>
      <c r="O6" s="72">
        <f t="shared" si="6"/>
        <v>45657</v>
      </c>
      <c r="P6" s="72">
        <f t="shared" si="6"/>
        <v>45747</v>
      </c>
      <c r="Q6" s="72">
        <f t="shared" si="6"/>
        <v>45747</v>
      </c>
      <c r="R6" s="72">
        <f t="shared" ref="R6:AA6" si="7">DATE(YEAR(R5),ROUNDUP(MONTH(R5)/3,0)*3+1,1)-1</f>
        <v>45747</v>
      </c>
      <c r="S6" s="72">
        <f t="shared" si="7"/>
        <v>45838</v>
      </c>
      <c r="T6" s="72">
        <f t="shared" si="7"/>
        <v>45838</v>
      </c>
      <c r="U6" s="72">
        <f t="shared" si="7"/>
        <v>45838</v>
      </c>
      <c r="V6" s="72">
        <f t="shared" si="7"/>
        <v>45930</v>
      </c>
      <c r="W6" s="72">
        <f t="shared" si="7"/>
        <v>45930</v>
      </c>
      <c r="X6" s="72">
        <f t="shared" si="7"/>
        <v>45930</v>
      </c>
      <c r="Y6" s="72">
        <f t="shared" si="7"/>
        <v>46022</v>
      </c>
      <c r="Z6" s="72">
        <f t="shared" si="7"/>
        <v>46022</v>
      </c>
      <c r="AA6" s="72">
        <f t="shared" si="7"/>
        <v>46022</v>
      </c>
      <c r="AB6" s="73"/>
      <c r="AC6" s="72">
        <f t="shared" ref="AC6:AL6" si="8">DATE(YEAR(AC5),ROUNDUP(MONTH(AC5)/3,0)*3+1,1)-1</f>
        <v>45382</v>
      </c>
      <c r="AD6" s="72">
        <f t="shared" si="8"/>
        <v>45473</v>
      </c>
      <c r="AE6" s="72">
        <f t="shared" si="8"/>
        <v>45565</v>
      </c>
      <c r="AF6" s="72">
        <f t="shared" si="8"/>
        <v>45657</v>
      </c>
      <c r="AG6" s="72">
        <f t="shared" ref="AG6:AJ6" si="9">DATE(YEAR(AG5),ROUNDUP(MONTH(AG5)/3,0)*3+1,1)-1</f>
        <v>45747</v>
      </c>
      <c r="AH6" s="72">
        <f t="shared" si="9"/>
        <v>45838</v>
      </c>
      <c r="AI6" s="72">
        <f t="shared" si="9"/>
        <v>45930</v>
      </c>
      <c r="AJ6" s="72">
        <f t="shared" si="9"/>
        <v>46022</v>
      </c>
      <c r="AK6" s="73"/>
      <c r="AL6" s="72">
        <f t="shared" si="8"/>
        <v>45657</v>
      </c>
      <c r="AM6" s="72">
        <f t="shared" ref="AM6" si="10">DATE(YEAR(AM5),ROUNDUP(MONTH(AM5)/3,0)*3+1,1)-1</f>
        <v>46022</v>
      </c>
    </row>
    <row r="7" spans="1:39" ht="16" x14ac:dyDescent="0.2">
      <c r="A7" s="74" t="s">
        <v>197</v>
      </c>
      <c r="B7" s="80" t="s">
        <v>242</v>
      </c>
      <c r="C7" s="75" t="s">
        <v>243</v>
      </c>
      <c r="D7" s="76">
        <f>DATE(YEAR(D5),12,31)</f>
        <v>45657</v>
      </c>
      <c r="E7" s="76">
        <f t="shared" ref="E7:Q7" si="11">DATE(YEAR(E5),12,31)</f>
        <v>45657</v>
      </c>
      <c r="F7" s="76">
        <f t="shared" si="11"/>
        <v>45657</v>
      </c>
      <c r="G7" s="76">
        <f t="shared" si="11"/>
        <v>45657</v>
      </c>
      <c r="H7" s="76">
        <f t="shared" si="11"/>
        <v>45657</v>
      </c>
      <c r="I7" s="76">
        <f t="shared" si="11"/>
        <v>45657</v>
      </c>
      <c r="J7" s="76">
        <f t="shared" si="11"/>
        <v>45657</v>
      </c>
      <c r="K7" s="76">
        <f t="shared" si="11"/>
        <v>45657</v>
      </c>
      <c r="L7" s="76">
        <f t="shared" si="11"/>
        <v>45657</v>
      </c>
      <c r="M7" s="76">
        <f t="shared" si="11"/>
        <v>45657</v>
      </c>
      <c r="N7" s="76">
        <f t="shared" si="11"/>
        <v>45657</v>
      </c>
      <c r="O7" s="76">
        <f t="shared" si="11"/>
        <v>45657</v>
      </c>
      <c r="P7" s="76">
        <f t="shared" si="11"/>
        <v>46022</v>
      </c>
      <c r="Q7" s="76">
        <f t="shared" si="11"/>
        <v>46022</v>
      </c>
      <c r="R7" s="76">
        <f t="shared" ref="R7:AA7" si="12">DATE(YEAR(R5),12,31)</f>
        <v>46022</v>
      </c>
      <c r="S7" s="76">
        <f t="shared" si="12"/>
        <v>46022</v>
      </c>
      <c r="T7" s="76">
        <f t="shared" si="12"/>
        <v>46022</v>
      </c>
      <c r="U7" s="76">
        <f t="shared" si="12"/>
        <v>46022</v>
      </c>
      <c r="V7" s="76">
        <f t="shared" si="12"/>
        <v>46022</v>
      </c>
      <c r="W7" s="76">
        <f t="shared" si="12"/>
        <v>46022</v>
      </c>
      <c r="X7" s="76">
        <f t="shared" si="12"/>
        <v>46022</v>
      </c>
      <c r="Y7" s="76">
        <f t="shared" si="12"/>
        <v>46022</v>
      </c>
      <c r="Z7" s="76">
        <f t="shared" si="12"/>
        <v>46022</v>
      </c>
      <c r="AA7" s="76">
        <f t="shared" si="12"/>
        <v>46022</v>
      </c>
      <c r="AB7" s="73"/>
      <c r="AC7" s="76">
        <f t="shared" ref="AC7:AF7" si="13">DATE(YEAR(AC5),12,31)</f>
        <v>45657</v>
      </c>
      <c r="AD7" s="76">
        <f t="shared" si="13"/>
        <v>45657</v>
      </c>
      <c r="AE7" s="76">
        <f t="shared" si="13"/>
        <v>45657</v>
      </c>
      <c r="AF7" s="76">
        <f t="shared" si="13"/>
        <v>45657</v>
      </c>
      <c r="AG7" s="76">
        <f t="shared" ref="AG7:AJ7" si="14">DATE(YEAR(AG5),12,31)</f>
        <v>46022</v>
      </c>
      <c r="AH7" s="76">
        <f t="shared" si="14"/>
        <v>46022</v>
      </c>
      <c r="AI7" s="76">
        <f t="shared" si="14"/>
        <v>46022</v>
      </c>
      <c r="AJ7" s="76">
        <f t="shared" si="14"/>
        <v>46022</v>
      </c>
      <c r="AK7" s="73"/>
      <c r="AL7" s="76">
        <f t="shared" ref="AL7:AM7" si="15">DATE(YEAR(AL5),12,31)</f>
        <v>45657</v>
      </c>
      <c r="AM7" s="76">
        <f t="shared" si="15"/>
        <v>46022</v>
      </c>
    </row>
    <row r="8" spans="1:39" x14ac:dyDescent="0.2">
      <c r="A8" s="59" t="s">
        <v>460</v>
      </c>
      <c r="B8" s="77"/>
      <c r="C8" s="77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</row>
    <row r="9" spans="1:39" x14ac:dyDescent="0.2">
      <c r="A9" s="60" t="s">
        <v>457</v>
      </c>
      <c r="B9" s="77" t="s">
        <v>457</v>
      </c>
      <c r="C9" s="77" t="s">
        <v>457</v>
      </c>
      <c r="D9" s="57">
        <f>-451145.31</f>
        <v>-451145.31</v>
      </c>
      <c r="E9" s="57">
        <f>-494012.07</f>
        <v>-494012.07</v>
      </c>
      <c r="F9" s="57">
        <f>-755218.21</f>
        <v>-755218.21</v>
      </c>
      <c r="G9" s="57">
        <f>-709964.48</f>
        <v>-709964.48</v>
      </c>
      <c r="H9" s="57">
        <f>-493891.66</f>
        <v>-493891.66</v>
      </c>
      <c r="I9" s="57">
        <f>-1023830.52</f>
        <v>-1023830.52</v>
      </c>
      <c r="J9" s="57">
        <f>-1659092.22</f>
        <v>-1659092.22</v>
      </c>
      <c r="K9" s="57">
        <f>-1013447.76</f>
        <v>-1013447.76</v>
      </c>
      <c r="L9" s="57">
        <f>-2518771.01</f>
        <v>-2518771.0099999998</v>
      </c>
      <c r="M9" s="57">
        <f>-1157439.81</f>
        <v>-1157439.81</v>
      </c>
      <c r="N9" s="57">
        <f>-2532970</f>
        <v>-2532970</v>
      </c>
      <c r="O9" s="57">
        <f>-900587.93</f>
        <v>-900587.93</v>
      </c>
      <c r="P9" s="57">
        <v>-808439.04</v>
      </c>
      <c r="Q9" s="57">
        <v>-1030382.53</v>
      </c>
      <c r="R9" s="57">
        <v>-3524331.61</v>
      </c>
      <c r="S9" s="57">
        <v>-1105072.69</v>
      </c>
      <c r="T9" s="57">
        <v>-761801.02</v>
      </c>
      <c r="U9" s="57">
        <v>-1423697.03</v>
      </c>
      <c r="V9" s="57">
        <v>-1439533.47</v>
      </c>
      <c r="W9" s="57">
        <v>-1000742.13</v>
      </c>
      <c r="X9" s="57">
        <v>-1519972.88</v>
      </c>
      <c r="Y9" s="57">
        <v>-1486078.33</v>
      </c>
      <c r="Z9" s="57">
        <v>-957325.33</v>
      </c>
      <c r="AA9" s="57">
        <v>-1210423.8799999999</v>
      </c>
      <c r="AC9" s="62">
        <f>SUMIFS($D9:$AA9,$D$6:$AA$6,AC$5)</f>
        <v>-1700375.5899999999</v>
      </c>
      <c r="AD9" s="62">
        <f>SUMIFS($D9:$AA9,$D$6:$AA$6,AD$5)</f>
        <v>-2227686.66</v>
      </c>
      <c r="AE9" s="62">
        <f>SUMIFS($D9:$AA9,$D$6:$AA$6,AE$5)</f>
        <v>-5191310.99</v>
      </c>
      <c r="AF9" s="62">
        <f>SUMIFS($D9:$AA9,$D$6:$AA$6,AF$5)</f>
        <v>-4590997.74</v>
      </c>
      <c r="AG9" s="62">
        <f t="shared" ref="AG9:AJ32" si="16">SUMIFS($D9:$AA9,$D$6:$AA$6,AG$5)</f>
        <v>-5363153.18</v>
      </c>
      <c r="AH9" s="62">
        <f t="shared" si="16"/>
        <v>-3290570.74</v>
      </c>
      <c r="AI9" s="62">
        <f t="shared" si="16"/>
        <v>-3960248.48</v>
      </c>
      <c r="AJ9" s="62">
        <f t="shared" si="16"/>
        <v>-3653827.54</v>
      </c>
      <c r="AK9" s="62"/>
      <c r="AL9" s="62">
        <f>SUMIFS($D9:$AA9,$D$7:$AA$7,AL$5)</f>
        <v>-13710370.979999999</v>
      </c>
      <c r="AM9" s="62">
        <f>SUMIFS($D9:$AA9,$D$7:$AA$7,AM$5)</f>
        <v>-16267799.939999998</v>
      </c>
    </row>
    <row r="10" spans="1:39" outlineLevel="1" x14ac:dyDescent="0.2">
      <c r="A10" s="60" t="s">
        <v>461</v>
      </c>
      <c r="B10" s="77"/>
      <c r="C10" s="7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</row>
    <row r="11" spans="1:39" outlineLevel="1" x14ac:dyDescent="0.2">
      <c r="A11" s="60" t="s">
        <v>462</v>
      </c>
      <c r="B11" s="77"/>
      <c r="C11" s="77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</row>
    <row r="12" spans="1:39" outlineLevel="1" x14ac:dyDescent="0.2">
      <c r="A12" s="237" t="s">
        <v>463</v>
      </c>
      <c r="B12" s="77" t="s">
        <v>464</v>
      </c>
      <c r="C12" s="77" t="s">
        <v>227</v>
      </c>
      <c r="D12" s="57">
        <f t="shared" ref="D12:J12" si="17">2892.7</f>
        <v>2892.7</v>
      </c>
      <c r="E12" s="57">
        <f t="shared" si="17"/>
        <v>2892.7</v>
      </c>
      <c r="F12" s="57">
        <f t="shared" si="17"/>
        <v>2892.7</v>
      </c>
      <c r="G12" s="57">
        <f t="shared" si="17"/>
        <v>2892.7</v>
      </c>
      <c r="H12" s="57">
        <f t="shared" si="17"/>
        <v>2892.7</v>
      </c>
      <c r="I12" s="57">
        <f t="shared" si="17"/>
        <v>2892.7</v>
      </c>
      <c r="J12" s="57">
        <f t="shared" si="17"/>
        <v>2892.7</v>
      </c>
      <c r="K12" s="57">
        <f>-263386.96</f>
        <v>-263386.96000000002</v>
      </c>
      <c r="L12" s="57">
        <f>71195.88</f>
        <v>71195.88</v>
      </c>
      <c r="M12" s="57">
        <f>27636.68</f>
        <v>27636.68</v>
      </c>
      <c r="N12" s="57">
        <f>-9397.42</f>
        <v>-9397.42</v>
      </c>
      <c r="O12" s="57">
        <f>27830.15</f>
        <v>27830.15</v>
      </c>
      <c r="P12" s="57">
        <v>27830.15</v>
      </c>
      <c r="Q12" s="57">
        <v>27830.15</v>
      </c>
      <c r="R12" s="57">
        <v>27830.15</v>
      </c>
      <c r="S12" s="57">
        <v>17038.55</v>
      </c>
      <c r="T12" s="57">
        <v>17038.55</v>
      </c>
      <c r="U12" s="57">
        <v>12482.81</v>
      </c>
      <c r="V12" s="57">
        <v>14760.68</v>
      </c>
      <c r="W12" s="57">
        <v>3622.9</v>
      </c>
      <c r="X12" s="57">
        <v>-70017.5</v>
      </c>
      <c r="Y12" s="57">
        <v>10396.540000000001</v>
      </c>
      <c r="Z12" s="57">
        <v>10396.549999999999</v>
      </c>
      <c r="AA12" s="57">
        <v>-40644.769999999997</v>
      </c>
      <c r="AC12" s="62">
        <f t="shared" ref="AC12:AF17" si="18">SUMIFS($D12:$AA12,$D$6:$AA$6,AC$5)</f>
        <v>8678.0999999999985</v>
      </c>
      <c r="AD12" s="62">
        <f t="shared" si="18"/>
        <v>8678.0999999999985</v>
      </c>
      <c r="AE12" s="62">
        <f t="shared" si="18"/>
        <v>-189298.38</v>
      </c>
      <c r="AF12" s="62">
        <f t="shared" si="18"/>
        <v>46069.41</v>
      </c>
      <c r="AG12" s="62">
        <f t="shared" si="16"/>
        <v>83490.450000000012</v>
      </c>
      <c r="AH12" s="62">
        <f t="shared" si="16"/>
        <v>46559.909999999996</v>
      </c>
      <c r="AI12" s="62">
        <f t="shared" si="16"/>
        <v>-51633.919999999998</v>
      </c>
      <c r="AJ12" s="62">
        <f t="shared" si="16"/>
        <v>-19851.679999999997</v>
      </c>
      <c r="AK12" s="62"/>
      <c r="AL12" s="62">
        <f>SUMIFS($D12:$AA12,$D$7:$AA$7,AL$5)</f>
        <v>-125872.77000000005</v>
      </c>
      <c r="AM12" s="62">
        <f>SUMIFS($D12:$AA12,$D$7:$AA$7,AM$5)</f>
        <v>58564.760000000017</v>
      </c>
    </row>
    <row r="13" spans="1:39" outlineLevel="1" x14ac:dyDescent="0.2">
      <c r="A13" s="237" t="s">
        <v>465</v>
      </c>
      <c r="B13" s="77">
        <v>1430</v>
      </c>
      <c r="C13" s="77" t="s">
        <v>227</v>
      </c>
      <c r="D13" s="58">
        <f>0</f>
        <v>0</v>
      </c>
      <c r="E13" s="58">
        <f>0</f>
        <v>0</v>
      </c>
      <c r="F13" s="58">
        <f>0</f>
        <v>0</v>
      </c>
      <c r="G13" s="58">
        <f>0</f>
        <v>0</v>
      </c>
      <c r="H13" s="58">
        <f>0</f>
        <v>0</v>
      </c>
      <c r="I13" s="58">
        <f>0</f>
        <v>0</v>
      </c>
      <c r="J13" s="58">
        <f>0</f>
        <v>0</v>
      </c>
      <c r="K13" s="58">
        <f>0</f>
        <v>0</v>
      </c>
      <c r="L13" s="58">
        <f>0</f>
        <v>0</v>
      </c>
      <c r="M13" s="58">
        <f>0</f>
        <v>0</v>
      </c>
      <c r="N13" s="58">
        <f>0</f>
        <v>0</v>
      </c>
      <c r="O13" s="58">
        <f>0</f>
        <v>0</v>
      </c>
      <c r="P13" s="58">
        <f>0</f>
        <v>0</v>
      </c>
      <c r="Q13" s="58">
        <f>0</f>
        <v>0</v>
      </c>
      <c r="R13" s="58">
        <f>0</f>
        <v>0</v>
      </c>
      <c r="S13" s="57">
        <v>-22658.57</v>
      </c>
      <c r="T13" s="57">
        <v>2059.87</v>
      </c>
      <c r="U13" s="57">
        <v>2059.87</v>
      </c>
      <c r="V13" s="57">
        <v>2059.87</v>
      </c>
      <c r="W13" s="57">
        <v>2059.87</v>
      </c>
      <c r="X13" s="57">
        <v>2059.87</v>
      </c>
      <c r="Y13" s="57">
        <v>2059.87</v>
      </c>
      <c r="Z13" s="57">
        <v>2059.87</v>
      </c>
      <c r="AA13" s="57">
        <v>2059.87</v>
      </c>
      <c r="AC13" s="62">
        <f t="shared" si="18"/>
        <v>0</v>
      </c>
      <c r="AD13" s="62">
        <f t="shared" si="18"/>
        <v>0</v>
      </c>
      <c r="AE13" s="62">
        <f t="shared" si="18"/>
        <v>0</v>
      </c>
      <c r="AF13" s="62">
        <f t="shared" si="18"/>
        <v>0</v>
      </c>
      <c r="AG13" s="62">
        <f t="shared" si="16"/>
        <v>0</v>
      </c>
      <c r="AH13" s="62">
        <f t="shared" si="16"/>
        <v>-18538.830000000002</v>
      </c>
      <c r="AI13" s="62">
        <f t="shared" si="16"/>
        <v>6179.61</v>
      </c>
      <c r="AJ13" s="62">
        <f t="shared" si="16"/>
        <v>6179.61</v>
      </c>
      <c r="AK13" s="62"/>
      <c r="AL13" s="62">
        <f t="shared" ref="AL13:AM17" si="19">SUMIFS($D13:$AA13,$D$7:$AA$7,AL$5)</f>
        <v>0</v>
      </c>
      <c r="AM13" s="62">
        <f t="shared" si="19"/>
        <v>-6179.6100000000069</v>
      </c>
    </row>
    <row r="14" spans="1:39" outlineLevel="1" x14ac:dyDescent="0.2">
      <c r="A14" s="237" t="s">
        <v>466</v>
      </c>
      <c r="B14" s="77" t="s">
        <v>467</v>
      </c>
      <c r="C14" s="77" t="s">
        <v>227</v>
      </c>
      <c r="D14" s="57">
        <f>0</f>
        <v>0</v>
      </c>
      <c r="E14" s="57">
        <f>0</f>
        <v>0</v>
      </c>
      <c r="F14" s="57">
        <f>-25034.57</f>
        <v>-25034.57</v>
      </c>
      <c r="G14" s="57">
        <f>25034.57</f>
        <v>25034.57</v>
      </c>
      <c r="H14" s="57">
        <f>-14249.57</f>
        <v>-14249.57</v>
      </c>
      <c r="I14" s="57">
        <f>0</f>
        <v>0</v>
      </c>
      <c r="J14" s="57">
        <f>0</f>
        <v>0</v>
      </c>
      <c r="K14" s="57">
        <f>0</f>
        <v>0</v>
      </c>
      <c r="L14" s="57">
        <f>0</f>
        <v>0</v>
      </c>
      <c r="M14" s="57">
        <f>0</f>
        <v>0</v>
      </c>
      <c r="N14" s="57">
        <f>0</f>
        <v>0</v>
      </c>
      <c r="O14" s="57">
        <f>0</f>
        <v>0</v>
      </c>
      <c r="P14" s="57">
        <v>0</v>
      </c>
      <c r="Q14" s="57">
        <v>0</v>
      </c>
      <c r="R14" s="57">
        <v>-2653.43</v>
      </c>
      <c r="S14" s="57">
        <v>0</v>
      </c>
      <c r="T14" s="57">
        <v>0</v>
      </c>
      <c r="U14" s="57">
        <v>0</v>
      </c>
      <c r="V14" s="57">
        <v>0</v>
      </c>
      <c r="W14" s="57">
        <v>0</v>
      </c>
      <c r="X14" s="57">
        <v>0</v>
      </c>
      <c r="Y14" s="57">
        <v>0</v>
      </c>
      <c r="Z14" s="57">
        <v>0</v>
      </c>
      <c r="AA14" s="57">
        <v>0</v>
      </c>
      <c r="AC14" s="62">
        <f t="shared" si="18"/>
        <v>-25034.57</v>
      </c>
      <c r="AD14" s="62">
        <f t="shared" si="18"/>
        <v>10785</v>
      </c>
      <c r="AE14" s="62">
        <f t="shared" si="18"/>
        <v>0</v>
      </c>
      <c r="AF14" s="62">
        <f t="shared" si="18"/>
        <v>0</v>
      </c>
      <c r="AG14" s="62">
        <f t="shared" si="16"/>
        <v>-2653.43</v>
      </c>
      <c r="AH14" s="62">
        <f t="shared" si="16"/>
        <v>0</v>
      </c>
      <c r="AI14" s="62">
        <f t="shared" si="16"/>
        <v>0</v>
      </c>
      <c r="AJ14" s="62">
        <f t="shared" si="16"/>
        <v>0</v>
      </c>
      <c r="AK14" s="62"/>
      <c r="AL14" s="62">
        <f t="shared" si="19"/>
        <v>-14249.57</v>
      </c>
      <c r="AM14" s="62">
        <f t="shared" si="19"/>
        <v>-2653.43</v>
      </c>
    </row>
    <row r="15" spans="1:39" outlineLevel="1" x14ac:dyDescent="0.2">
      <c r="A15" s="237" t="s">
        <v>468</v>
      </c>
      <c r="B15" s="77" t="s">
        <v>469</v>
      </c>
      <c r="C15" s="77" t="s">
        <v>227</v>
      </c>
      <c r="D15" s="57">
        <f>5816.57</f>
        <v>5816.57</v>
      </c>
      <c r="E15" s="57">
        <f>5816.57</f>
        <v>5816.57</v>
      </c>
      <c r="F15" s="57">
        <f>-2606.58</f>
        <v>-2606.58</v>
      </c>
      <c r="G15" s="57">
        <f>1805.35</f>
        <v>1805.35</v>
      </c>
      <c r="H15" s="57">
        <f>-36104.92</f>
        <v>-36104.92</v>
      </c>
      <c r="I15" s="57">
        <f>1230.53</f>
        <v>1230.53</v>
      </c>
      <c r="J15" s="57">
        <f>7305.53</f>
        <v>7305.53</v>
      </c>
      <c r="K15" s="57">
        <f>-47879.69</f>
        <v>-47879.69</v>
      </c>
      <c r="L15" s="57">
        <f>11501.22</f>
        <v>11501.22</v>
      </c>
      <c r="M15" s="57">
        <f>9527.02</f>
        <v>9527.02</v>
      </c>
      <c r="N15" s="57">
        <f>5635.74</f>
        <v>5635.74</v>
      </c>
      <c r="O15" s="57">
        <f>-22777.26</f>
        <v>-22777.26</v>
      </c>
      <c r="P15" s="57">
        <v>13539.41</v>
      </c>
      <c r="Q15" s="57">
        <v>13928.99</v>
      </c>
      <c r="R15" s="57">
        <v>-816.01</v>
      </c>
      <c r="S15" s="57">
        <v>-14139.57</v>
      </c>
      <c r="T15" s="57">
        <v>11406.26</v>
      </c>
      <c r="U15" s="57">
        <v>8665.43</v>
      </c>
      <c r="V15" s="57">
        <v>-36076.68</v>
      </c>
      <c r="W15" s="57">
        <v>-25557.18</v>
      </c>
      <c r="X15" s="57">
        <v>12606.17</v>
      </c>
      <c r="Y15" s="57">
        <v>1950.86</v>
      </c>
      <c r="Z15" s="57">
        <v>6137.13</v>
      </c>
      <c r="AA15" s="57">
        <v>14004.14</v>
      </c>
      <c r="AC15" s="62">
        <f t="shared" si="18"/>
        <v>9026.56</v>
      </c>
      <c r="AD15" s="62">
        <f t="shared" si="18"/>
        <v>-33069.040000000001</v>
      </c>
      <c r="AE15" s="62">
        <f t="shared" si="18"/>
        <v>-29072.940000000002</v>
      </c>
      <c r="AF15" s="62">
        <f t="shared" si="18"/>
        <v>-7614.4999999999982</v>
      </c>
      <c r="AG15" s="62">
        <f t="shared" si="16"/>
        <v>26652.390000000003</v>
      </c>
      <c r="AH15" s="62">
        <f t="shared" si="16"/>
        <v>5932.1200000000008</v>
      </c>
      <c r="AI15" s="62">
        <f t="shared" si="16"/>
        <v>-49027.69</v>
      </c>
      <c r="AJ15" s="62">
        <f t="shared" si="16"/>
        <v>22092.129999999997</v>
      </c>
      <c r="AK15" s="62"/>
      <c r="AL15" s="62">
        <f t="shared" si="19"/>
        <v>-60729.919999999998</v>
      </c>
      <c r="AM15" s="62">
        <f t="shared" si="19"/>
        <v>5648.9500000000007</v>
      </c>
    </row>
    <row r="16" spans="1:39" outlineLevel="1" x14ac:dyDescent="0.2">
      <c r="A16" s="237" t="s">
        <v>470</v>
      </c>
      <c r="B16" s="77" t="s">
        <v>471</v>
      </c>
      <c r="C16" s="77" t="s">
        <v>229</v>
      </c>
      <c r="D16" s="58">
        <f>0</f>
        <v>0</v>
      </c>
      <c r="E16" s="58">
        <f>0</f>
        <v>0</v>
      </c>
      <c r="F16" s="57">
        <f>60.8</f>
        <v>60.8</v>
      </c>
      <c r="G16" s="57">
        <f>104.78</f>
        <v>104.78</v>
      </c>
      <c r="H16" s="57">
        <f>122.36</f>
        <v>122.36</v>
      </c>
      <c r="I16" s="57">
        <f t="shared" ref="I16:O16" si="20">113.57</f>
        <v>113.57</v>
      </c>
      <c r="J16" s="57">
        <f t="shared" si="20"/>
        <v>113.57</v>
      </c>
      <c r="K16" s="57">
        <f t="shared" si="20"/>
        <v>113.57</v>
      </c>
      <c r="L16" s="57">
        <f t="shared" si="20"/>
        <v>113.57</v>
      </c>
      <c r="M16" s="57">
        <f t="shared" si="20"/>
        <v>113.57</v>
      </c>
      <c r="N16" s="57">
        <f t="shared" si="20"/>
        <v>113.57</v>
      </c>
      <c r="O16" s="57">
        <f t="shared" si="20"/>
        <v>113.57</v>
      </c>
      <c r="P16" s="57">
        <v>113.57</v>
      </c>
      <c r="Q16" s="57">
        <v>113.57</v>
      </c>
      <c r="R16" s="57">
        <v>113.57</v>
      </c>
      <c r="S16" s="57">
        <v>113.57</v>
      </c>
      <c r="T16" s="57">
        <v>497.37</v>
      </c>
      <c r="U16" s="57">
        <v>607.32000000000005</v>
      </c>
      <c r="V16" s="57">
        <v>701.69</v>
      </c>
      <c r="W16" s="57">
        <v>769.99</v>
      </c>
      <c r="X16" s="57">
        <v>972.76</v>
      </c>
      <c r="Y16" s="57">
        <v>972.76</v>
      </c>
      <c r="Z16" s="57">
        <v>972.76</v>
      </c>
      <c r="AA16" s="57">
        <v>459.66</v>
      </c>
      <c r="AC16" s="62">
        <f t="shared" si="18"/>
        <v>60.8</v>
      </c>
      <c r="AD16" s="62">
        <f t="shared" si="18"/>
        <v>340.71</v>
      </c>
      <c r="AE16" s="62">
        <f t="shared" si="18"/>
        <v>340.71</v>
      </c>
      <c r="AF16" s="62">
        <f t="shared" si="18"/>
        <v>340.71</v>
      </c>
      <c r="AG16" s="62">
        <f t="shared" si="16"/>
        <v>340.71</v>
      </c>
      <c r="AH16" s="62">
        <f t="shared" si="16"/>
        <v>1218.2600000000002</v>
      </c>
      <c r="AI16" s="62">
        <f t="shared" si="16"/>
        <v>2444.44</v>
      </c>
      <c r="AJ16" s="62">
        <f t="shared" si="16"/>
        <v>2405.1799999999998</v>
      </c>
      <c r="AK16" s="62"/>
      <c r="AL16" s="62">
        <f t="shared" si="19"/>
        <v>1082.9299999999996</v>
      </c>
      <c r="AM16" s="62">
        <f t="shared" si="19"/>
        <v>6408.59</v>
      </c>
    </row>
    <row r="17" spans="1:39" outlineLevel="1" x14ac:dyDescent="0.2">
      <c r="A17" s="237" t="s">
        <v>472</v>
      </c>
      <c r="B17" s="78" t="s">
        <v>473</v>
      </c>
      <c r="C17" s="77" t="s">
        <v>229</v>
      </c>
      <c r="D17" s="57">
        <f>38.3</f>
        <v>38.299999999999997</v>
      </c>
      <c r="E17" s="57">
        <f>38.3</f>
        <v>38.299999999999997</v>
      </c>
      <c r="F17" s="57">
        <f>38.3</f>
        <v>38.299999999999997</v>
      </c>
      <c r="G17" s="57">
        <f>-1627.24</f>
        <v>-1627.24</v>
      </c>
      <c r="H17" s="58">
        <f>0</f>
        <v>0</v>
      </c>
      <c r="I17" s="58">
        <f>0</f>
        <v>0</v>
      </c>
      <c r="J17" s="58">
        <f>0</f>
        <v>0</v>
      </c>
      <c r="K17" s="58">
        <f>0</f>
        <v>0</v>
      </c>
      <c r="L17" s="58">
        <f>0</f>
        <v>0</v>
      </c>
      <c r="M17" s="58">
        <f>0</f>
        <v>0</v>
      </c>
      <c r="N17" s="58">
        <f>0</f>
        <v>0</v>
      </c>
      <c r="O17" s="58">
        <f>0</f>
        <v>0</v>
      </c>
      <c r="P17" s="58">
        <f>0</f>
        <v>0</v>
      </c>
      <c r="Q17" s="58">
        <f>0</f>
        <v>0</v>
      </c>
      <c r="R17" s="58">
        <f>0</f>
        <v>0</v>
      </c>
      <c r="S17" s="58">
        <f>0</f>
        <v>0</v>
      </c>
      <c r="T17" s="58">
        <f>0</f>
        <v>0</v>
      </c>
      <c r="U17" s="58">
        <f>0</f>
        <v>0</v>
      </c>
      <c r="V17" s="58">
        <f>0</f>
        <v>0</v>
      </c>
      <c r="W17" s="58">
        <f>0</f>
        <v>0</v>
      </c>
      <c r="X17" s="58">
        <f>0</f>
        <v>0</v>
      </c>
      <c r="Y17" s="58">
        <f>0</f>
        <v>0</v>
      </c>
      <c r="Z17" s="58">
        <f>0</f>
        <v>0</v>
      </c>
      <c r="AA17" s="58">
        <f>0</f>
        <v>0</v>
      </c>
      <c r="AC17" s="63">
        <f t="shared" si="18"/>
        <v>114.89999999999999</v>
      </c>
      <c r="AD17" s="63">
        <f t="shared" si="18"/>
        <v>-1627.24</v>
      </c>
      <c r="AE17" s="63">
        <f t="shared" si="18"/>
        <v>0</v>
      </c>
      <c r="AF17" s="63">
        <f t="shared" si="18"/>
        <v>0</v>
      </c>
      <c r="AG17" s="63">
        <f t="shared" si="16"/>
        <v>0</v>
      </c>
      <c r="AH17" s="63">
        <f t="shared" si="16"/>
        <v>0</v>
      </c>
      <c r="AI17" s="63">
        <f t="shared" si="16"/>
        <v>0</v>
      </c>
      <c r="AJ17" s="63">
        <f t="shared" si="16"/>
        <v>0</v>
      </c>
      <c r="AK17" s="63"/>
      <c r="AL17" s="62">
        <f t="shared" si="19"/>
        <v>-1512.34</v>
      </c>
      <c r="AM17" s="62">
        <f t="shared" si="19"/>
        <v>0</v>
      </c>
    </row>
    <row r="18" spans="1:39" outlineLevel="1" x14ac:dyDescent="0.2"/>
    <row r="19" spans="1:39" outlineLevel="1" x14ac:dyDescent="0.2">
      <c r="A19" s="61" t="s">
        <v>474</v>
      </c>
      <c r="B19" s="77"/>
      <c r="C19" s="7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</row>
    <row r="20" spans="1:39" outlineLevel="1" x14ac:dyDescent="0.2">
      <c r="A20" s="237" t="s">
        <v>475</v>
      </c>
      <c r="B20" s="77">
        <v>1200</v>
      </c>
      <c r="C20" s="77" t="s">
        <v>227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57">
        <v>0</v>
      </c>
      <c r="O20" s="57">
        <v>0</v>
      </c>
      <c r="P20" s="57">
        <v>0</v>
      </c>
      <c r="Q20" s="57">
        <v>0</v>
      </c>
      <c r="R20" s="57">
        <v>0</v>
      </c>
      <c r="S20" s="57">
        <v>0</v>
      </c>
      <c r="T20" s="57">
        <v>0</v>
      </c>
      <c r="U20" s="57">
        <v>0</v>
      </c>
      <c r="V20" s="57">
        <v>0</v>
      </c>
      <c r="W20" s="57">
        <v>0</v>
      </c>
      <c r="X20" s="57">
        <v>0</v>
      </c>
      <c r="Y20" s="57">
        <v>-216400</v>
      </c>
      <c r="Z20" s="57">
        <v>216400</v>
      </c>
      <c r="AA20" s="57">
        <v>-694300</v>
      </c>
      <c r="AC20" s="63">
        <f>SUMIFS($D20:$AA20,$D$6:$AA$6,AC$5)</f>
        <v>0</v>
      </c>
      <c r="AD20" s="63">
        <f>SUMIFS($D20:$AA20,$D$6:$AA$6,AD$5)</f>
        <v>0</v>
      </c>
      <c r="AE20" s="63">
        <f>SUMIFS($D20:$AA20,$D$6:$AA$6,AE$5)</f>
        <v>0</v>
      </c>
      <c r="AF20" s="63">
        <f>SUMIFS($D20:$AA20,$D$6:$AA$6,AF$5)</f>
        <v>0</v>
      </c>
      <c r="AG20" s="63">
        <f t="shared" si="16"/>
        <v>0</v>
      </c>
      <c r="AH20" s="63">
        <f t="shared" si="16"/>
        <v>0</v>
      </c>
      <c r="AI20" s="63">
        <f t="shared" si="16"/>
        <v>0</v>
      </c>
      <c r="AJ20" s="63">
        <f t="shared" si="16"/>
        <v>-694300</v>
      </c>
      <c r="AK20" s="62"/>
      <c r="AL20" s="62">
        <f t="shared" ref="AL20:AM20" si="21">SUMIFS($D20:$AA20,$D$7:$AA$7,AL$5)</f>
        <v>0</v>
      </c>
      <c r="AM20" s="62">
        <f t="shared" si="21"/>
        <v>-694300</v>
      </c>
    </row>
    <row r="21" spans="1:39" outlineLevel="1" x14ac:dyDescent="0.2">
      <c r="A21" s="61" t="s">
        <v>476</v>
      </c>
      <c r="B21" s="77"/>
      <c r="C21" s="7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</row>
    <row r="22" spans="1:39" outlineLevel="1" x14ac:dyDescent="0.2">
      <c r="A22" s="237" t="s">
        <v>477</v>
      </c>
      <c r="B22" s="77" t="s">
        <v>478</v>
      </c>
      <c r="C22" s="77" t="s">
        <v>227</v>
      </c>
      <c r="D22" s="57">
        <f>97703.18</f>
        <v>97703.18</v>
      </c>
      <c r="E22" s="57">
        <f>-238452.71</f>
        <v>-238452.71</v>
      </c>
      <c r="F22" s="57">
        <f>-124343.38</f>
        <v>-124343.38</v>
      </c>
      <c r="G22" s="57">
        <f>433094.67</f>
        <v>433094.67</v>
      </c>
      <c r="H22" s="57">
        <f>-206320.43</f>
        <v>-206320.43</v>
      </c>
      <c r="I22" s="57">
        <f>-75862.23</f>
        <v>-75862.23</v>
      </c>
      <c r="J22" s="57">
        <f>295506.45</f>
        <v>295506.45</v>
      </c>
      <c r="K22" s="57">
        <f>213519.58</f>
        <v>213519.58</v>
      </c>
      <c r="L22" s="57">
        <f>1315671.43</f>
        <v>1315671.43</v>
      </c>
      <c r="M22" s="57">
        <f>-1308077.33</f>
        <v>-1308077.33</v>
      </c>
      <c r="N22" s="57">
        <f>580505.87</f>
        <v>580505.87</v>
      </c>
      <c r="O22" s="57">
        <f>-461098.6</f>
        <v>-461098.6</v>
      </c>
      <c r="P22" s="57">
        <v>4649954.16</v>
      </c>
      <c r="Q22" s="57">
        <v>-758224.17</v>
      </c>
      <c r="R22" s="57">
        <v>-2303987.0699999998</v>
      </c>
      <c r="S22" s="57">
        <v>-1665793.71</v>
      </c>
      <c r="T22" s="57">
        <v>-527717.59</v>
      </c>
      <c r="U22" s="57">
        <v>157403.70000000001</v>
      </c>
      <c r="V22" s="57">
        <v>168504.3</v>
      </c>
      <c r="W22" s="57">
        <v>-456335.82</v>
      </c>
      <c r="X22" s="57">
        <v>-109133.75999999999</v>
      </c>
      <c r="Y22" s="57">
        <v>-7070.25</v>
      </c>
      <c r="Z22" s="57">
        <v>0</v>
      </c>
      <c r="AA22" s="57">
        <v>0</v>
      </c>
      <c r="AC22" s="62">
        <f>SUMIFS($D22:$AA22,$D$6:$AA$6,AC$5)</f>
        <v>-265092.91000000003</v>
      </c>
      <c r="AD22" s="62">
        <f>SUMIFS($D22:$AA22,$D$6:$AA$6,AD$5)</f>
        <v>150912.01</v>
      </c>
      <c r="AE22" s="62">
        <f>SUMIFS($D22:$AA22,$D$6:$AA$6,AE$5)</f>
        <v>1824697.46</v>
      </c>
      <c r="AF22" s="62">
        <f>SUMIFS($D22:$AA22,$D$6:$AA$6,AF$5)</f>
        <v>-1188670.06</v>
      </c>
      <c r="AG22" s="62">
        <f t="shared" si="16"/>
        <v>1587742.9200000004</v>
      </c>
      <c r="AH22" s="62">
        <f t="shared" si="16"/>
        <v>-2036107.5999999999</v>
      </c>
      <c r="AI22" s="62">
        <f t="shared" si="16"/>
        <v>-396965.28</v>
      </c>
      <c r="AJ22" s="62">
        <f t="shared" si="16"/>
        <v>-7070.25</v>
      </c>
      <c r="AK22" s="62"/>
      <c r="AL22" s="62">
        <f>SUMIFS($D22:$AA22,$D$7:$AA$7,AL$5)</f>
        <v>521846.5</v>
      </c>
      <c r="AM22" s="62">
        <f>SUMIFS($D22:$AA22,$D$7:$AA$7,AM$5)</f>
        <v>-852400.2099999995</v>
      </c>
    </row>
    <row r="23" spans="1:39" outlineLevel="1" x14ac:dyDescent="0.2">
      <c r="A23" s="237" t="s">
        <v>479</v>
      </c>
      <c r="B23" s="77">
        <v>2110</v>
      </c>
      <c r="C23" s="77" t="s">
        <v>227</v>
      </c>
      <c r="D23" s="58">
        <v>0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427551.78</v>
      </c>
      <c r="Y23" s="58">
        <v>-193895.95</v>
      </c>
      <c r="Z23" s="58">
        <v>121619.56</v>
      </c>
      <c r="AA23" s="58">
        <v>-145140.34</v>
      </c>
      <c r="AC23" s="62">
        <f t="shared" ref="AC23:AF24" si="22">SUMIFS($D23:$AA23,$D$6:$AA$6,AC$5)</f>
        <v>0</v>
      </c>
      <c r="AD23" s="62">
        <f t="shared" si="22"/>
        <v>0</v>
      </c>
      <c r="AE23" s="62">
        <f t="shared" si="22"/>
        <v>0</v>
      </c>
      <c r="AF23" s="62">
        <f t="shared" si="22"/>
        <v>0</v>
      </c>
      <c r="AG23" s="62">
        <f t="shared" si="16"/>
        <v>0</v>
      </c>
      <c r="AH23" s="62">
        <f t="shared" si="16"/>
        <v>0</v>
      </c>
      <c r="AI23" s="62">
        <f t="shared" si="16"/>
        <v>427551.78</v>
      </c>
      <c r="AJ23" s="62">
        <f t="shared" si="16"/>
        <v>-217416.73</v>
      </c>
      <c r="AK23" s="62"/>
      <c r="AL23" s="62">
        <f t="shared" ref="AL23:AM24" si="23">SUMIFS($D23:$AA23,$D$7:$AA$7,AL$5)</f>
        <v>0</v>
      </c>
      <c r="AM23" s="62">
        <f t="shared" si="23"/>
        <v>210135.05000000002</v>
      </c>
    </row>
    <row r="24" spans="1:39" outlineLevel="1" x14ac:dyDescent="0.2">
      <c r="A24" s="237" t="s">
        <v>480</v>
      </c>
      <c r="B24" s="77">
        <v>2140</v>
      </c>
      <c r="C24" s="77" t="s">
        <v>227</v>
      </c>
      <c r="D24" s="58">
        <v>0</v>
      </c>
      <c r="E24" s="58">
        <v>0</v>
      </c>
      <c r="F24" s="58">
        <v>0</v>
      </c>
      <c r="G24" s="58">
        <v>0</v>
      </c>
      <c r="H24" s="58">
        <v>0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18961.740000000002</v>
      </c>
      <c r="Y24" s="58">
        <v>-1492.29</v>
      </c>
      <c r="Z24" s="58">
        <v>-3180.1</v>
      </c>
      <c r="AA24" s="58">
        <v>-8337.17</v>
      </c>
      <c r="AC24" s="62">
        <f t="shared" si="22"/>
        <v>0</v>
      </c>
      <c r="AD24" s="62">
        <f t="shared" si="22"/>
        <v>0</v>
      </c>
      <c r="AE24" s="62">
        <f t="shared" si="22"/>
        <v>0</v>
      </c>
      <c r="AF24" s="62">
        <f t="shared" si="22"/>
        <v>0</v>
      </c>
      <c r="AG24" s="62">
        <f t="shared" si="16"/>
        <v>0</v>
      </c>
      <c r="AH24" s="62">
        <f t="shared" si="16"/>
        <v>0</v>
      </c>
      <c r="AI24" s="62">
        <f t="shared" si="16"/>
        <v>18961.740000000002</v>
      </c>
      <c r="AJ24" s="62">
        <f t="shared" si="16"/>
        <v>-13009.56</v>
      </c>
      <c r="AK24" s="62"/>
      <c r="AL24" s="62">
        <f t="shared" si="23"/>
        <v>0</v>
      </c>
      <c r="AM24" s="62">
        <f t="shared" si="23"/>
        <v>5952.18</v>
      </c>
    </row>
    <row r="25" spans="1:39" outlineLevel="1" x14ac:dyDescent="0.2">
      <c r="A25" s="61" t="s">
        <v>481</v>
      </c>
      <c r="B25" s="77"/>
      <c r="C25" s="77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</row>
    <row r="26" spans="1:39" outlineLevel="1" x14ac:dyDescent="0.2">
      <c r="A26" s="237" t="s">
        <v>482</v>
      </c>
      <c r="B26" s="77" t="s">
        <v>483</v>
      </c>
      <c r="C26" s="77" t="s">
        <v>227</v>
      </c>
      <c r="D26" s="58">
        <f>0</f>
        <v>0</v>
      </c>
      <c r="E26" s="58">
        <f>0</f>
        <v>0</v>
      </c>
      <c r="F26" s="58">
        <f>0</f>
        <v>0</v>
      </c>
      <c r="G26" s="58">
        <f>0</f>
        <v>0</v>
      </c>
      <c r="H26" s="58">
        <f>0</f>
        <v>0</v>
      </c>
      <c r="I26" s="58">
        <f>0</f>
        <v>0</v>
      </c>
      <c r="J26" s="58">
        <f>0</f>
        <v>0</v>
      </c>
      <c r="K26" s="57">
        <f>333</f>
        <v>333</v>
      </c>
      <c r="L26" s="58">
        <f>0</f>
        <v>0</v>
      </c>
      <c r="M26" s="57">
        <f>-333</f>
        <v>-333</v>
      </c>
      <c r="N26" s="58">
        <f>0</f>
        <v>0</v>
      </c>
      <c r="O26" s="58">
        <f>0</f>
        <v>0</v>
      </c>
      <c r="P26" s="57">
        <v>128473</v>
      </c>
      <c r="Q26" s="57">
        <v>-128473</v>
      </c>
      <c r="R26" s="58">
        <v>0</v>
      </c>
      <c r="S26" s="57">
        <v>156740.6</v>
      </c>
      <c r="T26" s="57">
        <v>-156740.6</v>
      </c>
      <c r="U26" s="57">
        <v>0</v>
      </c>
      <c r="V26" s="57">
        <v>0</v>
      </c>
      <c r="W26" s="57">
        <v>0</v>
      </c>
      <c r="X26" s="57">
        <v>0</v>
      </c>
      <c r="Y26" s="57">
        <v>0</v>
      </c>
      <c r="Z26" s="57">
        <v>0</v>
      </c>
      <c r="AA26" s="58">
        <v>0</v>
      </c>
      <c r="AC26" s="63">
        <f>SUMIFS($D26:$AA26,$D$6:$AA$6,AC$5)</f>
        <v>0</v>
      </c>
      <c r="AD26" s="63">
        <f>SUMIFS($D26:$AA26,$D$6:$AA$6,AD$5)</f>
        <v>0</v>
      </c>
      <c r="AE26" s="63">
        <f>SUMIFS($D26:$AA26,$D$6:$AA$6,AE$5)</f>
        <v>333</v>
      </c>
      <c r="AF26" s="63">
        <f>SUMIFS($D26:$AA26,$D$6:$AA$6,AF$5)</f>
        <v>-333</v>
      </c>
      <c r="AG26" s="63">
        <f t="shared" si="16"/>
        <v>0</v>
      </c>
      <c r="AH26" s="63">
        <f t="shared" si="16"/>
        <v>0</v>
      </c>
      <c r="AI26" s="63">
        <f t="shared" si="16"/>
        <v>0</v>
      </c>
      <c r="AJ26" s="63">
        <f t="shared" si="16"/>
        <v>0</v>
      </c>
      <c r="AK26" s="63"/>
      <c r="AL26" s="63">
        <f>SUMIFS($D26:$AA26,$D$7:$AA$7,AL$5)</f>
        <v>0</v>
      </c>
      <c r="AM26" s="63">
        <f>SUMIFS($D26:$AA26,$D$7:$AA$7,AM$5)</f>
        <v>0</v>
      </c>
    </row>
    <row r="27" spans="1:39" outlineLevel="1" x14ac:dyDescent="0.2">
      <c r="A27" s="237" t="s">
        <v>484</v>
      </c>
      <c r="B27" s="77">
        <v>2275</v>
      </c>
      <c r="C27" s="77" t="s">
        <v>227</v>
      </c>
      <c r="D27" s="57">
        <v>0</v>
      </c>
      <c r="E27" s="57">
        <v>0</v>
      </c>
      <c r="F27" s="57">
        <v>0</v>
      </c>
      <c r="G27" s="57">
        <v>0</v>
      </c>
      <c r="H27" s="57">
        <v>0</v>
      </c>
      <c r="I27" s="57">
        <v>0</v>
      </c>
      <c r="J27" s="57">
        <v>0</v>
      </c>
      <c r="K27" s="57">
        <v>0</v>
      </c>
      <c r="L27" s="57">
        <v>0</v>
      </c>
      <c r="M27" s="57">
        <v>0</v>
      </c>
      <c r="N27" s="57">
        <v>0</v>
      </c>
      <c r="O27" s="57">
        <v>0</v>
      </c>
      <c r="P27" s="57">
        <v>0</v>
      </c>
      <c r="Q27" s="57">
        <v>0</v>
      </c>
      <c r="R27" s="58">
        <v>0</v>
      </c>
      <c r="S27" s="57">
        <v>0</v>
      </c>
      <c r="T27" s="57">
        <v>0</v>
      </c>
      <c r="U27" s="57">
        <v>0</v>
      </c>
      <c r="V27" s="57">
        <v>0</v>
      </c>
      <c r="W27" s="57">
        <v>0</v>
      </c>
      <c r="X27" s="57">
        <v>0</v>
      </c>
      <c r="Y27" s="57">
        <v>216400</v>
      </c>
      <c r="Z27" s="57">
        <v>0</v>
      </c>
      <c r="AA27" s="58">
        <v>694300</v>
      </c>
      <c r="AC27" s="63">
        <f t="shared" ref="AC27:AF30" si="24">SUMIFS($D27:$AA27,$D$6:$AA$6,AC$5)</f>
        <v>0</v>
      </c>
      <c r="AD27" s="63">
        <f t="shared" si="24"/>
        <v>0</v>
      </c>
      <c r="AE27" s="63">
        <f t="shared" si="24"/>
        <v>0</v>
      </c>
      <c r="AF27" s="63">
        <f t="shared" si="24"/>
        <v>0</v>
      </c>
      <c r="AG27" s="63">
        <f t="shared" si="16"/>
        <v>0</v>
      </c>
      <c r="AH27" s="63">
        <f t="shared" si="16"/>
        <v>0</v>
      </c>
      <c r="AI27" s="63">
        <f t="shared" si="16"/>
        <v>0</v>
      </c>
      <c r="AJ27" s="63">
        <f t="shared" si="16"/>
        <v>910700</v>
      </c>
      <c r="AK27" s="63"/>
      <c r="AL27" s="63">
        <f t="shared" ref="AL27:AM30" si="25">SUMIFS($D27:$AA27,$D$7:$AA$7,AL$5)</f>
        <v>0</v>
      </c>
      <c r="AM27" s="63">
        <f t="shared" si="25"/>
        <v>910700</v>
      </c>
    </row>
    <row r="28" spans="1:39" outlineLevel="1" x14ac:dyDescent="0.2">
      <c r="A28" s="237" t="s">
        <v>485</v>
      </c>
      <c r="B28" s="77">
        <v>2280</v>
      </c>
      <c r="C28" s="77" t="s">
        <v>231</v>
      </c>
      <c r="D28" s="57">
        <v>0</v>
      </c>
      <c r="E28" s="57">
        <v>0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  <c r="L28" s="57">
        <v>0</v>
      </c>
      <c r="M28" s="57">
        <v>0</v>
      </c>
      <c r="N28" s="57">
        <v>0</v>
      </c>
      <c r="O28" s="57">
        <v>0</v>
      </c>
      <c r="P28" s="57">
        <v>0</v>
      </c>
      <c r="Q28" s="57">
        <v>0</v>
      </c>
      <c r="R28" s="58">
        <v>0</v>
      </c>
      <c r="S28" s="57">
        <v>0</v>
      </c>
      <c r="T28" s="57">
        <v>0</v>
      </c>
      <c r="U28" s="57">
        <v>0</v>
      </c>
      <c r="V28" s="57">
        <v>0</v>
      </c>
      <c r="W28" s="57">
        <v>0</v>
      </c>
      <c r="X28" s="57">
        <v>0</v>
      </c>
      <c r="Y28" s="57">
        <v>-150000</v>
      </c>
      <c r="Z28" s="57">
        <v>0</v>
      </c>
      <c r="AA28" s="58">
        <v>0</v>
      </c>
      <c r="AC28" s="63">
        <f t="shared" si="24"/>
        <v>0</v>
      </c>
      <c r="AD28" s="63">
        <f t="shared" si="24"/>
        <v>0</v>
      </c>
      <c r="AE28" s="63">
        <f t="shared" si="24"/>
        <v>0</v>
      </c>
      <c r="AF28" s="63">
        <f t="shared" si="24"/>
        <v>0</v>
      </c>
      <c r="AG28" s="63">
        <f t="shared" si="16"/>
        <v>0</v>
      </c>
      <c r="AH28" s="63">
        <f t="shared" si="16"/>
        <v>0</v>
      </c>
      <c r="AI28" s="63">
        <f t="shared" si="16"/>
        <v>0</v>
      </c>
      <c r="AJ28" s="63">
        <f t="shared" si="16"/>
        <v>-150000</v>
      </c>
      <c r="AK28" s="63"/>
      <c r="AL28" s="63">
        <f t="shared" si="25"/>
        <v>0</v>
      </c>
      <c r="AM28" s="63">
        <f t="shared" si="25"/>
        <v>-150000</v>
      </c>
    </row>
    <row r="29" spans="1:39" outlineLevel="1" x14ac:dyDescent="0.2">
      <c r="A29" s="237" t="s">
        <v>486</v>
      </c>
      <c r="B29" s="77" t="s">
        <v>487</v>
      </c>
      <c r="C29" s="77" t="s">
        <v>227</v>
      </c>
      <c r="D29" s="57">
        <f>-1048261</f>
        <v>-1048261</v>
      </c>
      <c r="E29" s="58">
        <f>0</f>
        <v>0</v>
      </c>
      <c r="F29" s="58">
        <f>0</f>
        <v>0</v>
      </c>
      <c r="G29" s="58">
        <f>0</f>
        <v>0</v>
      </c>
      <c r="H29" s="58">
        <f>0</f>
        <v>0</v>
      </c>
      <c r="I29" s="57">
        <f>287119.44</f>
        <v>287119.44</v>
      </c>
      <c r="J29" s="57">
        <f>-173788.8</f>
        <v>-173788.79999999999</v>
      </c>
      <c r="K29" s="57">
        <f>-113330.64</f>
        <v>-113330.64</v>
      </c>
      <c r="L29" s="58">
        <f>0</f>
        <v>0</v>
      </c>
      <c r="M29" s="58">
        <f>0</f>
        <v>0</v>
      </c>
      <c r="N29" s="58">
        <f>0</f>
        <v>0</v>
      </c>
      <c r="O29" s="58">
        <f>0</f>
        <v>0</v>
      </c>
      <c r="P29" s="57">
        <v>-4895977.9000000004</v>
      </c>
      <c r="Q29" s="57">
        <v>8430.4</v>
      </c>
      <c r="R29" s="57">
        <v>-8367.4</v>
      </c>
      <c r="S29" s="57">
        <v>0</v>
      </c>
      <c r="T29" s="57">
        <v>-8830.31</v>
      </c>
      <c r="U29" s="57">
        <v>0</v>
      </c>
      <c r="V29" s="57">
        <v>0</v>
      </c>
      <c r="W29" s="57">
        <v>0</v>
      </c>
      <c r="X29" s="57">
        <v>49203.86</v>
      </c>
      <c r="Y29" s="57">
        <v>-49203.86</v>
      </c>
      <c r="Z29" s="57">
        <v>0</v>
      </c>
      <c r="AA29" s="57">
        <v>142867.04</v>
      </c>
      <c r="AC29" s="63">
        <f t="shared" si="24"/>
        <v>-1048261</v>
      </c>
      <c r="AD29" s="63">
        <f t="shared" si="24"/>
        <v>287119.44</v>
      </c>
      <c r="AE29" s="63">
        <f t="shared" si="24"/>
        <v>-287119.44</v>
      </c>
      <c r="AF29" s="63">
        <f t="shared" si="24"/>
        <v>0</v>
      </c>
      <c r="AG29" s="63">
        <f t="shared" si="16"/>
        <v>-4895914.9000000004</v>
      </c>
      <c r="AH29" s="63">
        <f t="shared" si="16"/>
        <v>-8830.31</v>
      </c>
      <c r="AI29" s="63">
        <f t="shared" si="16"/>
        <v>49203.86</v>
      </c>
      <c r="AJ29" s="63">
        <f t="shared" si="16"/>
        <v>93663.180000000008</v>
      </c>
      <c r="AK29" s="62"/>
      <c r="AL29" s="63">
        <f t="shared" si="25"/>
        <v>-1048261.0000000001</v>
      </c>
      <c r="AM29" s="63">
        <f t="shared" si="25"/>
        <v>-4761878.17</v>
      </c>
    </row>
    <row r="30" spans="1:39" outlineLevel="1" x14ac:dyDescent="0.2">
      <c r="A30" s="237" t="s">
        <v>488</v>
      </c>
      <c r="B30" s="77">
        <v>2295</v>
      </c>
      <c r="C30" s="77" t="s">
        <v>227</v>
      </c>
      <c r="D30" s="57">
        <v>0</v>
      </c>
      <c r="E30" s="57">
        <v>0</v>
      </c>
      <c r="F30" s="57">
        <v>0</v>
      </c>
      <c r="G30" s="57">
        <v>0</v>
      </c>
      <c r="H30" s="57">
        <v>0</v>
      </c>
      <c r="I30" s="57">
        <v>0</v>
      </c>
      <c r="J30" s="57">
        <v>0</v>
      </c>
      <c r="K30" s="57">
        <v>0</v>
      </c>
      <c r="L30" s="57">
        <v>0</v>
      </c>
      <c r="M30" s="57">
        <v>0</v>
      </c>
      <c r="N30" s="57">
        <v>0</v>
      </c>
      <c r="O30" s="57">
        <v>0</v>
      </c>
      <c r="P30" s="57">
        <v>0</v>
      </c>
      <c r="Q30" s="57">
        <v>0</v>
      </c>
      <c r="R30" s="57">
        <v>0</v>
      </c>
      <c r="S30" s="57">
        <v>9722.2199999999993</v>
      </c>
      <c r="T30" s="57">
        <v>5347.23</v>
      </c>
      <c r="U30" s="57">
        <v>11180.55</v>
      </c>
      <c r="V30" s="57">
        <v>121.52</v>
      </c>
      <c r="W30" s="57">
        <v>-753.46</v>
      </c>
      <c r="X30" s="57">
        <v>-1555.56</v>
      </c>
      <c r="Y30" s="57">
        <v>48.34</v>
      </c>
      <c r="Z30" s="57">
        <v>-1506.94</v>
      </c>
      <c r="AA30" s="57">
        <v>-807.03</v>
      </c>
      <c r="AC30" s="63">
        <f t="shared" si="24"/>
        <v>0</v>
      </c>
      <c r="AD30" s="63">
        <f t="shared" si="24"/>
        <v>0</v>
      </c>
      <c r="AE30" s="63">
        <f t="shared" si="24"/>
        <v>0</v>
      </c>
      <c r="AF30" s="63">
        <f t="shared" si="24"/>
        <v>0</v>
      </c>
      <c r="AG30" s="63">
        <f t="shared" si="16"/>
        <v>0</v>
      </c>
      <c r="AH30" s="63">
        <f t="shared" si="16"/>
        <v>26250</v>
      </c>
      <c r="AI30" s="63">
        <f t="shared" si="16"/>
        <v>-2187.5</v>
      </c>
      <c r="AJ30" s="63">
        <f t="shared" si="16"/>
        <v>-2265.63</v>
      </c>
      <c r="AK30" s="62"/>
      <c r="AL30" s="63">
        <f t="shared" si="25"/>
        <v>0</v>
      </c>
      <c r="AM30" s="63">
        <f t="shared" si="25"/>
        <v>21796.870000000003</v>
      </c>
    </row>
    <row r="31" spans="1:39" x14ac:dyDescent="0.2">
      <c r="A31" s="60" t="s">
        <v>489</v>
      </c>
      <c r="B31" s="77"/>
      <c r="C31" s="77"/>
      <c r="D31" s="41">
        <f>SUM(D12:D30)</f>
        <v>-941810.25</v>
      </c>
      <c r="E31" s="41">
        <f t="shared" ref="E31:AA31" si="26">SUM(E12:E30)</f>
        <v>-229705.13999999998</v>
      </c>
      <c r="F31" s="41">
        <f t="shared" si="26"/>
        <v>-148992.73000000001</v>
      </c>
      <c r="G31" s="41">
        <f t="shared" si="26"/>
        <v>461304.82999999996</v>
      </c>
      <c r="H31" s="41">
        <f t="shared" si="26"/>
        <v>-253659.86</v>
      </c>
      <c r="I31" s="41">
        <f t="shared" si="26"/>
        <v>215494.01</v>
      </c>
      <c r="J31" s="41">
        <f t="shared" si="26"/>
        <v>132029.45000000001</v>
      </c>
      <c r="K31" s="41">
        <f t="shared" si="26"/>
        <v>-210631.14</v>
      </c>
      <c r="L31" s="41">
        <f t="shared" si="26"/>
        <v>1398482.0999999999</v>
      </c>
      <c r="M31" s="41">
        <f t="shared" si="26"/>
        <v>-1271133.06</v>
      </c>
      <c r="N31" s="41">
        <f t="shared" si="26"/>
        <v>576857.76</v>
      </c>
      <c r="O31" s="41">
        <f t="shared" si="26"/>
        <v>-455932.13999999996</v>
      </c>
      <c r="P31" s="41">
        <f t="shared" si="26"/>
        <v>-76067.610000000335</v>
      </c>
      <c r="Q31" s="41">
        <f t="shared" si="26"/>
        <v>-836394.06</v>
      </c>
      <c r="R31" s="41">
        <f t="shared" si="26"/>
        <v>-2287880.19</v>
      </c>
      <c r="S31" s="41">
        <f t="shared" si="26"/>
        <v>-1518976.91</v>
      </c>
      <c r="T31" s="41">
        <f t="shared" si="26"/>
        <v>-656939.22000000009</v>
      </c>
      <c r="U31" s="41">
        <f t="shared" si="26"/>
        <v>192399.68</v>
      </c>
      <c r="V31" s="41">
        <f t="shared" si="26"/>
        <v>150071.37999999998</v>
      </c>
      <c r="W31" s="41">
        <f t="shared" si="26"/>
        <v>-476193.7</v>
      </c>
      <c r="X31" s="41">
        <f t="shared" si="26"/>
        <v>330649.36000000004</v>
      </c>
      <c r="Y31" s="41">
        <f t="shared" si="26"/>
        <v>-386233.98</v>
      </c>
      <c r="Z31" s="41">
        <f t="shared" si="26"/>
        <v>352898.83</v>
      </c>
      <c r="AA31" s="41">
        <f t="shared" si="26"/>
        <v>-35538.599999999977</v>
      </c>
      <c r="AC31" s="64">
        <f t="shared" ref="AC31:AF32" si="27">SUMIFS($D31:$AA31,$D$6:$AA$6,AC$5)</f>
        <v>-1320508.1199999999</v>
      </c>
      <c r="AD31" s="64">
        <f t="shared" si="27"/>
        <v>423138.98</v>
      </c>
      <c r="AE31" s="64">
        <f t="shared" si="27"/>
        <v>1319880.4099999999</v>
      </c>
      <c r="AF31" s="64">
        <f t="shared" si="27"/>
        <v>-1150207.44</v>
      </c>
      <c r="AG31" s="64">
        <f t="shared" si="16"/>
        <v>-3200341.8600000003</v>
      </c>
      <c r="AH31" s="64">
        <f t="shared" si="16"/>
        <v>-1983516.45</v>
      </c>
      <c r="AI31" s="64">
        <f t="shared" si="16"/>
        <v>4527.039999999979</v>
      </c>
      <c r="AJ31" s="64">
        <f t="shared" si="16"/>
        <v>-68873.749999999942</v>
      </c>
      <c r="AK31" s="65"/>
      <c r="AL31" s="64">
        <f>SUMIFS($D31:$AA31,$D$7:$AA$7,AL$5)</f>
        <v>-727696.17000000016</v>
      </c>
      <c r="AM31" s="64">
        <f>SUMIFS($D31:$AA31,$D$7:$AA$7,AM$5)</f>
        <v>-5248205.0199999996</v>
      </c>
    </row>
    <row r="32" spans="1:39" x14ac:dyDescent="0.2">
      <c r="A32" s="59" t="s">
        <v>490</v>
      </c>
      <c r="B32" s="77" t="s">
        <v>491</v>
      </c>
      <c r="C32" s="77"/>
      <c r="D32" s="41">
        <f>(D9)+(D31)</f>
        <v>-1392955.56</v>
      </c>
      <c r="E32" s="41">
        <f t="shared" ref="E32:AA32" si="28">(E9)+(E31)</f>
        <v>-723717.21</v>
      </c>
      <c r="F32" s="41">
        <f t="shared" si="28"/>
        <v>-904210.94</v>
      </c>
      <c r="G32" s="41">
        <f t="shared" si="28"/>
        <v>-248659.65000000002</v>
      </c>
      <c r="H32" s="41">
        <f t="shared" si="28"/>
        <v>-747551.52</v>
      </c>
      <c r="I32" s="41">
        <f t="shared" si="28"/>
        <v>-808336.51</v>
      </c>
      <c r="J32" s="41">
        <f t="shared" si="28"/>
        <v>-1527062.77</v>
      </c>
      <c r="K32" s="41">
        <f t="shared" si="28"/>
        <v>-1224078.8999999999</v>
      </c>
      <c r="L32" s="41">
        <f t="shared" si="28"/>
        <v>-1120288.9099999999</v>
      </c>
      <c r="M32" s="41">
        <f t="shared" si="28"/>
        <v>-2428572.87</v>
      </c>
      <c r="N32" s="41">
        <f t="shared" si="28"/>
        <v>-1956112.24</v>
      </c>
      <c r="O32" s="41">
        <f t="shared" si="28"/>
        <v>-1356520.07</v>
      </c>
      <c r="P32" s="41">
        <f t="shared" si="28"/>
        <v>-884506.65000000037</v>
      </c>
      <c r="Q32" s="41">
        <f t="shared" si="28"/>
        <v>-1866776.59</v>
      </c>
      <c r="R32" s="41">
        <f t="shared" si="28"/>
        <v>-5812211.7999999998</v>
      </c>
      <c r="S32" s="41">
        <f t="shared" si="28"/>
        <v>-2624049.5999999996</v>
      </c>
      <c r="T32" s="41">
        <f t="shared" si="28"/>
        <v>-1418740.2400000002</v>
      </c>
      <c r="U32" s="41">
        <f t="shared" si="28"/>
        <v>-1231297.3500000001</v>
      </c>
      <c r="V32" s="41">
        <f t="shared" si="28"/>
        <v>-1289462.0900000001</v>
      </c>
      <c r="W32" s="41">
        <f t="shared" si="28"/>
        <v>-1476935.83</v>
      </c>
      <c r="X32" s="41">
        <f t="shared" si="28"/>
        <v>-1189323.5199999998</v>
      </c>
      <c r="Y32" s="41">
        <f t="shared" si="28"/>
        <v>-1872312.31</v>
      </c>
      <c r="Z32" s="41">
        <f t="shared" si="28"/>
        <v>-604426.5</v>
      </c>
      <c r="AA32" s="41">
        <f t="shared" si="28"/>
        <v>-1245962.48</v>
      </c>
      <c r="AC32" s="64">
        <f t="shared" si="27"/>
        <v>-3020883.71</v>
      </c>
      <c r="AD32" s="64">
        <f t="shared" si="27"/>
        <v>-1804547.6800000002</v>
      </c>
      <c r="AE32" s="64">
        <f t="shared" si="27"/>
        <v>-3871430.58</v>
      </c>
      <c r="AF32" s="64">
        <f t="shared" si="27"/>
        <v>-5741205.1800000006</v>
      </c>
      <c r="AG32" s="64">
        <f t="shared" si="16"/>
        <v>-8563495.0399999991</v>
      </c>
      <c r="AH32" s="64">
        <f t="shared" si="16"/>
        <v>-5274087.1899999995</v>
      </c>
      <c r="AI32" s="64">
        <f t="shared" si="16"/>
        <v>-3955721.4399999995</v>
      </c>
      <c r="AJ32" s="64">
        <f t="shared" si="16"/>
        <v>-3722701.29</v>
      </c>
      <c r="AK32" s="65"/>
      <c r="AL32" s="64">
        <f>SUMIFS($D32:$AA32,$D$7:$AA$7,AL$5)</f>
        <v>-14438067.15</v>
      </c>
      <c r="AM32" s="64">
        <f>SUMIFS($D32:$AA32,$D$7:$AA$7,AM$5)</f>
        <v>-21516004.959999997</v>
      </c>
    </row>
    <row r="33" spans="1:39" x14ac:dyDescent="0.2">
      <c r="A33" s="59"/>
      <c r="B33" s="77"/>
      <c r="C33" s="77"/>
      <c r="D33" s="238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</row>
    <row r="34" spans="1:39" x14ac:dyDescent="0.2">
      <c r="A34" s="59" t="s">
        <v>492</v>
      </c>
      <c r="B34" s="77"/>
      <c r="C34" s="77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</row>
    <row r="35" spans="1:39" x14ac:dyDescent="0.2">
      <c r="A35" s="60" t="s">
        <v>493</v>
      </c>
      <c r="B35" s="77"/>
      <c r="C35" s="77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</row>
    <row r="36" spans="1:39" x14ac:dyDescent="0.2">
      <c r="A36" s="61" t="s">
        <v>494</v>
      </c>
      <c r="B36" s="77" t="s">
        <v>495</v>
      </c>
      <c r="C36" s="77" t="s">
        <v>162</v>
      </c>
      <c r="D36" s="58">
        <f>0</f>
        <v>0</v>
      </c>
      <c r="E36" s="58">
        <f>0</f>
        <v>0</v>
      </c>
      <c r="F36" s="57">
        <f>-6814.29</f>
        <v>-6814.29</v>
      </c>
      <c r="G36" s="58">
        <f>0</f>
        <v>0</v>
      </c>
      <c r="H36" s="58">
        <f>0</f>
        <v>0</v>
      </c>
      <c r="I36" s="58">
        <f>0</f>
        <v>0</v>
      </c>
      <c r="J36" s="58">
        <f>0</f>
        <v>0</v>
      </c>
      <c r="K36" s="58">
        <f>0</f>
        <v>0</v>
      </c>
      <c r="L36" s="58">
        <f>0</f>
        <v>0</v>
      </c>
      <c r="M36" s="58">
        <f>0</f>
        <v>0</v>
      </c>
      <c r="N36" s="58">
        <f>0</f>
        <v>0</v>
      </c>
      <c r="O36" s="58">
        <f>0</f>
        <v>0</v>
      </c>
      <c r="P36" s="58">
        <v>0</v>
      </c>
      <c r="Q36" s="58">
        <v>0</v>
      </c>
      <c r="R36" s="58">
        <v>0</v>
      </c>
      <c r="S36" s="58">
        <v>-23028</v>
      </c>
      <c r="T36" s="58">
        <v>0</v>
      </c>
      <c r="U36" s="58">
        <v>-6597</v>
      </c>
      <c r="V36" s="58">
        <v>-5662.31</v>
      </c>
      <c r="W36" s="58">
        <v>-4098</v>
      </c>
      <c r="X36" s="58">
        <v>-12166</v>
      </c>
      <c r="Y36" s="58">
        <v>0</v>
      </c>
      <c r="Z36" s="58">
        <v>0</v>
      </c>
      <c r="AA36" s="58">
        <v>4398</v>
      </c>
      <c r="AC36" s="63">
        <f t="shared" ref="AC36:AF42" si="29">SUMIFS($D36:$AA36,$D$6:$AA$6,AC$5)</f>
        <v>-6814.29</v>
      </c>
      <c r="AD36" s="63">
        <f t="shared" si="29"/>
        <v>0</v>
      </c>
      <c r="AE36" s="63">
        <f t="shared" si="29"/>
        <v>0</v>
      </c>
      <c r="AF36" s="63">
        <f t="shared" si="29"/>
        <v>0</v>
      </c>
      <c r="AG36" s="63">
        <f t="shared" ref="AG36:AJ49" si="30">SUMIFS($D36:$AA36,$D$6:$AA$6,AG$5)</f>
        <v>0</v>
      </c>
      <c r="AH36" s="63">
        <f t="shared" si="30"/>
        <v>-29625</v>
      </c>
      <c r="AI36" s="63">
        <f t="shared" si="30"/>
        <v>-21926.31</v>
      </c>
      <c r="AJ36" s="63">
        <f t="shared" si="30"/>
        <v>4398</v>
      </c>
      <c r="AK36" s="63"/>
      <c r="AL36" s="63">
        <f t="shared" ref="AL36:AM42" si="31">SUMIFS($D36:$AA36,$D$7:$AA$7,AL$5)</f>
        <v>-6814.29</v>
      </c>
      <c r="AM36" s="63">
        <f t="shared" si="31"/>
        <v>-47153.31</v>
      </c>
    </row>
    <row r="37" spans="1:39" x14ac:dyDescent="0.2">
      <c r="A37" s="61" t="s">
        <v>496</v>
      </c>
      <c r="B37" s="77" t="s">
        <v>497</v>
      </c>
      <c r="C37" s="77" t="s">
        <v>162</v>
      </c>
      <c r="D37" s="58">
        <f>0</f>
        <v>0</v>
      </c>
      <c r="E37" s="58">
        <f>0</f>
        <v>0</v>
      </c>
      <c r="F37" s="58">
        <f>0</f>
        <v>0</v>
      </c>
      <c r="G37" s="57">
        <f>4040.02</f>
        <v>4040.02</v>
      </c>
      <c r="H37" s="58">
        <f>0</f>
        <v>0</v>
      </c>
      <c r="I37" s="58">
        <f>0</f>
        <v>0</v>
      </c>
      <c r="J37" s="58">
        <f>0</f>
        <v>0</v>
      </c>
      <c r="K37" s="58">
        <f>0</f>
        <v>0</v>
      </c>
      <c r="L37" s="58">
        <f>0</f>
        <v>0</v>
      </c>
      <c r="M37" s="58">
        <f>0</f>
        <v>0</v>
      </c>
      <c r="N37" s="58">
        <f>0</f>
        <v>0</v>
      </c>
      <c r="O37" s="58">
        <f>0</f>
        <v>0</v>
      </c>
      <c r="P37" s="58">
        <f>0</f>
        <v>0</v>
      </c>
      <c r="Q37" s="58">
        <f>0</f>
        <v>0</v>
      </c>
      <c r="R37" s="58">
        <f>0</f>
        <v>0</v>
      </c>
      <c r="S37" s="58">
        <f>0</f>
        <v>0</v>
      </c>
      <c r="T37" s="58">
        <f>0</f>
        <v>0</v>
      </c>
      <c r="U37" s="58">
        <f>0</f>
        <v>0</v>
      </c>
      <c r="V37" s="58">
        <f>0</f>
        <v>0</v>
      </c>
      <c r="W37" s="58">
        <f>0</f>
        <v>0</v>
      </c>
      <c r="X37" s="58">
        <f>0</f>
        <v>0</v>
      </c>
      <c r="Y37" s="58">
        <f>0</f>
        <v>0</v>
      </c>
      <c r="Z37" s="58">
        <f>0</f>
        <v>0</v>
      </c>
      <c r="AA37" s="58">
        <f>0</f>
        <v>0</v>
      </c>
      <c r="AC37" s="63">
        <f t="shared" si="29"/>
        <v>0</v>
      </c>
      <c r="AD37" s="63">
        <f t="shared" si="29"/>
        <v>4040.02</v>
      </c>
      <c r="AE37" s="63">
        <f t="shared" si="29"/>
        <v>0</v>
      </c>
      <c r="AF37" s="63">
        <f t="shared" si="29"/>
        <v>0</v>
      </c>
      <c r="AG37" s="63">
        <f t="shared" si="30"/>
        <v>0</v>
      </c>
      <c r="AH37" s="63">
        <f t="shared" si="30"/>
        <v>0</v>
      </c>
      <c r="AI37" s="63">
        <f t="shared" si="30"/>
        <v>0</v>
      </c>
      <c r="AJ37" s="63">
        <f t="shared" si="30"/>
        <v>0</v>
      </c>
      <c r="AK37" s="63"/>
      <c r="AL37" s="63">
        <f t="shared" si="31"/>
        <v>4040.02</v>
      </c>
      <c r="AM37" s="63">
        <f t="shared" si="31"/>
        <v>0</v>
      </c>
    </row>
    <row r="38" spans="1:39" x14ac:dyDescent="0.2">
      <c r="A38" s="61" t="s">
        <v>498</v>
      </c>
      <c r="B38" s="77" t="s">
        <v>499</v>
      </c>
      <c r="C38" s="77" t="s">
        <v>166</v>
      </c>
      <c r="D38" s="58">
        <f>0</f>
        <v>0</v>
      </c>
      <c r="E38" s="58">
        <f>0</f>
        <v>0</v>
      </c>
      <c r="F38" s="58">
        <f>0</f>
        <v>0</v>
      </c>
      <c r="G38" s="57">
        <f>-2938.68</f>
        <v>-2938.68</v>
      </c>
      <c r="H38" s="57">
        <f>2938.68</f>
        <v>2938.68</v>
      </c>
      <c r="I38" s="58">
        <f>0</f>
        <v>0</v>
      </c>
      <c r="J38" s="57">
        <f>-264</f>
        <v>-264</v>
      </c>
      <c r="K38" s="57">
        <f>-88315.25</f>
        <v>-88315.25</v>
      </c>
      <c r="L38" s="58">
        <f>0</f>
        <v>0</v>
      </c>
      <c r="M38" s="57">
        <f>-7357.2</f>
        <v>-7357.2</v>
      </c>
      <c r="N38" s="58">
        <f>0</f>
        <v>0</v>
      </c>
      <c r="O38" s="58">
        <f>0</f>
        <v>0</v>
      </c>
      <c r="P38" s="57">
        <v>-7333.5</v>
      </c>
      <c r="Q38" s="58">
        <v>0</v>
      </c>
      <c r="R38" s="57">
        <v>-143571.88</v>
      </c>
      <c r="S38" s="58">
        <v>0</v>
      </c>
      <c r="T38" s="58">
        <v>0</v>
      </c>
      <c r="U38" s="58">
        <v>-25892.51</v>
      </c>
      <c r="V38" s="58">
        <v>-16160.25</v>
      </c>
      <c r="W38" s="58">
        <v>0</v>
      </c>
      <c r="X38" s="58">
        <v>0</v>
      </c>
      <c r="Y38" s="58">
        <v>-19615.95</v>
      </c>
      <c r="Z38" s="58">
        <v>-7694.92</v>
      </c>
      <c r="AA38" s="57">
        <v>-1841</v>
      </c>
      <c r="AC38" s="62">
        <f t="shared" si="29"/>
        <v>0</v>
      </c>
      <c r="AD38" s="62">
        <f t="shared" si="29"/>
        <v>0</v>
      </c>
      <c r="AE38" s="62">
        <f t="shared" si="29"/>
        <v>-88579.25</v>
      </c>
      <c r="AF38" s="62">
        <f t="shared" si="29"/>
        <v>-7357.2</v>
      </c>
      <c r="AG38" s="62">
        <f t="shared" ref="AG38:AJ42" si="32">SUMIFS($D38:$AA38,$D$6:$AA$6,AG$5)</f>
        <v>-150905.38</v>
      </c>
      <c r="AH38" s="62">
        <f t="shared" si="32"/>
        <v>-25892.51</v>
      </c>
      <c r="AI38" s="62">
        <f t="shared" si="32"/>
        <v>-16160.25</v>
      </c>
      <c r="AJ38" s="62">
        <f t="shared" si="32"/>
        <v>-29151.870000000003</v>
      </c>
      <c r="AK38" s="62"/>
      <c r="AL38" s="62">
        <f t="shared" si="31"/>
        <v>-95936.45</v>
      </c>
      <c r="AM38" s="62">
        <f t="shared" si="31"/>
        <v>-222110.01000000004</v>
      </c>
    </row>
    <row r="39" spans="1:39" x14ac:dyDescent="0.2">
      <c r="A39" s="61" t="s">
        <v>500</v>
      </c>
      <c r="B39" s="77" t="s">
        <v>501</v>
      </c>
      <c r="C39" s="77" t="s">
        <v>166</v>
      </c>
      <c r="D39" s="58">
        <f>0</f>
        <v>0</v>
      </c>
      <c r="E39" s="57">
        <f>-64400.21</f>
        <v>-64400.21</v>
      </c>
      <c r="F39" s="57">
        <f>-25306.14</f>
        <v>-25306.14</v>
      </c>
      <c r="G39" s="57">
        <f>-46369.91</f>
        <v>-46369.91</v>
      </c>
      <c r="H39" s="57">
        <f>-33107.87</f>
        <v>-33107.870000000003</v>
      </c>
      <c r="I39" s="58">
        <f>0</f>
        <v>0</v>
      </c>
      <c r="J39" s="57">
        <f>-20833.31</f>
        <v>-20833.310000000001</v>
      </c>
      <c r="K39" s="57">
        <f>-15001.8</f>
        <v>-15001.8</v>
      </c>
      <c r="L39" s="57">
        <f>-45894.49</f>
        <v>-45894.49</v>
      </c>
      <c r="M39" s="57">
        <f>-21569.53</f>
        <v>-21569.53</v>
      </c>
      <c r="N39" s="57">
        <f>-73876.46</f>
        <v>-73876.460000000006</v>
      </c>
      <c r="O39" s="57">
        <f>-67937.45</f>
        <v>-67937.45</v>
      </c>
      <c r="P39" s="57">
        <v>7568.5</v>
      </c>
      <c r="Q39" s="58">
        <v>0</v>
      </c>
      <c r="R39" s="57">
        <v>79474.820000000007</v>
      </c>
      <c r="S39" s="58">
        <v>-125354.05</v>
      </c>
      <c r="T39" s="58">
        <v>-42573.04</v>
      </c>
      <c r="U39" s="58">
        <v>31543.29</v>
      </c>
      <c r="V39" s="58">
        <v>86273.56</v>
      </c>
      <c r="W39" s="58">
        <v>-27961.37</v>
      </c>
      <c r="X39" s="58">
        <v>-48748.86</v>
      </c>
      <c r="Y39" s="58">
        <v>-16287.55</v>
      </c>
      <c r="Z39" s="58">
        <v>-21483.27</v>
      </c>
      <c r="AA39" s="57">
        <v>-19507.89</v>
      </c>
      <c r="AC39" s="62">
        <f t="shared" si="29"/>
        <v>-89706.35</v>
      </c>
      <c r="AD39" s="62">
        <f t="shared" si="29"/>
        <v>-79477.78</v>
      </c>
      <c r="AE39" s="62">
        <f t="shared" si="29"/>
        <v>-81729.600000000006</v>
      </c>
      <c r="AF39" s="62">
        <f t="shared" si="29"/>
        <v>-163383.44</v>
      </c>
      <c r="AG39" s="62">
        <f t="shared" si="32"/>
        <v>87043.32</v>
      </c>
      <c r="AH39" s="62">
        <f t="shared" si="32"/>
        <v>-136383.79999999999</v>
      </c>
      <c r="AI39" s="62">
        <f t="shared" si="32"/>
        <v>9563.3300000000017</v>
      </c>
      <c r="AJ39" s="62">
        <f t="shared" si="32"/>
        <v>-57278.71</v>
      </c>
      <c r="AK39" s="62"/>
      <c r="AL39" s="62">
        <f t="shared" si="31"/>
        <v>-414297.17000000004</v>
      </c>
      <c r="AM39" s="62">
        <f t="shared" si="31"/>
        <v>-97055.86</v>
      </c>
    </row>
    <row r="40" spans="1:39" x14ac:dyDescent="0.2">
      <c r="A40" s="61" t="s">
        <v>502</v>
      </c>
      <c r="B40" s="77" t="s">
        <v>503</v>
      </c>
      <c r="C40" s="77" t="s">
        <v>227</v>
      </c>
      <c r="D40" s="57">
        <f>765.17</f>
        <v>765.17</v>
      </c>
      <c r="E40" s="57">
        <f t="shared" ref="E40:J40" si="33">590.94</f>
        <v>590.94000000000005</v>
      </c>
      <c r="F40" s="57">
        <f t="shared" si="33"/>
        <v>590.94000000000005</v>
      </c>
      <c r="G40" s="57">
        <f t="shared" si="33"/>
        <v>590.94000000000005</v>
      </c>
      <c r="H40" s="57">
        <f t="shared" si="33"/>
        <v>590.94000000000005</v>
      </c>
      <c r="I40" s="57">
        <f t="shared" si="33"/>
        <v>590.94000000000005</v>
      </c>
      <c r="J40" s="57">
        <f t="shared" si="33"/>
        <v>590.94000000000005</v>
      </c>
      <c r="K40" s="57">
        <f>2314.26</f>
        <v>2314.2600000000002</v>
      </c>
      <c r="L40" s="57">
        <f>1029.62</f>
        <v>1029.6199999999999</v>
      </c>
      <c r="M40" s="57">
        <f>1063.68</f>
        <v>1063.68</v>
      </c>
      <c r="N40" s="57">
        <f>1063.68</f>
        <v>1063.68</v>
      </c>
      <c r="O40" s="57">
        <f>1063.68</f>
        <v>1063.68</v>
      </c>
      <c r="P40" s="57">
        <v>1097.01</v>
      </c>
      <c r="Q40" s="57">
        <v>1097.01</v>
      </c>
      <c r="R40" s="57">
        <v>3306.26</v>
      </c>
      <c r="S40" s="57">
        <v>1849.75</v>
      </c>
      <c r="T40" s="57">
        <v>1849.75</v>
      </c>
      <c r="U40" s="57">
        <v>2290.94</v>
      </c>
      <c r="V40" s="57">
        <v>1998.65</v>
      </c>
      <c r="W40" s="57">
        <v>2047.29</v>
      </c>
      <c r="X40" s="57">
        <v>2047.29</v>
      </c>
      <c r="Y40" s="57">
        <v>2142.06</v>
      </c>
      <c r="Z40" s="57">
        <v>2180.34</v>
      </c>
      <c r="AA40" s="57">
        <v>2180.34</v>
      </c>
      <c r="AC40" s="62">
        <f t="shared" si="29"/>
        <v>1947.0500000000002</v>
      </c>
      <c r="AD40" s="62">
        <f t="shared" si="29"/>
        <v>1772.8200000000002</v>
      </c>
      <c r="AE40" s="62">
        <f t="shared" si="29"/>
        <v>3934.82</v>
      </c>
      <c r="AF40" s="62">
        <f t="shared" si="29"/>
        <v>3191.04</v>
      </c>
      <c r="AG40" s="62">
        <f t="shared" si="32"/>
        <v>5500.2800000000007</v>
      </c>
      <c r="AH40" s="62">
        <f t="shared" si="32"/>
        <v>5990.4400000000005</v>
      </c>
      <c r="AI40" s="62">
        <f t="shared" si="32"/>
        <v>6093.23</v>
      </c>
      <c r="AJ40" s="62">
        <f t="shared" si="32"/>
        <v>6502.74</v>
      </c>
      <c r="AK40" s="62"/>
      <c r="AL40" s="62">
        <f t="shared" si="31"/>
        <v>10845.730000000001</v>
      </c>
      <c r="AM40" s="62">
        <f t="shared" si="31"/>
        <v>24086.690000000002</v>
      </c>
    </row>
    <row r="41" spans="1:39" x14ac:dyDescent="0.2">
      <c r="A41" s="61" t="s">
        <v>504</v>
      </c>
      <c r="B41" s="77" t="s">
        <v>505</v>
      </c>
      <c r="C41" s="77" t="s">
        <v>344</v>
      </c>
      <c r="D41" s="58">
        <f>0</f>
        <v>0</v>
      </c>
      <c r="E41" s="58">
        <f>0</f>
        <v>0</v>
      </c>
      <c r="F41" s="58">
        <f>0</f>
        <v>0</v>
      </c>
      <c r="G41" s="58">
        <f>0</f>
        <v>0</v>
      </c>
      <c r="H41" s="57">
        <f>53859</f>
        <v>53859</v>
      </c>
      <c r="I41" s="58">
        <f>0</f>
        <v>0</v>
      </c>
      <c r="J41" s="58">
        <f>0</f>
        <v>0</v>
      </c>
      <c r="K41" s="58">
        <f>0</f>
        <v>0</v>
      </c>
      <c r="L41" s="58">
        <f>0</f>
        <v>0</v>
      </c>
      <c r="M41" s="58">
        <f>0</f>
        <v>0</v>
      </c>
      <c r="N41" s="58">
        <f>0</f>
        <v>0</v>
      </c>
      <c r="O41" s="58">
        <f>0</f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58">
        <v>0</v>
      </c>
      <c r="Z41" s="58">
        <v>0</v>
      </c>
      <c r="AA41" s="58">
        <v>0</v>
      </c>
      <c r="AC41" s="63">
        <f t="shared" si="29"/>
        <v>0</v>
      </c>
      <c r="AD41" s="63">
        <f t="shared" si="29"/>
        <v>53859</v>
      </c>
      <c r="AE41" s="63">
        <f t="shared" si="29"/>
        <v>0</v>
      </c>
      <c r="AF41" s="63">
        <f t="shared" si="29"/>
        <v>0</v>
      </c>
      <c r="AG41" s="63">
        <f t="shared" si="32"/>
        <v>0</v>
      </c>
      <c r="AH41" s="63">
        <f t="shared" si="32"/>
        <v>0</v>
      </c>
      <c r="AI41" s="63">
        <f t="shared" si="32"/>
        <v>0</v>
      </c>
      <c r="AJ41" s="63">
        <f t="shared" si="32"/>
        <v>0</v>
      </c>
      <c r="AK41" s="63"/>
      <c r="AL41" s="63">
        <f t="shared" si="31"/>
        <v>53859</v>
      </c>
      <c r="AM41" s="63">
        <f t="shared" si="31"/>
        <v>0</v>
      </c>
    </row>
    <row r="42" spans="1:39" x14ac:dyDescent="0.2">
      <c r="A42" s="60" t="s">
        <v>506</v>
      </c>
      <c r="B42" s="77" t="s">
        <v>507</v>
      </c>
      <c r="C42" s="77" t="s">
        <v>344</v>
      </c>
      <c r="D42" s="58">
        <f>0</f>
        <v>0</v>
      </c>
      <c r="E42" s="58">
        <f>0</f>
        <v>0</v>
      </c>
      <c r="F42" s="58">
        <f>0</f>
        <v>0</v>
      </c>
      <c r="G42" s="58">
        <f>0</f>
        <v>0</v>
      </c>
      <c r="H42" s="57">
        <f>-53859</f>
        <v>-53859</v>
      </c>
      <c r="I42" s="58">
        <f>0</f>
        <v>0</v>
      </c>
      <c r="J42" s="58">
        <f>0</f>
        <v>0</v>
      </c>
      <c r="K42" s="58">
        <f>0</f>
        <v>0</v>
      </c>
      <c r="L42" s="58">
        <f>0</f>
        <v>0</v>
      </c>
      <c r="M42" s="58">
        <f>0</f>
        <v>0</v>
      </c>
      <c r="N42" s="58">
        <f>0</f>
        <v>0</v>
      </c>
      <c r="O42" s="58">
        <f>0</f>
        <v>0</v>
      </c>
      <c r="P42" s="58">
        <f>0</f>
        <v>0</v>
      </c>
      <c r="Q42" s="58">
        <f>0</f>
        <v>0</v>
      </c>
      <c r="R42" s="58">
        <f>0</f>
        <v>0</v>
      </c>
      <c r="S42" s="58"/>
      <c r="T42" s="58"/>
      <c r="U42" s="58"/>
      <c r="V42" s="58"/>
      <c r="W42" s="58"/>
      <c r="X42" s="58"/>
      <c r="Y42" s="58"/>
      <c r="Z42" s="58"/>
      <c r="AA42" s="58">
        <f>0</f>
        <v>0</v>
      </c>
      <c r="AC42" s="63">
        <f t="shared" si="29"/>
        <v>0</v>
      </c>
      <c r="AD42" s="63">
        <f t="shared" si="29"/>
        <v>-53859</v>
      </c>
      <c r="AE42" s="63">
        <f t="shared" si="29"/>
        <v>0</v>
      </c>
      <c r="AF42" s="63">
        <f t="shared" si="29"/>
        <v>0</v>
      </c>
      <c r="AG42" s="63">
        <f t="shared" si="32"/>
        <v>0</v>
      </c>
      <c r="AH42" s="63">
        <f t="shared" si="32"/>
        <v>0</v>
      </c>
      <c r="AI42" s="63">
        <f t="shared" si="32"/>
        <v>0</v>
      </c>
      <c r="AJ42" s="63">
        <f t="shared" si="32"/>
        <v>0</v>
      </c>
      <c r="AK42" s="63"/>
      <c r="AL42" s="63">
        <f t="shared" si="31"/>
        <v>-53859</v>
      </c>
      <c r="AM42" s="63">
        <f t="shared" si="31"/>
        <v>0</v>
      </c>
    </row>
    <row r="43" spans="1:39" x14ac:dyDescent="0.2">
      <c r="A43" s="60" t="s">
        <v>508</v>
      </c>
      <c r="B43" s="77"/>
      <c r="C43" s="77"/>
      <c r="D43" s="58"/>
      <c r="E43" s="58"/>
      <c r="F43" s="58"/>
      <c r="G43" s="57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</row>
    <row r="44" spans="1:39" x14ac:dyDescent="0.2">
      <c r="A44" s="61" t="s">
        <v>509</v>
      </c>
      <c r="B44" s="77" t="s">
        <v>510</v>
      </c>
      <c r="C44" s="77" t="s">
        <v>162</v>
      </c>
      <c r="D44" s="58">
        <f>0</f>
        <v>0</v>
      </c>
      <c r="E44" s="57">
        <f>1000</f>
        <v>1000</v>
      </c>
      <c r="F44" s="57">
        <f>-12249.57</f>
        <v>-12249.57</v>
      </c>
      <c r="G44" s="58">
        <f>0</f>
        <v>0</v>
      </c>
      <c r="H44" s="58">
        <f>0</f>
        <v>0</v>
      </c>
      <c r="I44" s="58">
        <f>0</f>
        <v>0</v>
      </c>
      <c r="J44" s="58">
        <f>0</f>
        <v>0</v>
      </c>
      <c r="K44" s="58">
        <f>0</f>
        <v>0</v>
      </c>
      <c r="L44" s="57">
        <f>-20000</f>
        <v>-20000</v>
      </c>
      <c r="M44" s="58">
        <f>0</f>
        <v>0</v>
      </c>
      <c r="N44" s="58">
        <f>0</f>
        <v>0</v>
      </c>
      <c r="O44" s="58">
        <f>0</f>
        <v>0</v>
      </c>
      <c r="P44" s="58">
        <v>0</v>
      </c>
      <c r="Q44" s="57">
        <v>-9806</v>
      </c>
      <c r="R44" s="58">
        <v>0</v>
      </c>
      <c r="S44" s="57">
        <v>14903</v>
      </c>
      <c r="T44" s="57">
        <v>12249.57</v>
      </c>
      <c r="U44" s="57">
        <v>0</v>
      </c>
      <c r="V44" s="57">
        <v>0</v>
      </c>
      <c r="W44" s="57">
        <v>0</v>
      </c>
      <c r="X44" s="57">
        <v>0</v>
      </c>
      <c r="Y44" s="57">
        <v>0</v>
      </c>
      <c r="Z44" s="57">
        <v>0</v>
      </c>
      <c r="AA44" s="58">
        <v>0</v>
      </c>
      <c r="AC44" s="63">
        <f>SUMIFS($D44:$AA44,$D$6:$AA$6,AC$5)</f>
        <v>-11249.57</v>
      </c>
      <c r="AD44" s="63">
        <f>SUMIFS($D44:$AA44,$D$6:$AA$6,AD$5)</f>
        <v>0</v>
      </c>
      <c r="AE44" s="63">
        <f>SUMIFS($D44:$AA44,$D$6:$AA$6,AE$5)</f>
        <v>-20000</v>
      </c>
      <c r="AF44" s="63">
        <f>SUMIFS($D44:$AA44,$D$6:$AA$6,AF$5)</f>
        <v>0</v>
      </c>
      <c r="AG44" s="63">
        <f t="shared" si="30"/>
        <v>-9806</v>
      </c>
      <c r="AH44" s="63">
        <f t="shared" si="30"/>
        <v>27152.57</v>
      </c>
      <c r="AI44" s="63">
        <f t="shared" si="30"/>
        <v>0</v>
      </c>
      <c r="AJ44" s="63">
        <f t="shared" si="30"/>
        <v>0</v>
      </c>
      <c r="AK44" s="63"/>
      <c r="AL44" s="63">
        <f t="shared" ref="AL44:AM46" si="34">SUMIFS($D44:$AA44,$D$7:$AA$7,AL$5)</f>
        <v>-31249.57</v>
      </c>
      <c r="AM44" s="63">
        <f t="shared" si="34"/>
        <v>17346.57</v>
      </c>
    </row>
    <row r="45" spans="1:39" x14ac:dyDescent="0.2">
      <c r="A45" s="61" t="s">
        <v>511</v>
      </c>
      <c r="B45" s="77" t="s">
        <v>512</v>
      </c>
      <c r="C45" s="77" t="s">
        <v>162</v>
      </c>
      <c r="D45" s="57">
        <f>199523</f>
        <v>199523</v>
      </c>
      <c r="E45" s="58">
        <f>0</f>
        <v>0</v>
      </c>
      <c r="F45" s="58">
        <f>0</f>
        <v>0</v>
      </c>
      <c r="G45" s="58">
        <f>0</f>
        <v>0</v>
      </c>
      <c r="H45" s="58">
        <f>0</f>
        <v>0</v>
      </c>
      <c r="I45" s="58">
        <f>0</f>
        <v>0</v>
      </c>
      <c r="J45" s="58">
        <f>0</f>
        <v>0</v>
      </c>
      <c r="K45" s="58">
        <f>0</f>
        <v>0</v>
      </c>
      <c r="L45" s="58">
        <f>0</f>
        <v>0</v>
      </c>
      <c r="M45" s="58">
        <f>0</f>
        <v>0</v>
      </c>
      <c r="N45" s="58">
        <f>0</f>
        <v>0</v>
      </c>
      <c r="O45" s="58">
        <f>0</f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58">
        <v>0</v>
      </c>
      <c r="Z45" s="58">
        <v>0</v>
      </c>
      <c r="AA45" s="58">
        <v>0</v>
      </c>
      <c r="AC45" s="63">
        <f t="shared" ref="AC45:AF47" si="35">SUMIFS($D45:$AA45,$D$6:$AA$6,AC$5)</f>
        <v>199523</v>
      </c>
      <c r="AD45" s="63">
        <f t="shared" si="35"/>
        <v>0</v>
      </c>
      <c r="AE45" s="63">
        <f t="shared" si="35"/>
        <v>0</v>
      </c>
      <c r="AF45" s="63">
        <f t="shared" si="35"/>
        <v>0</v>
      </c>
      <c r="AG45" s="63">
        <f t="shared" si="30"/>
        <v>0</v>
      </c>
      <c r="AH45" s="63">
        <f t="shared" si="30"/>
        <v>0</v>
      </c>
      <c r="AI45" s="63">
        <f t="shared" si="30"/>
        <v>0</v>
      </c>
      <c r="AJ45" s="63">
        <f t="shared" si="30"/>
        <v>0</v>
      </c>
      <c r="AK45" s="63"/>
      <c r="AL45" s="63">
        <f t="shared" si="34"/>
        <v>199523</v>
      </c>
      <c r="AM45" s="63">
        <f t="shared" si="34"/>
        <v>0</v>
      </c>
    </row>
    <row r="46" spans="1:39" x14ac:dyDescent="0.2">
      <c r="A46" s="60" t="s">
        <v>513</v>
      </c>
      <c r="B46" s="77" t="s">
        <v>514</v>
      </c>
      <c r="C46" s="77" t="s">
        <v>193</v>
      </c>
      <c r="D46" s="58">
        <f>0</f>
        <v>0</v>
      </c>
      <c r="E46" s="58">
        <f>0</f>
        <v>0</v>
      </c>
      <c r="F46" s="58">
        <f>0</f>
        <v>0</v>
      </c>
      <c r="G46" s="58">
        <f>0</f>
        <v>0</v>
      </c>
      <c r="H46" s="58">
        <f>0</f>
        <v>0</v>
      </c>
      <c r="I46" s="58">
        <f>0</f>
        <v>0</v>
      </c>
      <c r="J46" s="58">
        <f>0</f>
        <v>0</v>
      </c>
      <c r="K46" s="58">
        <f>0</f>
        <v>0</v>
      </c>
      <c r="L46" s="58">
        <f>0</f>
        <v>0</v>
      </c>
      <c r="M46" s="58">
        <f>0</f>
        <v>0</v>
      </c>
      <c r="N46" s="58">
        <f>0</f>
        <v>0</v>
      </c>
      <c r="O46" s="58">
        <f>0</f>
        <v>0</v>
      </c>
      <c r="P46" s="58">
        <v>0</v>
      </c>
      <c r="Q46" s="57">
        <v>-40312.879999999997</v>
      </c>
      <c r="R46" s="57">
        <v>-6122.25</v>
      </c>
      <c r="S46" s="57">
        <v>0</v>
      </c>
      <c r="T46" s="57">
        <v>0</v>
      </c>
      <c r="U46" s="57">
        <v>0</v>
      </c>
      <c r="V46" s="57">
        <v>0</v>
      </c>
      <c r="W46" s="57">
        <v>0</v>
      </c>
      <c r="X46" s="57">
        <v>0</v>
      </c>
      <c r="Y46" s="57">
        <v>0</v>
      </c>
      <c r="Z46" s="57">
        <v>0</v>
      </c>
      <c r="AA46" s="57">
        <v>0</v>
      </c>
      <c r="AC46" s="63">
        <f t="shared" si="35"/>
        <v>0</v>
      </c>
      <c r="AD46" s="63">
        <f t="shared" si="35"/>
        <v>0</v>
      </c>
      <c r="AE46" s="63">
        <f t="shared" si="35"/>
        <v>0</v>
      </c>
      <c r="AF46" s="63">
        <f t="shared" si="35"/>
        <v>0</v>
      </c>
      <c r="AG46" s="63">
        <f t="shared" si="30"/>
        <v>-46435.13</v>
      </c>
      <c r="AH46" s="63">
        <f t="shared" si="30"/>
        <v>0</v>
      </c>
      <c r="AI46" s="63">
        <f t="shared" si="30"/>
        <v>0</v>
      </c>
      <c r="AJ46" s="63">
        <f t="shared" si="30"/>
        <v>0</v>
      </c>
      <c r="AK46" s="62"/>
      <c r="AL46" s="62">
        <f t="shared" si="34"/>
        <v>0</v>
      </c>
      <c r="AM46" s="62">
        <f t="shared" si="34"/>
        <v>-46435.13</v>
      </c>
    </row>
    <row r="47" spans="1:39" x14ac:dyDescent="0.2">
      <c r="A47" s="60" t="s">
        <v>515</v>
      </c>
      <c r="B47" s="77">
        <v>1961</v>
      </c>
      <c r="C47" s="77" t="s">
        <v>193</v>
      </c>
      <c r="D47" s="58">
        <v>0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7">
        <v>0</v>
      </c>
      <c r="R47" s="57">
        <v>0</v>
      </c>
      <c r="S47" s="57">
        <v>0</v>
      </c>
      <c r="T47" s="57">
        <v>2381.29</v>
      </c>
      <c r="U47" s="57">
        <v>1190.6400000000001</v>
      </c>
      <c r="V47" s="57">
        <v>1190.6400000000001</v>
      </c>
      <c r="W47" s="57">
        <v>1190.6400000000001</v>
      </c>
      <c r="X47" s="57">
        <v>1190.6400000000001</v>
      </c>
      <c r="Y47" s="57">
        <v>1190.6400000000001</v>
      </c>
      <c r="Z47" s="57">
        <v>1190.6400000000001</v>
      </c>
      <c r="AA47" s="57">
        <v>1190.6400000000001</v>
      </c>
      <c r="AC47" s="63">
        <f t="shared" si="35"/>
        <v>0</v>
      </c>
      <c r="AD47" s="63">
        <f t="shared" si="35"/>
        <v>0</v>
      </c>
      <c r="AE47" s="63">
        <f t="shared" si="35"/>
        <v>0</v>
      </c>
      <c r="AF47" s="63">
        <f t="shared" si="35"/>
        <v>0</v>
      </c>
      <c r="AG47" s="63">
        <f t="shared" si="30"/>
        <v>0</v>
      </c>
      <c r="AH47" s="63">
        <f t="shared" si="30"/>
        <v>3571.9300000000003</v>
      </c>
      <c r="AI47" s="63">
        <f t="shared" si="30"/>
        <v>3571.92</v>
      </c>
      <c r="AJ47" s="63">
        <f t="shared" si="30"/>
        <v>3571.92</v>
      </c>
      <c r="AK47" s="62"/>
      <c r="AL47" s="62">
        <f t="shared" ref="AL47:AM48" si="36">SUMIFS($D47:$AA47,$D$7:$AA$7,AL$5)</f>
        <v>0</v>
      </c>
      <c r="AM47" s="62">
        <f t="shared" si="36"/>
        <v>10715.77</v>
      </c>
    </row>
    <row r="48" spans="1:39" x14ac:dyDescent="0.2">
      <c r="A48" s="60" t="s">
        <v>516</v>
      </c>
      <c r="B48" s="77" t="s">
        <v>517</v>
      </c>
      <c r="C48" s="77" t="s">
        <v>190</v>
      </c>
      <c r="D48" s="58">
        <f>0</f>
        <v>0</v>
      </c>
      <c r="E48" s="58">
        <f>0</f>
        <v>0</v>
      </c>
      <c r="F48" s="58">
        <f>0</f>
        <v>0</v>
      </c>
      <c r="G48" s="57">
        <f>-400000</f>
        <v>-400000</v>
      </c>
      <c r="H48" s="58">
        <f>0</f>
        <v>0</v>
      </c>
      <c r="I48" s="58">
        <f>0</f>
        <v>0</v>
      </c>
      <c r="J48" s="58">
        <f>0</f>
        <v>0</v>
      </c>
      <c r="K48" s="58">
        <f>0</f>
        <v>0</v>
      </c>
      <c r="L48" s="58">
        <f>0</f>
        <v>0</v>
      </c>
      <c r="M48" s="58">
        <f>0</f>
        <v>0</v>
      </c>
      <c r="N48" s="58">
        <f>0</f>
        <v>0</v>
      </c>
      <c r="O48" s="58">
        <f>0</f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58">
        <v>783988</v>
      </c>
      <c r="Z48" s="58">
        <v>0</v>
      </c>
      <c r="AA48" s="58">
        <v>0</v>
      </c>
      <c r="AC48" s="63">
        <f t="shared" ref="AC48:AJ48" si="37">SUMIFS($D48:$AA48,$D$6:$AA$6,AC$5)</f>
        <v>0</v>
      </c>
      <c r="AD48" s="63">
        <f t="shared" si="37"/>
        <v>-400000</v>
      </c>
      <c r="AE48" s="63">
        <f t="shared" si="37"/>
        <v>0</v>
      </c>
      <c r="AF48" s="63">
        <f t="shared" si="37"/>
        <v>0</v>
      </c>
      <c r="AG48" s="63">
        <f t="shared" si="37"/>
        <v>0</v>
      </c>
      <c r="AH48" s="63">
        <f t="shared" si="37"/>
        <v>0</v>
      </c>
      <c r="AI48" s="63">
        <f t="shared" si="37"/>
        <v>0</v>
      </c>
      <c r="AJ48" s="63">
        <f t="shared" si="37"/>
        <v>783988</v>
      </c>
      <c r="AK48" s="63"/>
      <c r="AL48" s="62">
        <f t="shared" si="36"/>
        <v>-400000</v>
      </c>
      <c r="AM48" s="62">
        <f t="shared" si="36"/>
        <v>783988</v>
      </c>
    </row>
    <row r="49" spans="1:39" x14ac:dyDescent="0.2">
      <c r="A49" s="59" t="s">
        <v>518</v>
      </c>
      <c r="B49" s="77" t="s">
        <v>519</v>
      </c>
      <c r="C49" s="77"/>
      <c r="D49" s="41">
        <f>SUM(D36:D48)</f>
        <v>200288.17</v>
      </c>
      <c r="E49" s="41">
        <f t="shared" ref="E49:AA49" si="38">SUM(E36:E48)</f>
        <v>-62809.27</v>
      </c>
      <c r="F49" s="41">
        <f t="shared" si="38"/>
        <v>-43779.06</v>
      </c>
      <c r="G49" s="41">
        <f t="shared" si="38"/>
        <v>-444677.63</v>
      </c>
      <c r="H49" s="41">
        <f t="shared" si="38"/>
        <v>-29578.250000000004</v>
      </c>
      <c r="I49" s="41">
        <f t="shared" si="38"/>
        <v>590.94000000000005</v>
      </c>
      <c r="J49" s="41">
        <f t="shared" si="38"/>
        <v>-20506.370000000003</v>
      </c>
      <c r="K49" s="41">
        <f t="shared" si="38"/>
        <v>-101002.79000000001</v>
      </c>
      <c r="L49" s="41">
        <f t="shared" si="38"/>
        <v>-64864.869999999995</v>
      </c>
      <c r="M49" s="41">
        <f t="shared" si="38"/>
        <v>-27863.05</v>
      </c>
      <c r="N49" s="41">
        <f t="shared" si="38"/>
        <v>-72812.780000000013</v>
      </c>
      <c r="O49" s="41">
        <f t="shared" si="38"/>
        <v>-66873.77</v>
      </c>
      <c r="P49" s="41">
        <f t="shared" si="38"/>
        <v>1332.01</v>
      </c>
      <c r="Q49" s="41">
        <f t="shared" si="38"/>
        <v>-49021.869999999995</v>
      </c>
      <c r="R49" s="41">
        <f t="shared" si="38"/>
        <v>-66913.049999999988</v>
      </c>
      <c r="S49" s="41">
        <f t="shared" si="38"/>
        <v>-131629.29999999999</v>
      </c>
      <c r="T49" s="41">
        <f t="shared" si="38"/>
        <v>-26092.43</v>
      </c>
      <c r="U49" s="41">
        <f t="shared" si="38"/>
        <v>2535.3600000000024</v>
      </c>
      <c r="V49" s="41">
        <f t="shared" si="38"/>
        <v>67640.289999999994</v>
      </c>
      <c r="W49" s="41">
        <f t="shared" si="38"/>
        <v>-28821.439999999999</v>
      </c>
      <c r="X49" s="41">
        <f t="shared" si="38"/>
        <v>-57676.93</v>
      </c>
      <c r="Y49" s="41">
        <f t="shared" si="38"/>
        <v>751417.2</v>
      </c>
      <c r="Z49" s="41">
        <f t="shared" si="38"/>
        <v>-25807.210000000003</v>
      </c>
      <c r="AA49" s="41">
        <f t="shared" si="38"/>
        <v>-13579.91</v>
      </c>
      <c r="AC49" s="64">
        <f>SUMIFS($D49:$AA49,$D$6:$AA$6,AC$5)</f>
        <v>93699.840000000026</v>
      </c>
      <c r="AD49" s="64">
        <f>SUMIFS($D49:$AA49,$D$6:$AA$6,AD$5)</f>
        <v>-473664.94</v>
      </c>
      <c r="AE49" s="64">
        <f>SUMIFS($D49:$AA49,$D$6:$AA$6,AE$5)</f>
        <v>-186374.03</v>
      </c>
      <c r="AF49" s="64">
        <f>SUMIFS($D49:$AA49,$D$6:$AA$6,AF$5)</f>
        <v>-167549.60000000003</v>
      </c>
      <c r="AG49" s="64">
        <f t="shared" si="30"/>
        <v>-114602.90999999997</v>
      </c>
      <c r="AH49" s="64">
        <f t="shared" si="30"/>
        <v>-155186.36999999997</v>
      </c>
      <c r="AI49" s="64">
        <f t="shared" si="30"/>
        <v>-18858.080000000009</v>
      </c>
      <c r="AJ49" s="64">
        <f t="shared" si="30"/>
        <v>712030.08</v>
      </c>
      <c r="AK49" s="65"/>
      <c r="AL49" s="64">
        <f>SUMIFS($D49:$AA49,$D$7:$AA$7,AL$5)</f>
        <v>-733888.7300000001</v>
      </c>
      <c r="AM49" s="64">
        <f>SUMIFS($D49:$AA49,$D$7:$AA$7,AM$5)</f>
        <v>423382.72</v>
      </c>
    </row>
    <row r="50" spans="1:39" x14ac:dyDescent="0.2">
      <c r="A50" s="59"/>
      <c r="B50" s="77"/>
      <c r="C50" s="77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238"/>
      <c r="R50" s="238"/>
      <c r="S50" s="238"/>
      <c r="T50" s="238"/>
      <c r="U50" s="238"/>
      <c r="V50" s="238"/>
      <c r="W50" s="238"/>
      <c r="X50" s="238"/>
      <c r="Y50" s="238"/>
      <c r="Z50" s="238"/>
      <c r="AA50" s="238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</row>
    <row r="51" spans="1:39" x14ac:dyDescent="0.2">
      <c r="A51" s="59" t="s">
        <v>520</v>
      </c>
      <c r="B51" s="77"/>
      <c r="C51" s="77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</row>
    <row r="52" spans="1:39" x14ac:dyDescent="0.2">
      <c r="A52" s="60" t="s">
        <v>521</v>
      </c>
      <c r="B52" s="77" t="s">
        <v>522</v>
      </c>
      <c r="C52" s="77" t="s">
        <v>344</v>
      </c>
      <c r="D52" s="57">
        <f>-300000</f>
        <v>-300000</v>
      </c>
      <c r="E52" s="58">
        <f>0</f>
        <v>0</v>
      </c>
      <c r="F52" s="58">
        <f>0</f>
        <v>0</v>
      </c>
      <c r="G52" s="58">
        <f>0</f>
        <v>0</v>
      </c>
      <c r="H52" s="58">
        <f>0</f>
        <v>0</v>
      </c>
      <c r="I52" s="58">
        <f>0</f>
        <v>0</v>
      </c>
      <c r="J52" s="58">
        <f>0</f>
        <v>0</v>
      </c>
      <c r="K52" s="58">
        <f>0</f>
        <v>0</v>
      </c>
      <c r="L52" s="58">
        <f>0</f>
        <v>0</v>
      </c>
      <c r="M52" s="58">
        <f>0</f>
        <v>0</v>
      </c>
      <c r="N52" s="58">
        <f>0</f>
        <v>0</v>
      </c>
      <c r="O52" s="58">
        <f>0</f>
        <v>0</v>
      </c>
      <c r="P52" s="58">
        <v>0</v>
      </c>
      <c r="Q52" s="57">
        <v>8417500</v>
      </c>
      <c r="R52" s="57">
        <v>4500025</v>
      </c>
      <c r="S52" s="57">
        <v>0</v>
      </c>
      <c r="T52" s="57">
        <v>0</v>
      </c>
      <c r="U52" s="57">
        <v>0</v>
      </c>
      <c r="V52" s="57">
        <v>0</v>
      </c>
      <c r="W52" s="57">
        <v>0</v>
      </c>
      <c r="X52" s="57">
        <v>0</v>
      </c>
      <c r="Y52" s="57">
        <v>-150000</v>
      </c>
      <c r="Z52" s="57">
        <v>0</v>
      </c>
      <c r="AA52" s="57">
        <v>0</v>
      </c>
      <c r="AC52" s="62">
        <f t="shared" ref="AC52:AF66" si="39">SUMIFS($D52:$AA52,$D$6:$AA$6,AC$5)</f>
        <v>-300000</v>
      </c>
      <c r="AD52" s="62">
        <f t="shared" si="39"/>
        <v>0</v>
      </c>
      <c r="AE52" s="62">
        <f t="shared" si="39"/>
        <v>0</v>
      </c>
      <c r="AF52" s="62">
        <f t="shared" si="39"/>
        <v>0</v>
      </c>
      <c r="AG52" s="62">
        <f t="shared" ref="AG52:AJ66" si="40">SUMIFS($D52:$AA52,$D$6:$AA$6,AG$5)</f>
        <v>12917525</v>
      </c>
      <c r="AH52" s="62">
        <f t="shared" si="40"/>
        <v>0</v>
      </c>
      <c r="AI52" s="62">
        <f t="shared" si="40"/>
        <v>0</v>
      </c>
      <c r="AJ52" s="62">
        <f t="shared" si="40"/>
        <v>-150000</v>
      </c>
      <c r="AK52" s="62"/>
      <c r="AL52" s="62">
        <f>SUMIFS($D52:$AA52,$D$7:$AA$7,AL$5)</f>
        <v>-300000</v>
      </c>
      <c r="AM52" s="62">
        <f>SUMIFS($D52:$AA52,$D$7:$AA$7,AM$5)</f>
        <v>12767525</v>
      </c>
    </row>
    <row r="53" spans="1:39" x14ac:dyDescent="0.2">
      <c r="A53" s="60" t="s">
        <v>523</v>
      </c>
      <c r="B53" s="77">
        <v>2801</v>
      </c>
      <c r="C53" s="77" t="s">
        <v>195</v>
      </c>
      <c r="D53" s="58">
        <v>0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7">
        <v>0</v>
      </c>
      <c r="R53" s="57">
        <v>0</v>
      </c>
      <c r="S53" s="57">
        <v>2500000</v>
      </c>
      <c r="T53" s="57">
        <v>2000000</v>
      </c>
      <c r="U53" s="57">
        <v>0</v>
      </c>
      <c r="V53" s="57">
        <v>-125000</v>
      </c>
      <c r="W53" s="57">
        <v>-125000</v>
      </c>
      <c r="X53" s="57">
        <v>-125000</v>
      </c>
      <c r="Y53" s="57">
        <v>-125000</v>
      </c>
      <c r="Z53" s="57">
        <v>-125000</v>
      </c>
      <c r="AA53" s="57">
        <v>-125000</v>
      </c>
      <c r="AC53" s="62">
        <f t="shared" si="39"/>
        <v>0</v>
      </c>
      <c r="AD53" s="62">
        <f t="shared" si="39"/>
        <v>0</v>
      </c>
      <c r="AE53" s="62">
        <f t="shared" si="39"/>
        <v>0</v>
      </c>
      <c r="AF53" s="62">
        <f t="shared" si="39"/>
        <v>0</v>
      </c>
      <c r="AG53" s="62">
        <f t="shared" si="40"/>
        <v>0</v>
      </c>
      <c r="AH53" s="62">
        <f t="shared" si="40"/>
        <v>4500000</v>
      </c>
      <c r="AI53" s="62">
        <f t="shared" si="40"/>
        <v>-375000</v>
      </c>
      <c r="AJ53" s="62">
        <f t="shared" si="40"/>
        <v>-375000</v>
      </c>
      <c r="AK53" s="62"/>
      <c r="AL53" s="62">
        <f t="shared" ref="AL53:AM54" si="41">SUMIFS($D53:$AA53,$D$7:$AA$7,AL$5)</f>
        <v>0</v>
      </c>
      <c r="AM53" s="62">
        <f t="shared" si="41"/>
        <v>3750000</v>
      </c>
    </row>
    <row r="54" spans="1:39" x14ac:dyDescent="0.2">
      <c r="A54" s="60" t="s">
        <v>524</v>
      </c>
      <c r="B54" s="77" t="s">
        <v>525</v>
      </c>
      <c r="C54" s="77" t="s">
        <v>187</v>
      </c>
      <c r="D54" s="57">
        <f>103</f>
        <v>103</v>
      </c>
      <c r="E54" s="58">
        <f>0</f>
        <v>0</v>
      </c>
      <c r="F54" s="57">
        <f>61.1</f>
        <v>61.1</v>
      </c>
      <c r="G54" s="58">
        <f>0</f>
        <v>0</v>
      </c>
      <c r="H54" s="58">
        <f>0</f>
        <v>0</v>
      </c>
      <c r="I54" s="58">
        <f>0</f>
        <v>0</v>
      </c>
      <c r="J54" s="58">
        <f>0</f>
        <v>0</v>
      </c>
      <c r="K54" s="58">
        <f>0</f>
        <v>0</v>
      </c>
      <c r="L54" s="58">
        <f>0</f>
        <v>0</v>
      </c>
      <c r="M54" s="58">
        <f>0</f>
        <v>0</v>
      </c>
      <c r="N54" s="58">
        <f>0</f>
        <v>0</v>
      </c>
      <c r="O54" s="58">
        <f>0</f>
        <v>0</v>
      </c>
      <c r="P54" s="58">
        <f>0</f>
        <v>0</v>
      </c>
      <c r="Q54" s="58">
        <f>0</f>
        <v>0</v>
      </c>
      <c r="R54" s="58">
        <f>0</f>
        <v>0</v>
      </c>
      <c r="S54" s="58">
        <f>0</f>
        <v>0</v>
      </c>
      <c r="T54" s="58">
        <f>0</f>
        <v>0</v>
      </c>
      <c r="U54" s="58">
        <f>0</f>
        <v>0</v>
      </c>
      <c r="V54" s="58">
        <f>0</f>
        <v>0</v>
      </c>
      <c r="W54" s="58">
        <f>0</f>
        <v>0</v>
      </c>
      <c r="X54" s="58">
        <f>0</f>
        <v>0</v>
      </c>
      <c r="Y54" s="58">
        <f>0</f>
        <v>0</v>
      </c>
      <c r="Z54" s="58">
        <f>0</f>
        <v>0</v>
      </c>
      <c r="AA54" s="58">
        <f>0</f>
        <v>0</v>
      </c>
      <c r="AC54" s="63">
        <f t="shared" si="39"/>
        <v>164.1</v>
      </c>
      <c r="AD54" s="63">
        <f t="shared" si="39"/>
        <v>0</v>
      </c>
      <c r="AE54" s="63">
        <f t="shared" si="39"/>
        <v>0</v>
      </c>
      <c r="AF54" s="63">
        <f t="shared" si="39"/>
        <v>0</v>
      </c>
      <c r="AG54" s="63">
        <f t="shared" si="40"/>
        <v>0</v>
      </c>
      <c r="AH54" s="63">
        <f t="shared" si="40"/>
        <v>0</v>
      </c>
      <c r="AI54" s="63">
        <f t="shared" si="40"/>
        <v>0</v>
      </c>
      <c r="AJ54" s="63">
        <f t="shared" si="40"/>
        <v>0</v>
      </c>
      <c r="AK54" s="63"/>
      <c r="AL54" s="62">
        <f t="shared" si="41"/>
        <v>164.1</v>
      </c>
      <c r="AM54" s="62">
        <f t="shared" si="41"/>
        <v>0</v>
      </c>
    </row>
    <row r="55" spans="1:39" x14ac:dyDescent="0.2">
      <c r="A55" s="60" t="s">
        <v>526</v>
      </c>
      <c r="B55" s="77" t="s">
        <v>527</v>
      </c>
      <c r="C55" s="77" t="s">
        <v>192</v>
      </c>
      <c r="D55" s="57">
        <f>-129186.15</f>
        <v>-129186.15</v>
      </c>
      <c r="E55" s="57">
        <f>-93764.5</f>
        <v>-93764.5</v>
      </c>
      <c r="F55" s="57">
        <f>-5736.15</f>
        <v>-5736.15</v>
      </c>
      <c r="G55" s="57">
        <f>-11452.5</f>
        <v>-11452.5</v>
      </c>
      <c r="H55" s="57">
        <f>-12047.85</f>
        <v>-12047.85</v>
      </c>
      <c r="I55" s="57">
        <f>-16318.8</f>
        <v>-16318.8</v>
      </c>
      <c r="J55" s="57">
        <f>-7788.8</f>
        <v>-7788.8</v>
      </c>
      <c r="K55" s="57">
        <f>-1635.3</f>
        <v>-1635.3</v>
      </c>
      <c r="L55" s="58">
        <f>0</f>
        <v>0</v>
      </c>
      <c r="M55" s="58">
        <f>0</f>
        <v>0</v>
      </c>
      <c r="N55" s="58">
        <f>0</f>
        <v>0</v>
      </c>
      <c r="O55" s="58">
        <f>0</f>
        <v>0</v>
      </c>
      <c r="P55" s="58">
        <f>0</f>
        <v>0</v>
      </c>
      <c r="Q55" s="58">
        <f>0</f>
        <v>0</v>
      </c>
      <c r="R55" s="58">
        <f>0</f>
        <v>0</v>
      </c>
      <c r="S55" s="58">
        <f>0</f>
        <v>0</v>
      </c>
      <c r="T55" s="58">
        <f>0</f>
        <v>0</v>
      </c>
      <c r="U55" s="58">
        <f>0</f>
        <v>0</v>
      </c>
      <c r="V55" s="58">
        <f>0</f>
        <v>0</v>
      </c>
      <c r="W55" s="58">
        <f>0</f>
        <v>0</v>
      </c>
      <c r="X55" s="58">
        <f>0</f>
        <v>0</v>
      </c>
      <c r="Y55" s="58">
        <f>0</f>
        <v>0</v>
      </c>
      <c r="Z55" s="58">
        <f>0</f>
        <v>0</v>
      </c>
      <c r="AA55" s="58">
        <f>0</f>
        <v>0</v>
      </c>
      <c r="AC55" s="63">
        <f t="shared" si="39"/>
        <v>-228686.8</v>
      </c>
      <c r="AD55" s="63">
        <f t="shared" si="39"/>
        <v>-39819.149999999994</v>
      </c>
      <c r="AE55" s="63">
        <f t="shared" si="39"/>
        <v>-9424.1</v>
      </c>
      <c r="AF55" s="63">
        <f t="shared" si="39"/>
        <v>0</v>
      </c>
      <c r="AG55" s="63">
        <f t="shared" si="40"/>
        <v>0</v>
      </c>
      <c r="AH55" s="63">
        <f t="shared" si="40"/>
        <v>0</v>
      </c>
      <c r="AI55" s="63">
        <f t="shared" si="40"/>
        <v>0</v>
      </c>
      <c r="AJ55" s="63">
        <f t="shared" si="40"/>
        <v>0</v>
      </c>
      <c r="AK55" s="63"/>
      <c r="AL55" s="63">
        <f>SUMIFS($D55:$AA55,$D$7:$AA$7,AL$5)</f>
        <v>-277930.05</v>
      </c>
      <c r="AM55" s="63">
        <f>SUMIFS($D55:$AA55,$D$7:$AA$7,AM$5)</f>
        <v>0</v>
      </c>
    </row>
    <row r="56" spans="1:39" x14ac:dyDescent="0.2">
      <c r="A56" s="60" t="s">
        <v>528</v>
      </c>
      <c r="B56" s="77" t="s">
        <v>529</v>
      </c>
      <c r="C56" s="77" t="s">
        <v>187</v>
      </c>
      <c r="D56" s="57">
        <f>9999882.19</f>
        <v>9999882.1899999995</v>
      </c>
      <c r="E56" s="58">
        <f>0</f>
        <v>0</v>
      </c>
      <c r="F56" s="57">
        <f>6109936.84</f>
        <v>6109936.8399999999</v>
      </c>
      <c r="G56" s="57">
        <f>2599994.2</f>
        <v>2599994.2000000002</v>
      </c>
      <c r="H56" s="57">
        <f>1589996.33</f>
        <v>1589996.33</v>
      </c>
      <c r="I56" s="58">
        <f>0</f>
        <v>0</v>
      </c>
      <c r="J56" s="57">
        <f>500000</f>
        <v>500000</v>
      </c>
      <c r="K56" s="58">
        <f>0</f>
        <v>0</v>
      </c>
      <c r="L56" s="58">
        <f>0</f>
        <v>0</v>
      </c>
      <c r="M56" s="58">
        <f>0</f>
        <v>0</v>
      </c>
      <c r="N56" s="58">
        <f>0</f>
        <v>0</v>
      </c>
      <c r="O56" s="58">
        <f>0</f>
        <v>0</v>
      </c>
      <c r="P56" s="58">
        <f>0</f>
        <v>0</v>
      </c>
      <c r="Q56" s="58">
        <f>0</f>
        <v>0</v>
      </c>
      <c r="R56" s="58">
        <f>0</f>
        <v>0</v>
      </c>
      <c r="S56" s="58">
        <f>0</f>
        <v>0</v>
      </c>
      <c r="T56" s="58">
        <f>0</f>
        <v>0</v>
      </c>
      <c r="U56" s="58">
        <f>0</f>
        <v>0</v>
      </c>
      <c r="V56" s="58">
        <f>0</f>
        <v>0</v>
      </c>
      <c r="W56" s="58">
        <f>0</f>
        <v>0</v>
      </c>
      <c r="X56" s="58">
        <f>0</f>
        <v>0</v>
      </c>
      <c r="Y56" s="58">
        <f>0</f>
        <v>0</v>
      </c>
      <c r="Z56" s="58">
        <f>0</f>
        <v>0</v>
      </c>
      <c r="AA56" s="58">
        <f>0</f>
        <v>0</v>
      </c>
      <c r="AC56" s="63">
        <f t="shared" si="39"/>
        <v>16109819.029999999</v>
      </c>
      <c r="AD56" s="63">
        <f t="shared" si="39"/>
        <v>4189990.5300000003</v>
      </c>
      <c r="AE56" s="63">
        <f t="shared" si="39"/>
        <v>500000</v>
      </c>
      <c r="AF56" s="63">
        <f t="shared" si="39"/>
        <v>0</v>
      </c>
      <c r="AG56" s="63">
        <f t="shared" si="40"/>
        <v>0</v>
      </c>
      <c r="AH56" s="63">
        <f t="shared" si="40"/>
        <v>0</v>
      </c>
      <c r="AI56" s="63">
        <f t="shared" si="40"/>
        <v>0</v>
      </c>
      <c r="AJ56" s="63">
        <f t="shared" si="40"/>
        <v>0</v>
      </c>
      <c r="AK56" s="63"/>
      <c r="AL56" s="63">
        <f>SUMIFS($D56:$AA56,$D$7:$AA$7,AL$5)</f>
        <v>20799809.560000002</v>
      </c>
      <c r="AM56" s="63">
        <f>SUMIFS($D56:$AA56,$D$7:$AA$7,AM$5)</f>
        <v>0</v>
      </c>
    </row>
    <row r="57" spans="1:39" x14ac:dyDescent="0.2">
      <c r="A57" s="60" t="s">
        <v>530</v>
      </c>
      <c r="B57" s="77">
        <v>3260</v>
      </c>
      <c r="C57" s="77" t="s">
        <v>344</v>
      </c>
      <c r="D57" s="58">
        <v>0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315833</v>
      </c>
      <c r="W57" s="58">
        <v>45119</v>
      </c>
      <c r="X57" s="58">
        <v>45706</v>
      </c>
      <c r="Y57" s="58">
        <v>45706</v>
      </c>
      <c r="Z57" s="58">
        <v>45706</v>
      </c>
      <c r="AA57" s="58">
        <v>10141</v>
      </c>
      <c r="AC57" s="63">
        <f t="shared" si="39"/>
        <v>0</v>
      </c>
      <c r="AD57" s="63">
        <f t="shared" si="39"/>
        <v>0</v>
      </c>
      <c r="AE57" s="63">
        <f t="shared" si="39"/>
        <v>0</v>
      </c>
      <c r="AF57" s="63">
        <f t="shared" si="39"/>
        <v>0</v>
      </c>
      <c r="AG57" s="63">
        <f t="shared" si="40"/>
        <v>0</v>
      </c>
      <c r="AH57" s="63">
        <f t="shared" si="40"/>
        <v>0</v>
      </c>
      <c r="AI57" s="63">
        <f t="shared" si="40"/>
        <v>406658</v>
      </c>
      <c r="AJ57" s="63">
        <f t="shared" si="40"/>
        <v>101553</v>
      </c>
      <c r="AK57" s="63"/>
      <c r="AL57" s="63"/>
      <c r="AM57" s="63"/>
    </row>
    <row r="58" spans="1:39" x14ac:dyDescent="0.2">
      <c r="A58" s="60" t="s">
        <v>531</v>
      </c>
      <c r="B58" s="77"/>
      <c r="C58" s="77"/>
      <c r="D58" s="58">
        <f>0</f>
        <v>0</v>
      </c>
      <c r="E58" s="58">
        <f>0</f>
        <v>0</v>
      </c>
      <c r="F58" s="58">
        <f>0</f>
        <v>0</v>
      </c>
      <c r="G58" s="58">
        <f>0</f>
        <v>0</v>
      </c>
      <c r="H58" s="58">
        <f>0</f>
        <v>0</v>
      </c>
      <c r="I58" s="58">
        <f>0</f>
        <v>0</v>
      </c>
      <c r="J58" s="58">
        <f>0</f>
        <v>0</v>
      </c>
      <c r="K58" s="58">
        <f>0</f>
        <v>0</v>
      </c>
      <c r="L58" s="58">
        <f>0</f>
        <v>0</v>
      </c>
      <c r="M58" s="58">
        <f>0</f>
        <v>0</v>
      </c>
      <c r="N58" s="58">
        <f>0</f>
        <v>0</v>
      </c>
      <c r="O58" s="58">
        <f>0</f>
        <v>0</v>
      </c>
      <c r="P58" s="58">
        <f>0</f>
        <v>0</v>
      </c>
      <c r="Q58" s="58">
        <f>0</f>
        <v>0</v>
      </c>
      <c r="R58" s="58">
        <f>0</f>
        <v>0</v>
      </c>
      <c r="S58" s="58">
        <f>0</f>
        <v>0</v>
      </c>
      <c r="T58" s="58">
        <f>0</f>
        <v>0</v>
      </c>
      <c r="U58" s="58">
        <f>0</f>
        <v>0</v>
      </c>
      <c r="V58" s="58">
        <f>0</f>
        <v>0</v>
      </c>
      <c r="W58" s="58">
        <f>0</f>
        <v>0</v>
      </c>
      <c r="X58" s="58">
        <f>0</f>
        <v>0</v>
      </c>
      <c r="Y58" s="58">
        <f>0</f>
        <v>0</v>
      </c>
      <c r="Z58" s="58">
        <f>0</f>
        <v>0</v>
      </c>
      <c r="AA58" s="58">
        <f>0</f>
        <v>0</v>
      </c>
      <c r="AC58" s="63">
        <f t="shared" si="39"/>
        <v>0</v>
      </c>
      <c r="AD58" s="63">
        <f t="shared" si="39"/>
        <v>0</v>
      </c>
      <c r="AE58" s="63">
        <f t="shared" si="39"/>
        <v>0</v>
      </c>
      <c r="AF58" s="63">
        <f t="shared" si="39"/>
        <v>0</v>
      </c>
      <c r="AG58" s="63">
        <f t="shared" si="40"/>
        <v>0</v>
      </c>
      <c r="AH58" s="63">
        <f t="shared" si="40"/>
        <v>0</v>
      </c>
      <c r="AI58" s="63">
        <f t="shared" si="40"/>
        <v>0</v>
      </c>
      <c r="AJ58" s="63">
        <f t="shared" si="40"/>
        <v>0</v>
      </c>
      <c r="AK58" s="63"/>
      <c r="AL58" s="63">
        <f t="shared" ref="AL58:AM60" si="42">SUMIFS($D58:$AA58,$D$7:$AA$7,AL$5)</f>
        <v>0</v>
      </c>
      <c r="AM58" s="63">
        <f t="shared" si="42"/>
        <v>0</v>
      </c>
    </row>
    <row r="59" spans="1:39" x14ac:dyDescent="0.2">
      <c r="A59" s="59" t="s">
        <v>532</v>
      </c>
      <c r="B59" s="77" t="s">
        <v>533</v>
      </c>
      <c r="C59" s="77" t="s">
        <v>533</v>
      </c>
      <c r="D59" s="41">
        <f>SUM(D52:D58)</f>
        <v>9570799.0399999991</v>
      </c>
      <c r="E59" s="41">
        <f t="shared" ref="E59:AA59" si="43">SUM(E52:E58)</f>
        <v>-93764.5</v>
      </c>
      <c r="F59" s="41">
        <f t="shared" si="43"/>
        <v>6104261.79</v>
      </c>
      <c r="G59" s="41">
        <f t="shared" si="43"/>
        <v>2588541.7000000002</v>
      </c>
      <c r="H59" s="41">
        <f t="shared" si="43"/>
        <v>1577948.48</v>
      </c>
      <c r="I59" s="41">
        <f t="shared" si="43"/>
        <v>-16318.8</v>
      </c>
      <c r="J59" s="41">
        <f t="shared" si="43"/>
        <v>492211.20000000001</v>
      </c>
      <c r="K59" s="41">
        <f t="shared" si="43"/>
        <v>-1635.3</v>
      </c>
      <c r="L59" s="41">
        <f t="shared" si="43"/>
        <v>0</v>
      </c>
      <c r="M59" s="41">
        <f t="shared" si="43"/>
        <v>0</v>
      </c>
      <c r="N59" s="41">
        <f t="shared" si="43"/>
        <v>0</v>
      </c>
      <c r="O59" s="41">
        <f t="shared" si="43"/>
        <v>0</v>
      </c>
      <c r="P59" s="41">
        <f t="shared" si="43"/>
        <v>0</v>
      </c>
      <c r="Q59" s="41">
        <f t="shared" si="43"/>
        <v>8417500</v>
      </c>
      <c r="R59" s="41">
        <f t="shared" si="43"/>
        <v>4500025</v>
      </c>
      <c r="S59" s="41">
        <f t="shared" si="43"/>
        <v>2500000</v>
      </c>
      <c r="T59" s="41">
        <f t="shared" si="43"/>
        <v>2000000</v>
      </c>
      <c r="U59" s="41">
        <f t="shared" si="43"/>
        <v>0</v>
      </c>
      <c r="V59" s="41">
        <f t="shared" si="43"/>
        <v>190833</v>
      </c>
      <c r="W59" s="41">
        <f t="shared" si="43"/>
        <v>-79881</v>
      </c>
      <c r="X59" s="41">
        <f t="shared" si="43"/>
        <v>-79294</v>
      </c>
      <c r="Y59" s="41">
        <f t="shared" si="43"/>
        <v>-229294</v>
      </c>
      <c r="Z59" s="41">
        <f t="shared" si="43"/>
        <v>-79294</v>
      </c>
      <c r="AA59" s="41">
        <f t="shared" si="43"/>
        <v>-114859</v>
      </c>
      <c r="AC59" s="64">
        <f t="shared" si="39"/>
        <v>15581296.329999998</v>
      </c>
      <c r="AD59" s="64">
        <f t="shared" si="39"/>
        <v>4150171.3800000004</v>
      </c>
      <c r="AE59" s="64">
        <f t="shared" si="39"/>
        <v>490575.9</v>
      </c>
      <c r="AF59" s="64">
        <f t="shared" si="39"/>
        <v>0</v>
      </c>
      <c r="AG59" s="64">
        <f t="shared" si="40"/>
        <v>12917525</v>
      </c>
      <c r="AH59" s="64">
        <f t="shared" si="40"/>
        <v>4500000</v>
      </c>
      <c r="AI59" s="64">
        <f t="shared" si="40"/>
        <v>31658</v>
      </c>
      <c r="AJ59" s="64">
        <f t="shared" si="40"/>
        <v>-423447</v>
      </c>
      <c r="AK59" s="65"/>
      <c r="AL59" s="64">
        <f t="shared" si="42"/>
        <v>20222043.609999996</v>
      </c>
      <c r="AM59" s="64">
        <f t="shared" si="42"/>
        <v>17025736</v>
      </c>
    </row>
    <row r="60" spans="1:39" x14ac:dyDescent="0.2">
      <c r="A60" s="59" t="s">
        <v>534</v>
      </c>
      <c r="B60" s="77" t="s">
        <v>535</v>
      </c>
      <c r="C60" s="77" t="s">
        <v>535</v>
      </c>
      <c r="D60" s="41">
        <f>((D32)+(D49))+(D59)</f>
        <v>8378131.6499999985</v>
      </c>
      <c r="E60" s="41">
        <f t="shared" ref="E60:AA60" si="44">((E32)+(E49))+(E59)</f>
        <v>-880290.98</v>
      </c>
      <c r="F60" s="41">
        <f t="shared" si="44"/>
        <v>5156271.79</v>
      </c>
      <c r="G60" s="41">
        <f t="shared" si="44"/>
        <v>1895204.4200000002</v>
      </c>
      <c r="H60" s="41">
        <f t="shared" si="44"/>
        <v>800818.71</v>
      </c>
      <c r="I60" s="41">
        <f t="shared" si="44"/>
        <v>-824064.37000000011</v>
      </c>
      <c r="J60" s="41">
        <f t="shared" si="44"/>
        <v>-1055357.9400000002</v>
      </c>
      <c r="K60" s="41">
        <f t="shared" si="44"/>
        <v>-1326716.99</v>
      </c>
      <c r="L60" s="41">
        <f t="shared" si="44"/>
        <v>-1185153.7799999998</v>
      </c>
      <c r="M60" s="41">
        <f t="shared" si="44"/>
        <v>-2456435.92</v>
      </c>
      <c r="N60" s="41">
        <f t="shared" si="44"/>
        <v>-2028925.02</v>
      </c>
      <c r="O60" s="41">
        <f t="shared" si="44"/>
        <v>-1423393.84</v>
      </c>
      <c r="P60" s="41">
        <f t="shared" si="44"/>
        <v>-883174.64000000036</v>
      </c>
      <c r="Q60" s="41">
        <f t="shared" si="44"/>
        <v>6501701.54</v>
      </c>
      <c r="R60" s="41">
        <f t="shared" si="44"/>
        <v>-1379099.8499999996</v>
      </c>
      <c r="S60" s="41">
        <f t="shared" si="44"/>
        <v>-255678.89999999944</v>
      </c>
      <c r="T60" s="41">
        <f t="shared" si="44"/>
        <v>555167.32999999984</v>
      </c>
      <c r="U60" s="41">
        <f t="shared" si="44"/>
        <v>-1228761.99</v>
      </c>
      <c r="V60" s="41">
        <f t="shared" si="44"/>
        <v>-1030988.8</v>
      </c>
      <c r="W60" s="41">
        <f t="shared" si="44"/>
        <v>-1585638.27</v>
      </c>
      <c r="X60" s="41">
        <f t="shared" si="44"/>
        <v>-1326294.4499999997</v>
      </c>
      <c r="Y60" s="41">
        <f t="shared" si="44"/>
        <v>-1350189.11</v>
      </c>
      <c r="Z60" s="41">
        <f t="shared" si="44"/>
        <v>-709527.71</v>
      </c>
      <c r="AA60" s="41">
        <f t="shared" si="44"/>
        <v>-1374401.39</v>
      </c>
      <c r="AC60" s="64">
        <f t="shared" si="39"/>
        <v>12654112.459999997</v>
      </c>
      <c r="AD60" s="64">
        <f t="shared" si="39"/>
        <v>1871958.7599999998</v>
      </c>
      <c r="AE60" s="64">
        <f t="shared" si="39"/>
        <v>-3567228.71</v>
      </c>
      <c r="AF60" s="64">
        <f t="shared" si="39"/>
        <v>-5908754.7799999993</v>
      </c>
      <c r="AG60" s="64">
        <f t="shared" si="40"/>
        <v>4239427.05</v>
      </c>
      <c r="AH60" s="64">
        <f t="shared" si="40"/>
        <v>-929273.55999999959</v>
      </c>
      <c r="AI60" s="64">
        <f t="shared" si="40"/>
        <v>-3942921.52</v>
      </c>
      <c r="AJ60" s="64">
        <f t="shared" si="40"/>
        <v>-3434118.21</v>
      </c>
      <c r="AK60" s="65"/>
      <c r="AL60" s="64">
        <f t="shared" si="42"/>
        <v>5050087.7299999967</v>
      </c>
      <c r="AM60" s="64">
        <f t="shared" si="42"/>
        <v>-4066886.2399999993</v>
      </c>
    </row>
    <row r="61" spans="1:39" x14ac:dyDescent="0.2">
      <c r="B61" s="77"/>
      <c r="C61" s="77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39" x14ac:dyDescent="0.2">
      <c r="A62" s="2" t="s">
        <v>536</v>
      </c>
      <c r="B62" s="77"/>
      <c r="C62" s="77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39" x14ac:dyDescent="0.2">
      <c r="A63" s="60" t="s">
        <v>537</v>
      </c>
      <c r="B63" s="77" t="s">
        <v>522</v>
      </c>
      <c r="C63" s="77" t="s">
        <v>344</v>
      </c>
      <c r="D63" s="62">
        <f>D52</f>
        <v>-300000</v>
      </c>
      <c r="E63" s="62">
        <f t="shared" ref="E63:AJ65" si="45">E52</f>
        <v>0</v>
      </c>
      <c r="F63" s="62">
        <f t="shared" si="45"/>
        <v>0</v>
      </c>
      <c r="G63" s="62">
        <f t="shared" si="45"/>
        <v>0</v>
      </c>
      <c r="H63" s="62">
        <f t="shared" si="45"/>
        <v>0</v>
      </c>
      <c r="I63" s="62">
        <f t="shared" si="45"/>
        <v>0</v>
      </c>
      <c r="J63" s="62">
        <f t="shared" si="45"/>
        <v>0</v>
      </c>
      <c r="K63" s="62">
        <f t="shared" si="45"/>
        <v>0</v>
      </c>
      <c r="L63" s="62">
        <f t="shared" si="45"/>
        <v>0</v>
      </c>
      <c r="M63" s="62">
        <f t="shared" si="45"/>
        <v>0</v>
      </c>
      <c r="N63" s="62">
        <f t="shared" si="45"/>
        <v>0</v>
      </c>
      <c r="O63" s="62">
        <f t="shared" si="45"/>
        <v>0</v>
      </c>
      <c r="P63" s="62">
        <f t="shared" si="45"/>
        <v>0</v>
      </c>
      <c r="Q63" s="62">
        <f t="shared" si="45"/>
        <v>8417500</v>
      </c>
      <c r="R63" s="62">
        <f t="shared" si="45"/>
        <v>4500025</v>
      </c>
      <c r="S63" s="62">
        <f t="shared" si="45"/>
        <v>0</v>
      </c>
      <c r="T63" s="62">
        <f t="shared" si="45"/>
        <v>0</v>
      </c>
      <c r="U63" s="62">
        <f t="shared" si="45"/>
        <v>0</v>
      </c>
      <c r="V63" s="62">
        <f t="shared" si="45"/>
        <v>0</v>
      </c>
      <c r="W63" s="62">
        <f t="shared" si="45"/>
        <v>0</v>
      </c>
      <c r="X63" s="62">
        <f t="shared" si="45"/>
        <v>0</v>
      </c>
      <c r="Y63" s="62">
        <f t="shared" si="45"/>
        <v>-150000</v>
      </c>
      <c r="Z63" s="62">
        <f t="shared" si="45"/>
        <v>0</v>
      </c>
      <c r="AA63" s="62">
        <f t="shared" si="45"/>
        <v>0</v>
      </c>
      <c r="AB63" s="62"/>
      <c r="AC63" s="62">
        <f t="shared" si="45"/>
        <v>-300000</v>
      </c>
      <c r="AD63" s="62">
        <f t="shared" si="45"/>
        <v>0</v>
      </c>
      <c r="AE63" s="62">
        <f t="shared" si="45"/>
        <v>0</v>
      </c>
      <c r="AF63" s="62">
        <f t="shared" si="45"/>
        <v>0</v>
      </c>
      <c r="AG63" s="62">
        <f t="shared" si="45"/>
        <v>12917525</v>
      </c>
      <c r="AH63" s="62">
        <f t="shared" si="45"/>
        <v>0</v>
      </c>
      <c r="AI63" s="62">
        <f t="shared" si="45"/>
        <v>0</v>
      </c>
      <c r="AJ63" s="62">
        <f t="shared" si="45"/>
        <v>-150000</v>
      </c>
      <c r="AK63" s="62"/>
      <c r="AL63" s="62">
        <f t="shared" ref="AL63:AM65" si="46">SUMIFS($D63:$AA63,$D$7:$AA$7,AL$5)</f>
        <v>-300000</v>
      </c>
      <c r="AM63" s="62">
        <f t="shared" si="46"/>
        <v>12767525</v>
      </c>
    </row>
    <row r="64" spans="1:39" x14ac:dyDescent="0.2">
      <c r="A64" s="60" t="s">
        <v>538</v>
      </c>
      <c r="B64" s="77" t="s">
        <v>522</v>
      </c>
      <c r="C64" s="77" t="s">
        <v>344</v>
      </c>
      <c r="D64" s="246">
        <v>-300000</v>
      </c>
      <c r="E64" s="246">
        <v>0</v>
      </c>
      <c r="F64" s="246">
        <v>0</v>
      </c>
      <c r="G64" s="246">
        <v>0</v>
      </c>
      <c r="H64" s="246">
        <v>0</v>
      </c>
      <c r="I64" s="246">
        <v>0</v>
      </c>
      <c r="J64" s="246">
        <v>0</v>
      </c>
      <c r="K64" s="246">
        <v>0</v>
      </c>
      <c r="L64" s="246">
        <v>0</v>
      </c>
      <c r="M64" s="246">
        <v>0</v>
      </c>
      <c r="N64" s="246">
        <v>0</v>
      </c>
      <c r="O64" s="246">
        <v>0</v>
      </c>
      <c r="P64" s="246">
        <v>0</v>
      </c>
      <c r="Q64" s="246">
        <v>0</v>
      </c>
      <c r="R64" s="246">
        <v>0</v>
      </c>
      <c r="S64" s="246">
        <v>0</v>
      </c>
      <c r="T64" s="246">
        <v>0</v>
      </c>
      <c r="U64" s="246">
        <v>0</v>
      </c>
      <c r="V64" s="246">
        <v>0</v>
      </c>
      <c r="W64" s="246">
        <v>0</v>
      </c>
      <c r="X64" s="246">
        <v>0</v>
      </c>
      <c r="Y64" s="246">
        <v>0</v>
      </c>
      <c r="Z64" s="246">
        <v>0</v>
      </c>
      <c r="AA64" s="246">
        <v>0</v>
      </c>
      <c r="AC64" s="62">
        <f t="shared" si="45"/>
        <v>0</v>
      </c>
      <c r="AD64" s="62">
        <f t="shared" si="45"/>
        <v>0</v>
      </c>
      <c r="AE64" s="62">
        <f t="shared" si="45"/>
        <v>0</v>
      </c>
      <c r="AF64" s="62">
        <f t="shared" si="45"/>
        <v>0</v>
      </c>
      <c r="AG64" s="62">
        <f t="shared" si="45"/>
        <v>0</v>
      </c>
      <c r="AH64" s="62">
        <f t="shared" si="45"/>
        <v>4500000</v>
      </c>
      <c r="AI64" s="62">
        <f t="shared" si="45"/>
        <v>-375000</v>
      </c>
      <c r="AJ64" s="62">
        <f t="shared" si="45"/>
        <v>-375000</v>
      </c>
      <c r="AL64" s="62">
        <f t="shared" si="46"/>
        <v>-300000</v>
      </c>
      <c r="AM64" s="62">
        <f t="shared" si="46"/>
        <v>0</v>
      </c>
    </row>
    <row r="65" spans="1:39" x14ac:dyDescent="0.2">
      <c r="A65" s="60" t="s">
        <v>539</v>
      </c>
      <c r="B65" s="77" t="s">
        <v>522</v>
      </c>
      <c r="C65" s="77" t="s">
        <v>231</v>
      </c>
      <c r="D65" s="246">
        <v>0</v>
      </c>
      <c r="E65" s="246">
        <v>0</v>
      </c>
      <c r="F65" s="246">
        <v>0</v>
      </c>
      <c r="G65" s="246">
        <v>0</v>
      </c>
      <c r="H65" s="246">
        <v>0</v>
      </c>
      <c r="I65" s="246">
        <v>0</v>
      </c>
      <c r="J65" s="246">
        <v>0</v>
      </c>
      <c r="K65" s="246">
        <v>0</v>
      </c>
      <c r="L65" s="246">
        <v>0</v>
      </c>
      <c r="M65" s="246">
        <v>0</v>
      </c>
      <c r="N65" s="246">
        <v>0</v>
      </c>
      <c r="O65" s="246">
        <v>0</v>
      </c>
      <c r="P65" s="246">
        <v>0</v>
      </c>
      <c r="Q65" s="246">
        <v>0</v>
      </c>
      <c r="R65" s="246">
        <v>0</v>
      </c>
      <c r="S65" s="246">
        <v>0</v>
      </c>
      <c r="T65" s="246">
        <v>0</v>
      </c>
      <c r="U65" s="246">
        <v>0</v>
      </c>
      <c r="V65" s="246">
        <v>0</v>
      </c>
      <c r="W65" s="246">
        <v>0</v>
      </c>
      <c r="X65" s="246">
        <v>0</v>
      </c>
      <c r="Y65" s="246">
        <v>-150000</v>
      </c>
      <c r="Z65" s="246">
        <v>0</v>
      </c>
      <c r="AA65" s="246">
        <v>0</v>
      </c>
      <c r="AC65" s="62">
        <f t="shared" si="45"/>
        <v>164.1</v>
      </c>
      <c r="AD65" s="62">
        <f t="shared" si="45"/>
        <v>0</v>
      </c>
      <c r="AE65" s="62">
        <f t="shared" si="45"/>
        <v>0</v>
      </c>
      <c r="AF65" s="62">
        <f t="shared" si="45"/>
        <v>0</v>
      </c>
      <c r="AG65" s="62">
        <f t="shared" si="45"/>
        <v>0</v>
      </c>
      <c r="AH65" s="62">
        <f t="shared" si="45"/>
        <v>0</v>
      </c>
      <c r="AI65" s="62">
        <f t="shared" si="45"/>
        <v>0</v>
      </c>
      <c r="AJ65" s="62">
        <f t="shared" si="45"/>
        <v>0</v>
      </c>
      <c r="AL65" s="62">
        <f t="shared" si="46"/>
        <v>0</v>
      </c>
      <c r="AM65" s="62">
        <f t="shared" si="46"/>
        <v>-150000</v>
      </c>
    </row>
    <row r="66" spans="1:39" x14ac:dyDescent="0.2">
      <c r="A66" s="60" t="s">
        <v>540</v>
      </c>
      <c r="B66" s="77" t="s">
        <v>522</v>
      </c>
      <c r="C66" s="77" t="s">
        <v>188</v>
      </c>
      <c r="D66" s="246">
        <f>SUM(D63-SUM(D64:D65))</f>
        <v>0</v>
      </c>
      <c r="E66" s="246">
        <f t="shared" ref="E66:AA66" si="47">SUM(E63-SUM(E64:E65))</f>
        <v>0</v>
      </c>
      <c r="F66" s="246">
        <f t="shared" si="47"/>
        <v>0</v>
      </c>
      <c r="G66" s="246">
        <f t="shared" si="47"/>
        <v>0</v>
      </c>
      <c r="H66" s="246">
        <f t="shared" si="47"/>
        <v>0</v>
      </c>
      <c r="I66" s="246">
        <f t="shared" si="47"/>
        <v>0</v>
      </c>
      <c r="J66" s="246">
        <f t="shared" si="47"/>
        <v>0</v>
      </c>
      <c r="K66" s="246">
        <f t="shared" si="47"/>
        <v>0</v>
      </c>
      <c r="L66" s="246">
        <f t="shared" si="47"/>
        <v>0</v>
      </c>
      <c r="M66" s="246">
        <f t="shared" si="47"/>
        <v>0</v>
      </c>
      <c r="N66" s="246">
        <f t="shared" si="47"/>
        <v>0</v>
      </c>
      <c r="O66" s="246">
        <f t="shared" si="47"/>
        <v>0</v>
      </c>
      <c r="P66" s="246">
        <f t="shared" si="47"/>
        <v>0</v>
      </c>
      <c r="Q66" s="246">
        <f t="shared" si="47"/>
        <v>8417500</v>
      </c>
      <c r="R66" s="246">
        <f t="shared" si="47"/>
        <v>4500025</v>
      </c>
      <c r="S66" s="246">
        <f t="shared" si="47"/>
        <v>0</v>
      </c>
      <c r="T66" s="246">
        <f t="shared" si="47"/>
        <v>0</v>
      </c>
      <c r="U66" s="246">
        <f t="shared" si="47"/>
        <v>0</v>
      </c>
      <c r="V66" s="246">
        <f t="shared" si="47"/>
        <v>0</v>
      </c>
      <c r="W66" s="246">
        <f t="shared" si="47"/>
        <v>0</v>
      </c>
      <c r="X66" s="246">
        <f t="shared" si="47"/>
        <v>0</v>
      </c>
      <c r="Y66" s="246">
        <f t="shared" si="47"/>
        <v>0</v>
      </c>
      <c r="Z66" s="246">
        <f t="shared" si="47"/>
        <v>0</v>
      </c>
      <c r="AA66" s="246">
        <f t="shared" si="47"/>
        <v>0</v>
      </c>
      <c r="AC66" s="62">
        <f t="shared" si="39"/>
        <v>0</v>
      </c>
      <c r="AD66" s="62">
        <f t="shared" si="39"/>
        <v>0</v>
      </c>
      <c r="AE66" s="62">
        <f t="shared" si="39"/>
        <v>0</v>
      </c>
      <c r="AF66" s="62">
        <f t="shared" si="39"/>
        <v>0</v>
      </c>
      <c r="AG66" s="62">
        <f t="shared" si="40"/>
        <v>12917525</v>
      </c>
      <c r="AH66" s="62">
        <f t="shared" si="40"/>
        <v>0</v>
      </c>
      <c r="AI66" s="62">
        <f t="shared" si="40"/>
        <v>0</v>
      </c>
      <c r="AJ66" s="62">
        <f t="shared" si="40"/>
        <v>0</v>
      </c>
      <c r="AK66" s="62"/>
      <c r="AL66" s="62">
        <f>SUMIFS($D66:$AA66,$D$7:$AA$7,AL$5)</f>
        <v>0</v>
      </c>
      <c r="AM66" s="62">
        <f>SUMIFS($D66:$AA66,$D$7:$AA$7,AM$5)</f>
        <v>12917525</v>
      </c>
    </row>
    <row r="68" spans="1:39" x14ac:dyDescent="0.2">
      <c r="A68" s="60" t="s">
        <v>541</v>
      </c>
      <c r="B68" s="77" t="s">
        <v>522</v>
      </c>
      <c r="C68" s="77" t="s">
        <v>227</v>
      </c>
      <c r="D68" s="246">
        <f>D64</f>
        <v>-300000</v>
      </c>
      <c r="E68" s="246">
        <f t="shared" ref="E68:AA68" si="48">E64</f>
        <v>0</v>
      </c>
      <c r="F68" s="246">
        <f t="shared" si="48"/>
        <v>0</v>
      </c>
      <c r="G68" s="246">
        <f t="shared" si="48"/>
        <v>0</v>
      </c>
      <c r="H68" s="246">
        <f t="shared" si="48"/>
        <v>0</v>
      </c>
      <c r="I68" s="246">
        <f t="shared" si="48"/>
        <v>0</v>
      </c>
      <c r="J68" s="246">
        <f t="shared" si="48"/>
        <v>0</v>
      </c>
      <c r="K68" s="246">
        <f t="shared" si="48"/>
        <v>0</v>
      </c>
      <c r="L68" s="246">
        <f t="shared" si="48"/>
        <v>0</v>
      </c>
      <c r="M68" s="246">
        <f t="shared" si="48"/>
        <v>0</v>
      </c>
      <c r="N68" s="246">
        <f t="shared" si="48"/>
        <v>0</v>
      </c>
      <c r="O68" s="246">
        <f t="shared" si="48"/>
        <v>0</v>
      </c>
      <c r="P68" s="246">
        <f t="shared" si="48"/>
        <v>0</v>
      </c>
      <c r="Q68" s="246">
        <f t="shared" si="48"/>
        <v>0</v>
      </c>
      <c r="R68" s="246">
        <f t="shared" si="48"/>
        <v>0</v>
      </c>
      <c r="S68" s="246">
        <f t="shared" si="48"/>
        <v>0</v>
      </c>
      <c r="T68" s="246">
        <f t="shared" si="48"/>
        <v>0</v>
      </c>
      <c r="U68" s="246">
        <f t="shared" si="48"/>
        <v>0</v>
      </c>
      <c r="V68" s="246">
        <f t="shared" si="48"/>
        <v>0</v>
      </c>
      <c r="W68" s="246">
        <f t="shared" si="48"/>
        <v>0</v>
      </c>
      <c r="X68" s="246">
        <f t="shared" si="48"/>
        <v>0</v>
      </c>
      <c r="Y68" s="246">
        <f t="shared" si="48"/>
        <v>0</v>
      </c>
      <c r="Z68" s="246">
        <f t="shared" si="48"/>
        <v>0</v>
      </c>
      <c r="AA68" s="246">
        <f t="shared" si="48"/>
        <v>0</v>
      </c>
      <c r="AC68" s="62">
        <f t="shared" ref="AC68:AJ68" si="49">SUMIFS($D65:$AA65,$D$6:$AA$6,AC$5)</f>
        <v>0</v>
      </c>
      <c r="AD68" s="62">
        <f t="shared" si="49"/>
        <v>0</v>
      </c>
      <c r="AE68" s="62">
        <f t="shared" si="49"/>
        <v>0</v>
      </c>
      <c r="AF68" s="62">
        <f t="shared" si="49"/>
        <v>0</v>
      </c>
      <c r="AG68" s="62">
        <f t="shared" si="49"/>
        <v>0</v>
      </c>
      <c r="AH68" s="62">
        <f t="shared" si="49"/>
        <v>0</v>
      </c>
      <c r="AI68" s="62">
        <f t="shared" si="49"/>
        <v>0</v>
      </c>
      <c r="AJ68" s="62">
        <f t="shared" si="49"/>
        <v>-150000</v>
      </c>
      <c r="AK68" s="62"/>
      <c r="AL68" s="62">
        <f>SUMIFS($D65:$AA65,$D$7:$AA$7,AL$5)</f>
        <v>0</v>
      </c>
      <c r="AM68" s="62">
        <f>SUMIFS($D65:$AA65,$D$7:$AA$7,AM$5)</f>
        <v>-150000</v>
      </c>
    </row>
    <row r="74" spans="1:39" x14ac:dyDescent="0.2"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39" x14ac:dyDescent="0.2"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9EAD-A0B9-4DA8-B98F-14F67649C5B7}">
  <sheetPr>
    <pageSetUpPr fitToPage="1"/>
  </sheetPr>
  <dimension ref="A1:AQ18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6" sqref="A6"/>
    </sheetView>
  </sheetViews>
  <sheetFormatPr baseColWidth="10" defaultColWidth="0" defaultRowHeight="15" outlineLevelRow="3" x14ac:dyDescent="0.2"/>
  <cols>
    <col min="1" max="1" width="50.83203125" style="2" customWidth="1"/>
    <col min="2" max="3" width="8.5" style="2" hidden="1" customWidth="1"/>
    <col min="4" max="4" width="2.6640625" style="2" customWidth="1"/>
    <col min="5" max="16" width="10.5" style="5" customWidth="1"/>
    <col min="17" max="28" width="10.5" style="2" customWidth="1"/>
    <col min="29" max="29" width="2.5" style="2" customWidth="1"/>
    <col min="30" max="37" width="10.5" style="2" customWidth="1"/>
    <col min="38" max="38" width="2.5" style="2" customWidth="1"/>
    <col min="39" max="40" width="10.5" style="2" customWidth="1"/>
    <col min="41" max="41" width="8.6640625" style="2" customWidth="1"/>
    <col min="42" max="43" width="0" style="2" hidden="1" customWidth="1"/>
    <col min="44" max="16384" width="8.6640625" style="2" hidden="1"/>
  </cols>
  <sheetData>
    <row r="1" spans="1:40" ht="18" x14ac:dyDescent="0.2">
      <c r="A1" s="17" t="s">
        <v>234</v>
      </c>
      <c r="B1" s="17"/>
      <c r="C1" s="17"/>
      <c r="D1" s="1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40" ht="18" x14ac:dyDescent="0.2">
      <c r="A2" s="17" t="s">
        <v>542</v>
      </c>
      <c r="B2" s="17"/>
      <c r="C2" s="17"/>
      <c r="D2" s="1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40" x14ac:dyDescent="0.2">
      <c r="A3" s="18" t="s">
        <v>236</v>
      </c>
      <c r="B3" s="18"/>
      <c r="C3" s="18"/>
      <c r="D3" s="1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40" x14ac:dyDescent="0.2">
      <c r="E4" s="5" t="s">
        <v>237</v>
      </c>
      <c r="AD4" s="2" t="s">
        <v>238</v>
      </c>
      <c r="AM4" s="2" t="s">
        <v>239</v>
      </c>
    </row>
    <row r="5" spans="1:40" ht="16" x14ac:dyDescent="0.2">
      <c r="A5" s="75" t="s">
        <v>240</v>
      </c>
      <c r="B5" s="80" t="s">
        <v>242</v>
      </c>
      <c r="C5" s="75" t="s">
        <v>243</v>
      </c>
      <c r="D5" s="75"/>
      <c r="E5" s="81">
        <v>45322</v>
      </c>
      <c r="F5" s="81">
        <v>45351</v>
      </c>
      <c r="G5" s="81">
        <v>45382</v>
      </c>
      <c r="H5" s="81">
        <v>45412</v>
      </c>
      <c r="I5" s="81">
        <v>45443</v>
      </c>
      <c r="J5" s="81">
        <v>45473</v>
      </c>
      <c r="K5" s="81">
        <v>45504</v>
      </c>
      <c r="L5" s="81">
        <v>45535</v>
      </c>
      <c r="M5" s="81">
        <v>45565</v>
      </c>
      <c r="N5" s="81">
        <v>45596</v>
      </c>
      <c r="O5" s="81">
        <v>45626</v>
      </c>
      <c r="P5" s="81">
        <v>45657</v>
      </c>
      <c r="Q5" s="81">
        <v>45688</v>
      </c>
      <c r="R5" s="81">
        <v>45716</v>
      </c>
      <c r="S5" s="81">
        <v>45747</v>
      </c>
      <c r="T5" s="81">
        <f>EOMONTH(S5,1)</f>
        <v>45777</v>
      </c>
      <c r="U5" s="81">
        <f t="shared" ref="U5:AB5" si="0">EOMONTH(T5,1)</f>
        <v>45808</v>
      </c>
      <c r="V5" s="81">
        <f t="shared" si="0"/>
        <v>45838</v>
      </c>
      <c r="W5" s="81">
        <f t="shared" si="0"/>
        <v>45869</v>
      </c>
      <c r="X5" s="81">
        <f t="shared" si="0"/>
        <v>45900</v>
      </c>
      <c r="Y5" s="81">
        <f t="shared" si="0"/>
        <v>45930</v>
      </c>
      <c r="Z5" s="81">
        <f t="shared" si="0"/>
        <v>45961</v>
      </c>
      <c r="AA5" s="81">
        <f t="shared" si="0"/>
        <v>45991</v>
      </c>
      <c r="AB5" s="81">
        <f t="shared" si="0"/>
        <v>46022</v>
      </c>
      <c r="AC5" s="83"/>
      <c r="AD5" s="82">
        <f>DATE(YEAR($E$5),ROUNDUP(MONTH($E$5)/3,0)*3+1,1)-1</f>
        <v>45382</v>
      </c>
      <c r="AE5" s="84">
        <f>EOMONTH(AD5,3)</f>
        <v>45473</v>
      </c>
      <c r="AF5" s="84">
        <f t="shared" ref="AF5:AG5" si="1">EOMONTH(AE5,3)</f>
        <v>45565</v>
      </c>
      <c r="AG5" s="84">
        <f t="shared" si="1"/>
        <v>45657</v>
      </c>
      <c r="AH5" s="84">
        <f t="shared" ref="AH5" si="2">EOMONTH(AG5,3)</f>
        <v>45747</v>
      </c>
      <c r="AI5" s="84">
        <f t="shared" ref="AI5" si="3">EOMONTH(AH5,3)</f>
        <v>45838</v>
      </c>
      <c r="AJ5" s="84">
        <f t="shared" ref="AJ5" si="4">EOMONTH(AI5,3)</f>
        <v>45930</v>
      </c>
      <c r="AK5" s="84">
        <f t="shared" ref="AK5" si="5">EOMONTH(AJ5,3)</f>
        <v>46022</v>
      </c>
      <c r="AL5" s="83"/>
      <c r="AM5" s="82">
        <f>DATE(YEAR($E$5),12,31)</f>
        <v>45657</v>
      </c>
      <c r="AN5" s="84">
        <f>EOMONTH(AM5,12)</f>
        <v>46022</v>
      </c>
    </row>
    <row r="6" spans="1:40" x14ac:dyDescent="0.2">
      <c r="A6" s="3" t="s">
        <v>543</v>
      </c>
      <c r="B6" s="77"/>
      <c r="C6" s="77"/>
      <c r="D6" s="7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40" x14ac:dyDescent="0.2">
      <c r="A7" s="37" t="s">
        <v>544</v>
      </c>
      <c r="B7" s="77"/>
      <c r="C7" s="77"/>
      <c r="D7" s="7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40" outlineLevel="1" x14ac:dyDescent="0.2">
      <c r="A8" s="38" t="s">
        <v>545</v>
      </c>
      <c r="B8" s="77"/>
      <c r="C8" s="77"/>
      <c r="D8" s="7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40" outlineLevel="1" x14ac:dyDescent="0.2">
      <c r="A9" s="90" t="s">
        <v>546</v>
      </c>
      <c r="B9" s="77" t="s">
        <v>547</v>
      </c>
      <c r="C9" s="77" t="s">
        <v>548</v>
      </c>
      <c r="D9" s="77"/>
      <c r="E9" s="85">
        <v>0</v>
      </c>
      <c r="F9" s="85">
        <v>0</v>
      </c>
      <c r="G9" s="85">
        <v>0</v>
      </c>
      <c r="H9" s="85">
        <v>0</v>
      </c>
      <c r="I9" s="85">
        <v>0</v>
      </c>
      <c r="J9" s="85">
        <v>0</v>
      </c>
      <c r="K9" s="85">
        <v>0</v>
      </c>
      <c r="L9" s="85">
        <v>0</v>
      </c>
      <c r="M9" s="85">
        <v>0</v>
      </c>
      <c r="N9" s="85">
        <v>0</v>
      </c>
      <c r="O9" s="85">
        <v>0</v>
      </c>
      <c r="P9" s="85">
        <v>0</v>
      </c>
      <c r="Q9" s="86">
        <v>0</v>
      </c>
      <c r="R9" s="86">
        <v>0</v>
      </c>
      <c r="S9" s="86">
        <v>0</v>
      </c>
      <c r="T9" s="86">
        <v>0</v>
      </c>
      <c r="U9" s="86">
        <v>0</v>
      </c>
      <c r="V9" s="86">
        <v>0</v>
      </c>
      <c r="W9" s="86">
        <v>0</v>
      </c>
      <c r="X9" s="86">
        <v>0</v>
      </c>
      <c r="Y9" s="86">
        <v>0</v>
      </c>
      <c r="Z9" s="86">
        <v>0</v>
      </c>
      <c r="AA9" s="86">
        <v>0</v>
      </c>
      <c r="AB9" s="86">
        <v>0</v>
      </c>
      <c r="AD9" s="93">
        <f t="shared" ref="AD9:AK21" si="6">INDEX($E9:$AB9,MATCH(AD$5,$E$5:$AB$5,0))</f>
        <v>0</v>
      </c>
      <c r="AE9" s="93">
        <f t="shared" si="6"/>
        <v>0</v>
      </c>
      <c r="AF9" s="93">
        <f t="shared" si="6"/>
        <v>0</v>
      </c>
      <c r="AG9" s="93">
        <f t="shared" si="6"/>
        <v>0</v>
      </c>
      <c r="AH9" s="93">
        <f t="shared" si="6"/>
        <v>0</v>
      </c>
      <c r="AI9" s="93">
        <f t="shared" si="6"/>
        <v>0</v>
      </c>
      <c r="AJ9" s="93">
        <f t="shared" si="6"/>
        <v>0</v>
      </c>
      <c r="AK9" s="93">
        <f t="shared" si="6"/>
        <v>0</v>
      </c>
      <c r="AM9" s="93">
        <f t="shared" ref="AM9:AN21" si="7">INDEX($E9:$AB9,MATCH(AM$5,$E$5:$AB$5,0))</f>
        <v>0</v>
      </c>
      <c r="AN9" s="93">
        <f t="shared" si="7"/>
        <v>0</v>
      </c>
    </row>
    <row r="10" spans="1:40" outlineLevel="1" x14ac:dyDescent="0.2">
      <c r="A10" s="90" t="s">
        <v>549</v>
      </c>
      <c r="B10" s="77" t="s">
        <v>550</v>
      </c>
      <c r="C10" s="77"/>
      <c r="D10" s="77"/>
      <c r="E10" s="85">
        <v>13767.71</v>
      </c>
      <c r="F10" s="85">
        <v>1870.32</v>
      </c>
      <c r="G10" s="85">
        <v>1840.37</v>
      </c>
      <c r="H10" s="85">
        <v>1810.42</v>
      </c>
      <c r="I10" s="85">
        <v>1780.47</v>
      </c>
      <c r="J10" s="85">
        <v>1750.52</v>
      </c>
      <c r="K10" s="85">
        <v>1720.57</v>
      </c>
      <c r="L10" s="85">
        <v>1090.6199999999999</v>
      </c>
      <c r="M10" s="85">
        <v>1060.67</v>
      </c>
      <c r="N10" s="85">
        <v>0</v>
      </c>
      <c r="O10" s="85">
        <v>0</v>
      </c>
      <c r="P10" s="85">
        <v>0</v>
      </c>
      <c r="Q10" s="86">
        <v>0</v>
      </c>
      <c r="R10" s="86">
        <v>0</v>
      </c>
      <c r="S10" s="86">
        <v>0</v>
      </c>
      <c r="T10" s="86">
        <v>0</v>
      </c>
      <c r="U10" s="86">
        <v>0</v>
      </c>
      <c r="V10" s="86">
        <v>0</v>
      </c>
      <c r="W10" s="86">
        <v>0</v>
      </c>
      <c r="X10" s="86">
        <v>0</v>
      </c>
      <c r="Y10" s="86">
        <v>0</v>
      </c>
      <c r="Z10" s="86">
        <v>0</v>
      </c>
      <c r="AA10" s="86">
        <v>0</v>
      </c>
      <c r="AB10" s="86">
        <v>0</v>
      </c>
      <c r="AD10" s="93">
        <f t="shared" si="6"/>
        <v>1840.37</v>
      </c>
      <c r="AE10" s="93">
        <f t="shared" si="6"/>
        <v>1750.52</v>
      </c>
      <c r="AF10" s="93">
        <f t="shared" si="6"/>
        <v>1060.67</v>
      </c>
      <c r="AG10" s="93">
        <f t="shared" si="6"/>
        <v>0</v>
      </c>
      <c r="AH10" s="93">
        <f t="shared" si="6"/>
        <v>0</v>
      </c>
      <c r="AI10" s="93">
        <f t="shared" si="6"/>
        <v>0</v>
      </c>
      <c r="AJ10" s="93">
        <f t="shared" si="6"/>
        <v>0</v>
      </c>
      <c r="AK10" s="93">
        <f t="shared" si="6"/>
        <v>0</v>
      </c>
      <c r="AM10" s="93">
        <f t="shared" si="7"/>
        <v>0</v>
      </c>
      <c r="AN10" s="93">
        <f t="shared" si="7"/>
        <v>0</v>
      </c>
    </row>
    <row r="11" spans="1:40" outlineLevel="1" x14ac:dyDescent="0.2">
      <c r="A11" s="90" t="s">
        <v>551</v>
      </c>
      <c r="B11" s="77" t="s">
        <v>552</v>
      </c>
      <c r="C11" s="77"/>
      <c r="D11" s="77"/>
      <c r="E11" s="85">
        <v>0</v>
      </c>
      <c r="F11" s="85">
        <v>0</v>
      </c>
      <c r="G11" s="85">
        <v>0</v>
      </c>
      <c r="H11" s="85">
        <v>0</v>
      </c>
      <c r="I11" s="85">
        <v>0</v>
      </c>
      <c r="J11" s="85">
        <v>0</v>
      </c>
      <c r="K11" s="85">
        <v>0</v>
      </c>
      <c r="L11" s="85">
        <v>0</v>
      </c>
      <c r="M11" s="85">
        <v>0</v>
      </c>
      <c r="N11" s="85">
        <v>0</v>
      </c>
      <c r="O11" s="85">
        <v>0</v>
      </c>
      <c r="P11" s="85">
        <v>0</v>
      </c>
      <c r="Q11" s="86">
        <v>0</v>
      </c>
      <c r="R11" s="86">
        <v>0</v>
      </c>
      <c r="S11" s="86">
        <v>0</v>
      </c>
      <c r="T11" s="86">
        <v>0</v>
      </c>
      <c r="U11" s="86">
        <v>0</v>
      </c>
      <c r="V11" s="86">
        <v>0</v>
      </c>
      <c r="W11" s="86">
        <v>0</v>
      </c>
      <c r="X11" s="86">
        <v>0</v>
      </c>
      <c r="Y11" s="86">
        <v>0</v>
      </c>
      <c r="Z11" s="86">
        <v>0</v>
      </c>
      <c r="AA11" s="86">
        <v>0</v>
      </c>
      <c r="AB11" s="86">
        <v>0</v>
      </c>
      <c r="AD11" s="93">
        <f t="shared" si="6"/>
        <v>0</v>
      </c>
      <c r="AE11" s="93">
        <f t="shared" si="6"/>
        <v>0</v>
      </c>
      <c r="AF11" s="93">
        <f t="shared" si="6"/>
        <v>0</v>
      </c>
      <c r="AG11" s="93">
        <f t="shared" si="6"/>
        <v>0</v>
      </c>
      <c r="AH11" s="93">
        <f t="shared" si="6"/>
        <v>0</v>
      </c>
      <c r="AI11" s="93">
        <f t="shared" si="6"/>
        <v>0</v>
      </c>
      <c r="AJ11" s="93">
        <f t="shared" si="6"/>
        <v>0</v>
      </c>
      <c r="AK11" s="93">
        <f t="shared" si="6"/>
        <v>0</v>
      </c>
      <c r="AM11" s="93">
        <f t="shared" si="7"/>
        <v>0</v>
      </c>
      <c r="AN11" s="93">
        <f t="shared" si="7"/>
        <v>0</v>
      </c>
    </row>
    <row r="12" spans="1:40" outlineLevel="1" x14ac:dyDescent="0.2">
      <c r="A12" s="90" t="s">
        <v>553</v>
      </c>
      <c r="B12" s="77" t="s">
        <v>554</v>
      </c>
      <c r="C12" s="77"/>
      <c r="D12" s="77"/>
      <c r="E12" s="85">
        <v>0</v>
      </c>
      <c r="F12" s="85">
        <v>0</v>
      </c>
      <c r="G12" s="85">
        <v>0</v>
      </c>
      <c r="H12" s="85">
        <v>0</v>
      </c>
      <c r="I12" s="85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>
        <v>0</v>
      </c>
      <c r="P12" s="85">
        <v>0</v>
      </c>
      <c r="Q12" s="86">
        <v>0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X12" s="86">
        <v>0</v>
      </c>
      <c r="Y12" s="86">
        <v>0</v>
      </c>
      <c r="Z12" s="86">
        <v>0</v>
      </c>
      <c r="AA12" s="86">
        <v>0</v>
      </c>
      <c r="AB12" s="86">
        <v>0</v>
      </c>
      <c r="AD12" s="93">
        <f t="shared" si="6"/>
        <v>0</v>
      </c>
      <c r="AE12" s="93">
        <f t="shared" si="6"/>
        <v>0</v>
      </c>
      <c r="AF12" s="93">
        <f t="shared" si="6"/>
        <v>0</v>
      </c>
      <c r="AG12" s="93">
        <f t="shared" si="6"/>
        <v>0</v>
      </c>
      <c r="AH12" s="93">
        <f t="shared" si="6"/>
        <v>0</v>
      </c>
      <c r="AI12" s="93">
        <f t="shared" si="6"/>
        <v>0</v>
      </c>
      <c r="AJ12" s="93">
        <f t="shared" si="6"/>
        <v>0</v>
      </c>
      <c r="AK12" s="93">
        <f t="shared" si="6"/>
        <v>0</v>
      </c>
      <c r="AM12" s="93">
        <f t="shared" si="7"/>
        <v>0</v>
      </c>
      <c r="AN12" s="93">
        <f t="shared" si="7"/>
        <v>0</v>
      </c>
    </row>
    <row r="13" spans="1:40" outlineLevel="1" x14ac:dyDescent="0.2">
      <c r="A13" s="90" t="s">
        <v>555</v>
      </c>
      <c r="B13" s="78" t="s">
        <v>556</v>
      </c>
      <c r="C13" s="78"/>
      <c r="D13" s="78"/>
      <c r="E13" s="85">
        <v>0.55000000000000004</v>
      </c>
      <c r="F13" s="85">
        <v>0</v>
      </c>
      <c r="G13" s="85">
        <v>0</v>
      </c>
      <c r="H13" s="85">
        <v>0</v>
      </c>
      <c r="I13" s="85">
        <v>0</v>
      </c>
      <c r="J13" s="85">
        <v>0</v>
      </c>
      <c r="K13" s="85">
        <v>0</v>
      </c>
      <c r="L13" s="85">
        <v>0</v>
      </c>
      <c r="M13" s="85">
        <v>0</v>
      </c>
      <c r="N13" s="85">
        <v>0</v>
      </c>
      <c r="O13" s="85">
        <v>0</v>
      </c>
      <c r="P13" s="85">
        <v>0</v>
      </c>
      <c r="Q13" s="86">
        <v>0</v>
      </c>
      <c r="R13" s="86">
        <v>0</v>
      </c>
      <c r="S13" s="86">
        <v>0</v>
      </c>
      <c r="T13" s="86">
        <v>0</v>
      </c>
      <c r="U13" s="86">
        <v>0</v>
      </c>
      <c r="V13" s="86">
        <v>0</v>
      </c>
      <c r="W13" s="86">
        <v>0</v>
      </c>
      <c r="X13" s="86">
        <v>0</v>
      </c>
      <c r="Y13" s="86">
        <v>0</v>
      </c>
      <c r="Z13" s="86">
        <v>0</v>
      </c>
      <c r="AA13" s="86">
        <v>0</v>
      </c>
      <c r="AB13" s="86">
        <v>0</v>
      </c>
      <c r="AD13" s="93">
        <f t="shared" si="6"/>
        <v>0</v>
      </c>
      <c r="AE13" s="93">
        <f t="shared" si="6"/>
        <v>0</v>
      </c>
      <c r="AF13" s="93">
        <f t="shared" si="6"/>
        <v>0</v>
      </c>
      <c r="AG13" s="93">
        <f t="shared" si="6"/>
        <v>0</v>
      </c>
      <c r="AH13" s="93">
        <f t="shared" si="6"/>
        <v>0</v>
      </c>
      <c r="AI13" s="93">
        <f t="shared" si="6"/>
        <v>0</v>
      </c>
      <c r="AJ13" s="93">
        <f t="shared" si="6"/>
        <v>0</v>
      </c>
      <c r="AK13" s="93">
        <f t="shared" si="6"/>
        <v>0</v>
      </c>
      <c r="AM13" s="93">
        <f t="shared" si="7"/>
        <v>0</v>
      </c>
      <c r="AN13" s="93">
        <f t="shared" si="7"/>
        <v>0</v>
      </c>
    </row>
    <row r="14" spans="1:40" outlineLevel="1" x14ac:dyDescent="0.2">
      <c r="A14" s="90" t="s">
        <v>557</v>
      </c>
      <c r="B14" s="77" t="s">
        <v>558</v>
      </c>
      <c r="C14" s="77"/>
      <c r="D14" s="77"/>
      <c r="E14" s="85">
        <v>158033.70000000001</v>
      </c>
      <c r="F14" s="85">
        <v>161624.41</v>
      </c>
      <c r="G14" s="85">
        <v>140554.07</v>
      </c>
      <c r="H14" s="85">
        <v>129435.59</v>
      </c>
      <c r="I14" s="85">
        <v>121409.86</v>
      </c>
      <c r="J14" s="85">
        <v>114685.84</v>
      </c>
      <c r="K14" s="85">
        <v>109939.81</v>
      </c>
      <c r="L14" s="85">
        <v>84462.68</v>
      </c>
      <c r="M14" s="85">
        <v>73358.87</v>
      </c>
      <c r="N14" s="85">
        <v>71013.53</v>
      </c>
      <c r="O14" s="85">
        <v>65398.239999999998</v>
      </c>
      <c r="P14" s="85">
        <v>53061.22</v>
      </c>
      <c r="Q14" s="86">
        <v>38035.660000000003</v>
      </c>
      <c r="R14" s="86">
        <v>32114.07</v>
      </c>
      <c r="S14" s="86">
        <v>23914.95</v>
      </c>
      <c r="T14" s="86">
        <v>20229.96</v>
      </c>
      <c r="U14" s="86">
        <v>4615.87</v>
      </c>
      <c r="V14" s="86">
        <v>1741.7</v>
      </c>
      <c r="W14" s="86">
        <v>1764.71</v>
      </c>
      <c r="X14" s="86">
        <v>1238.6500000000001</v>
      </c>
      <c r="Y14" s="86">
        <v>943.59</v>
      </c>
      <c r="Z14" s="86">
        <v>760.79</v>
      </c>
      <c r="AA14" s="86">
        <v>2462.85</v>
      </c>
      <c r="AB14" s="86">
        <v>1147.0999999999999</v>
      </c>
      <c r="AD14" s="93">
        <f t="shared" si="6"/>
        <v>140554.07</v>
      </c>
      <c r="AE14" s="93">
        <f t="shared" si="6"/>
        <v>114685.84</v>
      </c>
      <c r="AF14" s="93">
        <f t="shared" si="6"/>
        <v>73358.87</v>
      </c>
      <c r="AG14" s="93">
        <f t="shared" si="6"/>
        <v>53061.22</v>
      </c>
      <c r="AH14" s="93">
        <f t="shared" si="6"/>
        <v>23914.95</v>
      </c>
      <c r="AI14" s="93">
        <f t="shared" si="6"/>
        <v>1741.7</v>
      </c>
      <c r="AJ14" s="93">
        <f t="shared" si="6"/>
        <v>943.59</v>
      </c>
      <c r="AK14" s="93">
        <f t="shared" si="6"/>
        <v>1147.0999999999999</v>
      </c>
      <c r="AM14" s="93">
        <f t="shared" si="7"/>
        <v>53061.22</v>
      </c>
      <c r="AN14" s="93">
        <f t="shared" si="7"/>
        <v>1147.0999999999999</v>
      </c>
    </row>
    <row r="15" spans="1:40" outlineLevel="1" x14ac:dyDescent="0.2">
      <c r="A15" s="90" t="s">
        <v>559</v>
      </c>
      <c r="B15" s="77" t="s">
        <v>560</v>
      </c>
      <c r="C15" s="77"/>
      <c r="D15" s="77"/>
      <c r="E15" s="85">
        <v>554408.14</v>
      </c>
      <c r="F15" s="85">
        <v>254311.18</v>
      </c>
      <c r="G15" s="85">
        <v>377431.83</v>
      </c>
      <c r="H15" s="85">
        <v>2825117.51</v>
      </c>
      <c r="I15" s="85">
        <v>1364824.85</v>
      </c>
      <c r="J15" s="85">
        <v>177281.36</v>
      </c>
      <c r="K15" s="85">
        <v>257440.69</v>
      </c>
      <c r="L15" s="85">
        <v>243264.25</v>
      </c>
      <c r="M15" s="85">
        <v>912352.34</v>
      </c>
      <c r="N15" s="85">
        <v>408481.87</v>
      </c>
      <c r="O15" s="85">
        <v>647471.17000000004</v>
      </c>
      <c r="P15" s="85">
        <v>704491.07</v>
      </c>
      <c r="Q15" s="86">
        <v>608713.32999999996</v>
      </c>
      <c r="R15" s="86">
        <v>8094594.8899999997</v>
      </c>
      <c r="S15" s="86">
        <v>185754.25</v>
      </c>
      <c r="T15" s="86">
        <v>190504.65</v>
      </c>
      <c r="U15" s="86">
        <v>197523.37</v>
      </c>
      <c r="V15" s="86">
        <v>185956.12</v>
      </c>
      <c r="W15" s="86">
        <v>174723.81</v>
      </c>
      <c r="X15" s="86">
        <v>165497.94</v>
      </c>
      <c r="Y15" s="86">
        <v>163450.82</v>
      </c>
      <c r="Z15" s="86">
        <v>161689.32999999999</v>
      </c>
      <c r="AA15" s="86">
        <v>158712.09</v>
      </c>
      <c r="AB15" s="86">
        <v>158406.22</v>
      </c>
      <c r="AD15" s="93">
        <f t="shared" si="6"/>
        <v>377431.83</v>
      </c>
      <c r="AE15" s="93">
        <f t="shared" si="6"/>
        <v>177281.36</v>
      </c>
      <c r="AF15" s="93">
        <f t="shared" si="6"/>
        <v>912352.34</v>
      </c>
      <c r="AG15" s="93">
        <f t="shared" si="6"/>
        <v>704491.07</v>
      </c>
      <c r="AH15" s="93">
        <f t="shared" si="6"/>
        <v>185754.25</v>
      </c>
      <c r="AI15" s="93">
        <f t="shared" si="6"/>
        <v>185956.12</v>
      </c>
      <c r="AJ15" s="93">
        <f t="shared" si="6"/>
        <v>163450.82</v>
      </c>
      <c r="AK15" s="93">
        <f t="shared" si="6"/>
        <v>158406.22</v>
      </c>
      <c r="AM15" s="93">
        <f t="shared" si="7"/>
        <v>704491.07</v>
      </c>
      <c r="AN15" s="93">
        <f t="shared" si="7"/>
        <v>158406.22</v>
      </c>
    </row>
    <row r="16" spans="1:40" outlineLevel="1" x14ac:dyDescent="0.2">
      <c r="A16" s="90" t="s">
        <v>561</v>
      </c>
      <c r="B16" s="77" t="s">
        <v>562</v>
      </c>
      <c r="C16" s="77"/>
      <c r="D16" s="77"/>
      <c r="E16" s="85">
        <v>11430444.15</v>
      </c>
      <c r="F16" s="85">
        <v>10871339.08</v>
      </c>
      <c r="G16" s="85">
        <v>15925590.51</v>
      </c>
      <c r="H16" s="85">
        <v>15384257.68</v>
      </c>
      <c r="I16" s="85">
        <v>17653424.73</v>
      </c>
      <c r="J16" s="85">
        <v>18023657.82</v>
      </c>
      <c r="K16" s="85">
        <v>16892916.530000001</v>
      </c>
      <c r="L16" s="85">
        <v>15606483.060000001</v>
      </c>
      <c r="M16" s="85">
        <v>13763374.949999999</v>
      </c>
      <c r="N16" s="85">
        <v>11814215.51</v>
      </c>
      <c r="O16" s="85">
        <v>9551916.4800000004</v>
      </c>
      <c r="P16" s="85">
        <v>8083839.7599999998</v>
      </c>
      <c r="Q16" s="86">
        <v>7311468.4100000001</v>
      </c>
      <c r="R16" s="86">
        <v>6333209.9800000004</v>
      </c>
      <c r="S16" s="86">
        <v>13689.25</v>
      </c>
      <c r="T16" s="86">
        <v>0</v>
      </c>
      <c r="U16" s="86">
        <v>0</v>
      </c>
      <c r="V16" s="86">
        <v>0</v>
      </c>
      <c r="W16" s="86">
        <v>0</v>
      </c>
      <c r="X16" s="86">
        <v>0</v>
      </c>
      <c r="Y16" s="86">
        <v>0</v>
      </c>
      <c r="Z16" s="86">
        <v>0</v>
      </c>
      <c r="AA16" s="86">
        <v>0</v>
      </c>
      <c r="AB16" s="86">
        <v>0</v>
      </c>
      <c r="AD16" s="93">
        <f t="shared" si="6"/>
        <v>15925590.51</v>
      </c>
      <c r="AE16" s="93">
        <f t="shared" si="6"/>
        <v>18023657.82</v>
      </c>
      <c r="AF16" s="93">
        <f t="shared" si="6"/>
        <v>13763374.949999999</v>
      </c>
      <c r="AG16" s="93">
        <f t="shared" si="6"/>
        <v>8083839.7599999998</v>
      </c>
      <c r="AH16" s="93">
        <f t="shared" si="6"/>
        <v>13689.25</v>
      </c>
      <c r="AI16" s="93">
        <f t="shared" si="6"/>
        <v>0</v>
      </c>
      <c r="AJ16" s="93">
        <f t="shared" si="6"/>
        <v>0</v>
      </c>
      <c r="AK16" s="93">
        <f t="shared" si="6"/>
        <v>0</v>
      </c>
      <c r="AM16" s="93">
        <f t="shared" si="7"/>
        <v>8083839.7599999998</v>
      </c>
      <c r="AN16" s="93">
        <f t="shared" si="7"/>
        <v>0</v>
      </c>
    </row>
    <row r="17" spans="1:40" outlineLevel="1" x14ac:dyDescent="0.2">
      <c r="A17" s="90" t="s">
        <v>563</v>
      </c>
      <c r="B17" s="77" t="s">
        <v>564</v>
      </c>
      <c r="C17" s="77"/>
      <c r="D17" s="77"/>
      <c r="E17" s="86">
        <v>0</v>
      </c>
      <c r="F17" s="86">
        <v>0</v>
      </c>
      <c r="G17" s="86">
        <v>0</v>
      </c>
      <c r="H17" s="86">
        <v>0</v>
      </c>
      <c r="I17" s="86">
        <v>0</v>
      </c>
      <c r="J17" s="86">
        <v>0</v>
      </c>
      <c r="K17" s="86">
        <v>0</v>
      </c>
      <c r="L17" s="86">
        <v>0</v>
      </c>
      <c r="M17" s="86">
        <v>0</v>
      </c>
      <c r="N17" s="86">
        <v>0</v>
      </c>
      <c r="O17" s="86">
        <v>0</v>
      </c>
      <c r="P17" s="86">
        <v>0</v>
      </c>
      <c r="Q17" s="86">
        <v>0</v>
      </c>
      <c r="R17" s="86">
        <v>0</v>
      </c>
      <c r="S17" s="86">
        <v>12857460.640000001</v>
      </c>
      <c r="T17" s="86">
        <v>0</v>
      </c>
      <c r="U17" s="86">
        <v>0</v>
      </c>
      <c r="V17" s="86">
        <v>0</v>
      </c>
      <c r="W17" s="86">
        <v>0</v>
      </c>
      <c r="X17" s="86">
        <v>0</v>
      </c>
      <c r="Y17" s="86">
        <v>0</v>
      </c>
      <c r="Z17" s="86">
        <v>0</v>
      </c>
      <c r="AA17" s="86">
        <v>0</v>
      </c>
      <c r="AB17" s="86">
        <v>0</v>
      </c>
      <c r="AD17" s="93">
        <f t="shared" si="6"/>
        <v>0</v>
      </c>
      <c r="AE17" s="93">
        <f t="shared" si="6"/>
        <v>0</v>
      </c>
      <c r="AF17" s="93">
        <f t="shared" si="6"/>
        <v>0</v>
      </c>
      <c r="AG17" s="93">
        <f t="shared" si="6"/>
        <v>0</v>
      </c>
      <c r="AH17" s="93">
        <f t="shared" si="6"/>
        <v>12857460.640000001</v>
      </c>
      <c r="AI17" s="93">
        <f t="shared" si="6"/>
        <v>0</v>
      </c>
      <c r="AJ17" s="93">
        <f t="shared" si="6"/>
        <v>0</v>
      </c>
      <c r="AK17" s="93">
        <f t="shared" si="6"/>
        <v>0</v>
      </c>
      <c r="AM17" s="93">
        <f t="shared" si="7"/>
        <v>0</v>
      </c>
      <c r="AN17" s="93">
        <f t="shared" si="7"/>
        <v>0</v>
      </c>
    </row>
    <row r="18" spans="1:40" outlineLevel="1" x14ac:dyDescent="0.2">
      <c r="A18" s="90" t="s">
        <v>565</v>
      </c>
      <c r="B18" s="77" t="s">
        <v>566</v>
      </c>
      <c r="C18" s="77"/>
      <c r="D18" s="77"/>
      <c r="E18" s="85">
        <v>0</v>
      </c>
      <c r="F18" s="85">
        <v>0</v>
      </c>
      <c r="G18" s="85">
        <v>0</v>
      </c>
      <c r="H18" s="85">
        <v>0</v>
      </c>
      <c r="I18" s="85">
        <v>0</v>
      </c>
      <c r="J18" s="85">
        <v>0</v>
      </c>
      <c r="K18" s="85">
        <v>0</v>
      </c>
      <c r="L18" s="85">
        <v>0</v>
      </c>
      <c r="M18" s="85">
        <v>0</v>
      </c>
      <c r="N18" s="85">
        <v>0</v>
      </c>
      <c r="O18" s="85">
        <v>0</v>
      </c>
      <c r="P18" s="85">
        <v>0</v>
      </c>
      <c r="Q18" s="86">
        <v>0</v>
      </c>
      <c r="R18" s="86">
        <v>0</v>
      </c>
      <c r="S18" s="86">
        <v>0</v>
      </c>
      <c r="T18" s="86">
        <v>0</v>
      </c>
      <c r="U18" s="86">
        <v>0</v>
      </c>
      <c r="V18" s="86">
        <v>0</v>
      </c>
      <c r="W18" s="86">
        <v>0</v>
      </c>
      <c r="X18" s="86">
        <v>0</v>
      </c>
      <c r="Y18" s="86">
        <v>0</v>
      </c>
      <c r="Z18" s="86">
        <v>0</v>
      </c>
      <c r="AA18" s="86">
        <v>0</v>
      </c>
      <c r="AB18" s="86">
        <v>0</v>
      </c>
      <c r="AD18" s="93">
        <f t="shared" si="6"/>
        <v>0</v>
      </c>
      <c r="AE18" s="93">
        <f t="shared" si="6"/>
        <v>0</v>
      </c>
      <c r="AF18" s="93">
        <f t="shared" si="6"/>
        <v>0</v>
      </c>
      <c r="AG18" s="93">
        <f t="shared" si="6"/>
        <v>0</v>
      </c>
      <c r="AH18" s="93">
        <f t="shared" si="6"/>
        <v>0</v>
      </c>
      <c r="AI18" s="93">
        <f t="shared" si="6"/>
        <v>0</v>
      </c>
      <c r="AJ18" s="93">
        <f t="shared" si="6"/>
        <v>0</v>
      </c>
      <c r="AK18" s="93">
        <f t="shared" si="6"/>
        <v>0</v>
      </c>
      <c r="AM18" s="93">
        <f t="shared" si="7"/>
        <v>0</v>
      </c>
      <c r="AN18" s="93">
        <f t="shared" si="7"/>
        <v>0</v>
      </c>
    </row>
    <row r="19" spans="1:40" outlineLevel="1" x14ac:dyDescent="0.2">
      <c r="A19" s="90" t="s">
        <v>567</v>
      </c>
      <c r="B19" s="77" t="s">
        <v>568</v>
      </c>
      <c r="C19" s="77"/>
      <c r="D19" s="77"/>
      <c r="E19" s="85">
        <v>12781.72</v>
      </c>
      <c r="F19" s="85">
        <v>0</v>
      </c>
      <c r="G19" s="85">
        <v>0</v>
      </c>
      <c r="H19" s="85">
        <v>0</v>
      </c>
      <c r="I19" s="85">
        <v>0</v>
      </c>
      <c r="J19" s="85">
        <v>0</v>
      </c>
      <c r="K19" s="85"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6">
        <v>0</v>
      </c>
      <c r="R19" s="86">
        <v>0</v>
      </c>
      <c r="S19" s="86">
        <v>0</v>
      </c>
      <c r="T19" s="86">
        <v>12614405.58</v>
      </c>
      <c r="U19" s="86">
        <v>2158629.5</v>
      </c>
      <c r="V19" s="86">
        <v>907627.45</v>
      </c>
      <c r="W19" s="86">
        <v>349873.06</v>
      </c>
      <c r="X19" s="86">
        <v>240763.41</v>
      </c>
      <c r="Y19" s="86">
        <v>589768.55000000005</v>
      </c>
      <c r="Z19" s="86">
        <v>719572.52</v>
      </c>
      <c r="AA19" s="86">
        <v>494465.54</v>
      </c>
      <c r="AB19" s="86">
        <v>608144.79</v>
      </c>
      <c r="AD19" s="93">
        <f t="shared" si="6"/>
        <v>0</v>
      </c>
      <c r="AE19" s="93">
        <f t="shared" si="6"/>
        <v>0</v>
      </c>
      <c r="AF19" s="93">
        <f t="shared" si="6"/>
        <v>0</v>
      </c>
      <c r="AG19" s="93">
        <f t="shared" si="6"/>
        <v>0</v>
      </c>
      <c r="AH19" s="93">
        <f t="shared" si="6"/>
        <v>0</v>
      </c>
      <c r="AI19" s="93">
        <f t="shared" si="6"/>
        <v>907627.45</v>
      </c>
      <c r="AJ19" s="93">
        <f t="shared" si="6"/>
        <v>589768.55000000005</v>
      </c>
      <c r="AK19" s="93">
        <f t="shared" si="6"/>
        <v>608144.79</v>
      </c>
      <c r="AM19" s="93">
        <f t="shared" si="7"/>
        <v>0</v>
      </c>
      <c r="AN19" s="93">
        <f t="shared" si="7"/>
        <v>608144.79</v>
      </c>
    </row>
    <row r="20" spans="1:40" outlineLevel="1" x14ac:dyDescent="0.2">
      <c r="A20" s="90" t="s">
        <v>569</v>
      </c>
      <c r="B20" s="77"/>
      <c r="C20" s="77"/>
      <c r="D20" s="77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6"/>
      <c r="R20" s="86"/>
      <c r="S20" s="86"/>
      <c r="T20" s="86">
        <v>0</v>
      </c>
      <c r="U20" s="86">
        <v>11019538.779999999</v>
      </c>
      <c r="V20" s="86">
        <v>11056220.26</v>
      </c>
      <c r="W20" s="86">
        <v>10594195.15</v>
      </c>
      <c r="X20" s="86">
        <v>9127418.4600000009</v>
      </c>
      <c r="Y20" s="86">
        <v>7454461.0499999998</v>
      </c>
      <c r="Z20" s="86">
        <v>5976412.2599999998</v>
      </c>
      <c r="AA20" s="86">
        <v>5493266.71</v>
      </c>
      <c r="AB20" s="86">
        <v>4006807.69</v>
      </c>
      <c r="AD20" s="93">
        <f t="shared" si="6"/>
        <v>0</v>
      </c>
      <c r="AE20" s="93">
        <f t="shared" si="6"/>
        <v>0</v>
      </c>
      <c r="AF20" s="93">
        <f t="shared" si="6"/>
        <v>0</v>
      </c>
      <c r="AG20" s="93">
        <f t="shared" si="6"/>
        <v>0</v>
      </c>
      <c r="AH20" s="93">
        <f t="shared" si="6"/>
        <v>0</v>
      </c>
      <c r="AI20" s="93">
        <f t="shared" si="6"/>
        <v>11056220.26</v>
      </c>
      <c r="AJ20" s="93">
        <f t="shared" si="6"/>
        <v>7454461.0499999998</v>
      </c>
      <c r="AK20" s="93">
        <f t="shared" si="6"/>
        <v>4006807.69</v>
      </c>
      <c r="AM20" s="93">
        <f t="shared" si="7"/>
        <v>0</v>
      </c>
      <c r="AN20" s="93">
        <f t="shared" si="7"/>
        <v>4006807.69</v>
      </c>
    </row>
    <row r="21" spans="1:40" x14ac:dyDescent="0.2">
      <c r="A21" s="89" t="s">
        <v>570</v>
      </c>
      <c r="B21" s="77"/>
      <c r="C21" s="77" t="s">
        <v>571</v>
      </c>
      <c r="D21" s="77"/>
      <c r="E21" s="9">
        <f>SUM(E9:E19)</f>
        <v>12169435.970000001</v>
      </c>
      <c r="F21" s="9">
        <f t="shared" ref="F21:R21" si="8">SUM(F9:F19)</f>
        <v>11289144.99</v>
      </c>
      <c r="G21" s="9">
        <f t="shared" si="8"/>
        <v>16445416.779999999</v>
      </c>
      <c r="H21" s="9">
        <f t="shared" si="8"/>
        <v>18340621.199999999</v>
      </c>
      <c r="I21" s="9">
        <f t="shared" si="8"/>
        <v>19141439.91</v>
      </c>
      <c r="J21" s="9">
        <f t="shared" si="8"/>
        <v>18317375.539999999</v>
      </c>
      <c r="K21" s="9">
        <f t="shared" si="8"/>
        <v>17262017.600000001</v>
      </c>
      <c r="L21" s="9">
        <f t="shared" si="8"/>
        <v>15935300.610000001</v>
      </c>
      <c r="M21" s="9">
        <f t="shared" si="8"/>
        <v>14750146.83</v>
      </c>
      <c r="N21" s="9">
        <f t="shared" si="8"/>
        <v>12293710.91</v>
      </c>
      <c r="O21" s="9">
        <f t="shared" si="8"/>
        <v>10264785.890000001</v>
      </c>
      <c r="P21" s="9">
        <f t="shared" si="8"/>
        <v>8841392.0499999989</v>
      </c>
      <c r="Q21" s="9">
        <f t="shared" si="8"/>
        <v>7958217.4000000004</v>
      </c>
      <c r="R21" s="9">
        <f t="shared" si="8"/>
        <v>14459918.940000001</v>
      </c>
      <c r="S21" s="9">
        <f t="shared" ref="S21" si="9">SUM(S9:S19)</f>
        <v>13080819.09</v>
      </c>
      <c r="T21" s="9">
        <v>12825140.189999999</v>
      </c>
      <c r="U21" s="9">
        <v>13380307.52</v>
      </c>
      <c r="V21" s="9">
        <v>12151545.529999999</v>
      </c>
      <c r="W21" s="9">
        <v>11120556.73</v>
      </c>
      <c r="X21" s="9">
        <v>9534918.4600000009</v>
      </c>
      <c r="Y21" s="9">
        <v>8208624.0099999998</v>
      </c>
      <c r="Z21" s="9">
        <v>6858434.8999999994</v>
      </c>
      <c r="AA21" s="9">
        <v>6148907.1899999995</v>
      </c>
      <c r="AB21" s="9">
        <v>4774505.8</v>
      </c>
      <c r="AD21" s="94">
        <f t="shared" si="6"/>
        <v>16445416.779999999</v>
      </c>
      <c r="AE21" s="94">
        <f t="shared" si="6"/>
        <v>18317375.539999999</v>
      </c>
      <c r="AF21" s="94">
        <f t="shared" si="6"/>
        <v>14750146.83</v>
      </c>
      <c r="AG21" s="94">
        <f t="shared" si="6"/>
        <v>8841392.0499999989</v>
      </c>
      <c r="AH21" s="94">
        <f t="shared" si="6"/>
        <v>13080819.09</v>
      </c>
      <c r="AI21" s="94">
        <f t="shared" si="6"/>
        <v>12151545.529999999</v>
      </c>
      <c r="AJ21" s="94">
        <f t="shared" si="6"/>
        <v>8208624.0099999998</v>
      </c>
      <c r="AK21" s="94">
        <f t="shared" si="6"/>
        <v>4774505.8</v>
      </c>
      <c r="AM21" s="94">
        <f t="shared" si="7"/>
        <v>8841392.0499999989</v>
      </c>
      <c r="AN21" s="94">
        <f t="shared" si="7"/>
        <v>4774505.8</v>
      </c>
    </row>
    <row r="22" spans="1:40" x14ac:dyDescent="0.2">
      <c r="A22" s="89"/>
      <c r="B22" s="77"/>
      <c r="C22" s="77"/>
      <c r="D22" s="77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234"/>
      <c r="AA22" s="234"/>
      <c r="AB22" s="234"/>
      <c r="AD22" s="235"/>
      <c r="AE22" s="235"/>
      <c r="AF22" s="235"/>
      <c r="AG22" s="235"/>
      <c r="AH22" s="235"/>
      <c r="AI22" s="235"/>
      <c r="AJ22" s="235"/>
      <c r="AK22" s="235"/>
      <c r="AM22" s="235"/>
      <c r="AN22" s="235"/>
    </row>
    <row r="23" spans="1:40" x14ac:dyDescent="0.2">
      <c r="A23" s="89" t="s">
        <v>572</v>
      </c>
      <c r="B23" s="77"/>
      <c r="C23" s="77"/>
      <c r="D23" s="77"/>
      <c r="E23" s="86">
        <v>0</v>
      </c>
      <c r="F23" s="86">
        <v>0</v>
      </c>
      <c r="G23" s="86">
        <v>0</v>
      </c>
      <c r="H23" s="86">
        <v>0</v>
      </c>
      <c r="I23" s="86">
        <v>0</v>
      </c>
      <c r="J23" s="86">
        <v>0</v>
      </c>
      <c r="K23" s="86">
        <v>0</v>
      </c>
      <c r="L23" s="86">
        <v>0</v>
      </c>
      <c r="M23" s="86">
        <v>0</v>
      </c>
      <c r="N23" s="86">
        <v>0</v>
      </c>
      <c r="O23" s="86">
        <v>0</v>
      </c>
      <c r="P23" s="86">
        <v>0</v>
      </c>
      <c r="Q23" s="86">
        <v>0</v>
      </c>
      <c r="R23" s="86">
        <v>0</v>
      </c>
      <c r="S23" s="86">
        <v>0</v>
      </c>
      <c r="T23" s="234">
        <v>0</v>
      </c>
      <c r="U23" s="234">
        <v>0</v>
      </c>
      <c r="V23" s="234">
        <v>0</v>
      </c>
      <c r="W23" s="234">
        <v>0</v>
      </c>
      <c r="X23" s="234">
        <v>0</v>
      </c>
      <c r="Y23" s="234">
        <v>0</v>
      </c>
      <c r="Z23" s="234">
        <v>0</v>
      </c>
      <c r="AA23" s="234">
        <v>0</v>
      </c>
      <c r="AB23" s="234">
        <v>0</v>
      </c>
      <c r="AD23" s="235"/>
      <c r="AE23" s="235"/>
      <c r="AF23" s="235"/>
      <c r="AG23" s="235"/>
      <c r="AH23" s="235"/>
      <c r="AI23" s="235"/>
      <c r="AJ23" s="235"/>
      <c r="AK23" s="235"/>
      <c r="AM23" s="235"/>
      <c r="AN23" s="235"/>
    </row>
    <row r="24" spans="1:40" x14ac:dyDescent="0.2">
      <c r="A24" s="90" t="s">
        <v>573</v>
      </c>
      <c r="B24" s="77">
        <v>1200</v>
      </c>
      <c r="C24" s="77"/>
      <c r="D24" s="77"/>
      <c r="E24" s="86">
        <v>0</v>
      </c>
      <c r="F24" s="86">
        <v>0</v>
      </c>
      <c r="G24" s="86">
        <v>0</v>
      </c>
      <c r="H24" s="86">
        <v>0</v>
      </c>
      <c r="I24" s="86">
        <v>0</v>
      </c>
      <c r="J24" s="86">
        <v>0</v>
      </c>
      <c r="K24" s="86">
        <v>0</v>
      </c>
      <c r="L24" s="86">
        <v>0</v>
      </c>
      <c r="M24" s="86">
        <v>0</v>
      </c>
      <c r="N24" s="86">
        <v>0</v>
      </c>
      <c r="O24" s="86">
        <v>0</v>
      </c>
      <c r="P24" s="86">
        <v>0</v>
      </c>
      <c r="Q24" s="86">
        <v>0</v>
      </c>
      <c r="R24" s="86">
        <v>0</v>
      </c>
      <c r="S24" s="86">
        <v>0</v>
      </c>
      <c r="T24" s="86">
        <v>0</v>
      </c>
      <c r="U24" s="86">
        <v>0</v>
      </c>
      <c r="V24" s="86">
        <v>0</v>
      </c>
      <c r="W24" s="86">
        <v>0</v>
      </c>
      <c r="X24" s="86">
        <v>0</v>
      </c>
      <c r="Y24" s="86">
        <v>0</v>
      </c>
      <c r="Z24" s="86">
        <v>216400</v>
      </c>
      <c r="AA24" s="86">
        <v>0</v>
      </c>
      <c r="AB24" s="86">
        <v>694300</v>
      </c>
      <c r="AD24" s="93">
        <f t="shared" ref="AD24:AK25" si="10">INDEX($E24:$AB24,MATCH(AD$5,$E$5:$AB$5,0))</f>
        <v>0</v>
      </c>
      <c r="AE24" s="93">
        <f t="shared" si="10"/>
        <v>0</v>
      </c>
      <c r="AF24" s="93">
        <f t="shared" si="10"/>
        <v>0</v>
      </c>
      <c r="AG24" s="93">
        <f t="shared" si="10"/>
        <v>0</v>
      </c>
      <c r="AH24" s="93">
        <f t="shared" si="10"/>
        <v>0</v>
      </c>
      <c r="AI24" s="93">
        <f t="shared" si="10"/>
        <v>0</v>
      </c>
      <c r="AJ24" s="93">
        <f t="shared" si="10"/>
        <v>0</v>
      </c>
      <c r="AK24" s="93">
        <f t="shared" si="10"/>
        <v>694300</v>
      </c>
      <c r="AM24" s="93">
        <f>INDEX($E24:$AB24,MATCH(AM$5,$E$5:$AB$5,0))</f>
        <v>0</v>
      </c>
      <c r="AN24" s="93">
        <f>INDEX($E24:$AB24,MATCH(AN$5,$E$5:$AB$5,0))</f>
        <v>694300</v>
      </c>
    </row>
    <row r="25" spans="1:40" x14ac:dyDescent="0.2">
      <c r="A25" s="89" t="s">
        <v>574</v>
      </c>
      <c r="B25" s="77"/>
      <c r="C25" s="77"/>
      <c r="D25" s="77"/>
      <c r="E25" s="86">
        <v>0</v>
      </c>
      <c r="F25" s="86">
        <v>0</v>
      </c>
      <c r="G25" s="86">
        <v>0</v>
      </c>
      <c r="H25" s="86">
        <v>0</v>
      </c>
      <c r="I25" s="86">
        <v>0</v>
      </c>
      <c r="J25" s="86">
        <v>0</v>
      </c>
      <c r="K25" s="86">
        <v>0</v>
      </c>
      <c r="L25" s="86">
        <v>0</v>
      </c>
      <c r="M25" s="86">
        <v>0</v>
      </c>
      <c r="N25" s="86">
        <v>0</v>
      </c>
      <c r="O25" s="86">
        <v>0</v>
      </c>
      <c r="P25" s="86">
        <v>0</v>
      </c>
      <c r="Q25" s="86">
        <v>0</v>
      </c>
      <c r="R25" s="86">
        <v>0</v>
      </c>
      <c r="S25" s="86">
        <v>0</v>
      </c>
      <c r="T25" s="86">
        <v>0</v>
      </c>
      <c r="U25" s="86">
        <v>0</v>
      </c>
      <c r="V25" s="86">
        <v>0</v>
      </c>
      <c r="W25" s="86">
        <v>0</v>
      </c>
      <c r="X25" s="86">
        <v>0</v>
      </c>
      <c r="Y25" s="86">
        <v>0</v>
      </c>
      <c r="Z25" s="86">
        <v>216400</v>
      </c>
      <c r="AA25" s="86">
        <v>0</v>
      </c>
      <c r="AB25" s="86">
        <v>694300</v>
      </c>
      <c r="AD25" s="93">
        <f t="shared" si="10"/>
        <v>0</v>
      </c>
      <c r="AE25" s="93">
        <f t="shared" si="10"/>
        <v>0</v>
      </c>
      <c r="AF25" s="93">
        <f t="shared" si="10"/>
        <v>0</v>
      </c>
      <c r="AG25" s="93">
        <f t="shared" si="10"/>
        <v>0</v>
      </c>
      <c r="AH25" s="93">
        <f t="shared" si="10"/>
        <v>0</v>
      </c>
      <c r="AI25" s="93">
        <f t="shared" si="10"/>
        <v>0</v>
      </c>
      <c r="AJ25" s="93">
        <f t="shared" si="10"/>
        <v>0</v>
      </c>
      <c r="AK25" s="93">
        <f t="shared" si="10"/>
        <v>694300</v>
      </c>
      <c r="AM25" s="93">
        <f>INDEX($E25:$AB25,MATCH(AM$5,$E$5:$AB$5,0))</f>
        <v>0</v>
      </c>
      <c r="AN25" s="93">
        <f>INDEX($E25:$AB25,MATCH(AN$5,$E$5:$AB$5,0))</f>
        <v>694300</v>
      </c>
    </row>
    <row r="26" spans="1:40" x14ac:dyDescent="0.2">
      <c r="A26" s="89"/>
      <c r="B26" s="77"/>
      <c r="C26" s="77"/>
      <c r="D26" s="77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34"/>
      <c r="AD26" s="235"/>
      <c r="AE26" s="235"/>
      <c r="AF26" s="235"/>
      <c r="AG26" s="235"/>
      <c r="AH26" s="235"/>
      <c r="AI26" s="235"/>
      <c r="AJ26" s="235"/>
      <c r="AK26" s="235"/>
      <c r="AM26" s="235"/>
      <c r="AN26" s="235"/>
    </row>
    <row r="27" spans="1:40" outlineLevel="1" x14ac:dyDescent="0.2">
      <c r="A27" s="89" t="s">
        <v>575</v>
      </c>
      <c r="B27" s="77"/>
      <c r="C27" s="77"/>
      <c r="D27" s="77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D27" s="52">
        <f t="shared" ref="AD27:AK36" si="11">INDEX($E27:$AB27,MATCH(AD$5,$E$5:$AB$5,0))</f>
        <v>0</v>
      </c>
      <c r="AE27" s="52">
        <f t="shared" si="11"/>
        <v>0</v>
      </c>
      <c r="AF27" s="52">
        <f t="shared" si="11"/>
        <v>0</v>
      </c>
      <c r="AG27" s="52">
        <f t="shared" si="11"/>
        <v>0</v>
      </c>
      <c r="AH27" s="52">
        <f t="shared" si="11"/>
        <v>0</v>
      </c>
      <c r="AI27" s="52">
        <f t="shared" si="11"/>
        <v>0</v>
      </c>
      <c r="AJ27" s="52">
        <f t="shared" si="11"/>
        <v>0</v>
      </c>
      <c r="AK27" s="52">
        <f t="shared" si="11"/>
        <v>0</v>
      </c>
      <c r="AM27" s="52">
        <f t="shared" ref="AM27:AN46" si="12">INDEX($E27:$AB27,MATCH(AM$5,$E$5:$AB$5,0))</f>
        <v>0</v>
      </c>
      <c r="AN27" s="52">
        <f t="shared" si="12"/>
        <v>0</v>
      </c>
    </row>
    <row r="28" spans="1:40" outlineLevel="1" x14ac:dyDescent="0.2">
      <c r="A28" s="90" t="s">
        <v>576</v>
      </c>
      <c r="B28" s="77">
        <v>1400</v>
      </c>
      <c r="C28" s="77"/>
      <c r="D28" s="77"/>
      <c r="E28" s="85">
        <v>0</v>
      </c>
      <c r="F28" s="85">
        <v>0</v>
      </c>
      <c r="G28" s="85">
        <v>0</v>
      </c>
      <c r="H28" s="85">
        <v>0</v>
      </c>
      <c r="I28" s="85">
        <v>0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7">
        <v>0</v>
      </c>
      <c r="R28" s="86">
        <v>0</v>
      </c>
      <c r="S28" s="86">
        <v>0</v>
      </c>
      <c r="T28" s="86">
        <v>0</v>
      </c>
      <c r="U28" s="86">
        <v>0</v>
      </c>
      <c r="V28" s="86">
        <v>0</v>
      </c>
      <c r="W28" s="86">
        <v>0</v>
      </c>
      <c r="X28" s="86">
        <v>0</v>
      </c>
      <c r="Y28" s="86">
        <v>0</v>
      </c>
      <c r="Z28" s="86">
        <v>0</v>
      </c>
      <c r="AA28" s="86">
        <v>0</v>
      </c>
      <c r="AB28" s="86">
        <v>0</v>
      </c>
      <c r="AD28" s="93">
        <f t="shared" si="11"/>
        <v>0</v>
      </c>
      <c r="AE28" s="93">
        <f t="shared" si="11"/>
        <v>0</v>
      </c>
      <c r="AF28" s="93">
        <f t="shared" si="11"/>
        <v>0</v>
      </c>
      <c r="AG28" s="93">
        <f t="shared" si="11"/>
        <v>0</v>
      </c>
      <c r="AH28" s="93">
        <f t="shared" si="11"/>
        <v>0</v>
      </c>
      <c r="AI28" s="93">
        <f t="shared" si="11"/>
        <v>0</v>
      </c>
      <c r="AJ28" s="93">
        <f t="shared" si="11"/>
        <v>0</v>
      </c>
      <c r="AK28" s="93">
        <f t="shared" si="11"/>
        <v>0</v>
      </c>
      <c r="AM28" s="93">
        <f t="shared" si="12"/>
        <v>0</v>
      </c>
      <c r="AN28" s="93">
        <f t="shared" si="12"/>
        <v>0</v>
      </c>
    </row>
    <row r="29" spans="1:40" outlineLevel="1" x14ac:dyDescent="0.2">
      <c r="A29" s="91" t="s">
        <v>577</v>
      </c>
      <c r="B29" s="77" t="s">
        <v>464</v>
      </c>
      <c r="C29" s="77"/>
      <c r="D29" s="77"/>
      <c r="E29" s="85">
        <v>28926.94</v>
      </c>
      <c r="F29" s="85">
        <v>26034.240000000002</v>
      </c>
      <c r="G29" s="85">
        <v>23141.54</v>
      </c>
      <c r="H29" s="85">
        <v>20248.84</v>
      </c>
      <c r="I29" s="85">
        <v>17356.14</v>
      </c>
      <c r="J29" s="85">
        <v>14463.44</v>
      </c>
      <c r="K29" s="85">
        <v>11570.74</v>
      </c>
      <c r="L29" s="85">
        <v>274957.7</v>
      </c>
      <c r="M29" s="85">
        <v>203761.82</v>
      </c>
      <c r="N29" s="85">
        <v>176125.14</v>
      </c>
      <c r="O29" s="85">
        <v>185522.56</v>
      </c>
      <c r="P29" s="85">
        <v>157692.41</v>
      </c>
      <c r="Q29" s="86">
        <v>129862.26</v>
      </c>
      <c r="R29" s="86">
        <v>102032.11</v>
      </c>
      <c r="S29" s="86">
        <v>74201.960000000006</v>
      </c>
      <c r="T29" s="86">
        <v>57163.41</v>
      </c>
      <c r="U29" s="86">
        <v>40124.86</v>
      </c>
      <c r="V29" s="86">
        <v>27642.05</v>
      </c>
      <c r="W29" s="86">
        <v>12881.37</v>
      </c>
      <c r="X29" s="86">
        <v>9258.4699999999993</v>
      </c>
      <c r="Y29" s="86">
        <v>79275.97</v>
      </c>
      <c r="Z29" s="86">
        <v>68879.429999999993</v>
      </c>
      <c r="AA29" s="86">
        <v>58482.879999999997</v>
      </c>
      <c r="AB29" s="86">
        <v>99127.65</v>
      </c>
      <c r="AD29" s="93">
        <f t="shared" si="11"/>
        <v>23141.54</v>
      </c>
      <c r="AE29" s="93">
        <f t="shared" si="11"/>
        <v>14463.44</v>
      </c>
      <c r="AF29" s="93">
        <f t="shared" si="11"/>
        <v>203761.82</v>
      </c>
      <c r="AG29" s="93">
        <f t="shared" si="11"/>
        <v>157692.41</v>
      </c>
      <c r="AH29" s="93">
        <f t="shared" si="11"/>
        <v>74201.960000000006</v>
      </c>
      <c r="AI29" s="93">
        <f t="shared" si="11"/>
        <v>27642.05</v>
      </c>
      <c r="AJ29" s="93">
        <f t="shared" si="11"/>
        <v>79275.97</v>
      </c>
      <c r="AK29" s="93">
        <f t="shared" si="11"/>
        <v>99127.65</v>
      </c>
      <c r="AM29" s="93">
        <f t="shared" si="12"/>
        <v>157692.41</v>
      </c>
      <c r="AN29" s="93">
        <f t="shared" si="12"/>
        <v>99127.65</v>
      </c>
    </row>
    <row r="30" spans="1:40" outlineLevel="1" x14ac:dyDescent="0.2">
      <c r="A30" s="91" t="s">
        <v>578</v>
      </c>
      <c r="B30" s="77"/>
      <c r="C30" s="77"/>
      <c r="D30" s="77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6"/>
      <c r="R30" s="86"/>
      <c r="S30" s="86"/>
      <c r="T30" s="86">
        <v>22658.57</v>
      </c>
      <c r="U30" s="86">
        <v>20598.7</v>
      </c>
      <c r="V30" s="86">
        <v>18538.830000000002</v>
      </c>
      <c r="W30" s="86">
        <v>16478.96</v>
      </c>
      <c r="X30" s="86">
        <v>14419.09</v>
      </c>
      <c r="Y30" s="86">
        <v>12359.22</v>
      </c>
      <c r="Z30" s="86">
        <v>10299.35</v>
      </c>
      <c r="AA30" s="86">
        <v>8239.48</v>
      </c>
      <c r="AB30" s="86">
        <v>6179.61</v>
      </c>
      <c r="AD30" s="93">
        <f t="shared" si="11"/>
        <v>0</v>
      </c>
      <c r="AE30" s="93">
        <f t="shared" si="11"/>
        <v>0</v>
      </c>
      <c r="AF30" s="93">
        <f t="shared" si="11"/>
        <v>0</v>
      </c>
      <c r="AG30" s="93">
        <f t="shared" si="11"/>
        <v>0</v>
      </c>
      <c r="AH30" s="93">
        <f t="shared" si="11"/>
        <v>0</v>
      </c>
      <c r="AI30" s="93">
        <f t="shared" si="11"/>
        <v>18538.830000000002</v>
      </c>
      <c r="AJ30" s="93">
        <f t="shared" si="11"/>
        <v>12359.22</v>
      </c>
      <c r="AK30" s="93">
        <f t="shared" si="11"/>
        <v>6179.61</v>
      </c>
      <c r="AM30" s="93">
        <f t="shared" si="12"/>
        <v>0</v>
      </c>
      <c r="AN30" s="93">
        <f t="shared" si="12"/>
        <v>6179.61</v>
      </c>
    </row>
    <row r="31" spans="1:40" outlineLevel="1" x14ac:dyDescent="0.2">
      <c r="A31" s="91" t="s">
        <v>579</v>
      </c>
      <c r="B31" s="77" t="s">
        <v>467</v>
      </c>
      <c r="C31" s="77"/>
      <c r="D31" s="77"/>
      <c r="E31" s="85">
        <v>0</v>
      </c>
      <c r="F31" s="85">
        <v>0</v>
      </c>
      <c r="G31" s="85">
        <v>25034.57</v>
      </c>
      <c r="H31" s="85">
        <v>0</v>
      </c>
      <c r="I31" s="85">
        <v>14249.57</v>
      </c>
      <c r="J31" s="85">
        <v>14249.57</v>
      </c>
      <c r="K31" s="85">
        <v>14249.57</v>
      </c>
      <c r="L31" s="85">
        <v>14249.57</v>
      </c>
      <c r="M31" s="85">
        <v>14249.57</v>
      </c>
      <c r="N31" s="85">
        <v>14249.57</v>
      </c>
      <c r="O31" s="85">
        <v>14249.57</v>
      </c>
      <c r="P31" s="85">
        <v>14249.57</v>
      </c>
      <c r="Q31" s="86">
        <v>14249.57</v>
      </c>
      <c r="R31" s="86">
        <v>14249.57</v>
      </c>
      <c r="S31" s="86">
        <v>16903</v>
      </c>
      <c r="T31" s="86">
        <v>16903</v>
      </c>
      <c r="U31" s="86">
        <v>16903</v>
      </c>
      <c r="V31" s="86">
        <v>16903</v>
      </c>
      <c r="W31" s="86">
        <v>16903</v>
      </c>
      <c r="X31" s="86">
        <v>16903</v>
      </c>
      <c r="Y31" s="86">
        <v>16903</v>
      </c>
      <c r="Z31" s="86">
        <v>16903</v>
      </c>
      <c r="AA31" s="86">
        <v>16903</v>
      </c>
      <c r="AB31" s="86">
        <v>16903</v>
      </c>
      <c r="AD31" s="93">
        <f t="shared" si="11"/>
        <v>25034.57</v>
      </c>
      <c r="AE31" s="93">
        <f t="shared" si="11"/>
        <v>14249.57</v>
      </c>
      <c r="AF31" s="93">
        <f t="shared" si="11"/>
        <v>14249.57</v>
      </c>
      <c r="AG31" s="93">
        <f t="shared" si="11"/>
        <v>14249.57</v>
      </c>
      <c r="AH31" s="93">
        <f t="shared" si="11"/>
        <v>16903</v>
      </c>
      <c r="AI31" s="93">
        <f t="shared" si="11"/>
        <v>16903</v>
      </c>
      <c r="AJ31" s="93">
        <f t="shared" si="11"/>
        <v>16903</v>
      </c>
      <c r="AK31" s="93">
        <f t="shared" si="11"/>
        <v>16903</v>
      </c>
      <c r="AM31" s="93">
        <f t="shared" si="12"/>
        <v>14249.57</v>
      </c>
      <c r="AN31" s="93">
        <f t="shared" si="12"/>
        <v>16903</v>
      </c>
    </row>
    <row r="32" spans="1:40" outlineLevel="1" x14ac:dyDescent="0.2">
      <c r="A32" s="91" t="s">
        <v>580</v>
      </c>
      <c r="B32" s="77" t="s">
        <v>469</v>
      </c>
      <c r="C32" s="77"/>
      <c r="D32" s="77"/>
      <c r="E32" s="85">
        <v>15628.89</v>
      </c>
      <c r="F32" s="85">
        <v>9812.32</v>
      </c>
      <c r="G32" s="85">
        <v>12418.9</v>
      </c>
      <c r="H32" s="85">
        <v>10613.55</v>
      </c>
      <c r="I32" s="85">
        <v>46718.47</v>
      </c>
      <c r="J32" s="85">
        <v>45487.94</v>
      </c>
      <c r="K32" s="85">
        <v>38182.410000000003</v>
      </c>
      <c r="L32" s="85">
        <v>86062.1</v>
      </c>
      <c r="M32" s="85">
        <v>74560.88</v>
      </c>
      <c r="N32" s="85">
        <v>65033.86</v>
      </c>
      <c r="O32" s="85">
        <v>59398.12</v>
      </c>
      <c r="P32" s="85">
        <v>82175.38</v>
      </c>
      <c r="Q32" s="86">
        <v>68635.97</v>
      </c>
      <c r="R32" s="86">
        <v>54706.98</v>
      </c>
      <c r="S32" s="86">
        <v>55522.99</v>
      </c>
      <c r="T32" s="86">
        <v>69662.559999999998</v>
      </c>
      <c r="U32" s="86">
        <v>58256.3</v>
      </c>
      <c r="V32" s="86">
        <v>49590.87</v>
      </c>
      <c r="W32" s="86">
        <v>85667.55</v>
      </c>
      <c r="X32" s="86">
        <v>111224.73</v>
      </c>
      <c r="Y32" s="86">
        <v>98618.559999999998</v>
      </c>
      <c r="Z32" s="86">
        <v>96667.7</v>
      </c>
      <c r="AA32" s="86">
        <v>90530.57</v>
      </c>
      <c r="AB32" s="86">
        <v>76526.429999999993</v>
      </c>
      <c r="AD32" s="93">
        <f t="shared" si="11"/>
        <v>12418.9</v>
      </c>
      <c r="AE32" s="93">
        <f t="shared" si="11"/>
        <v>45487.94</v>
      </c>
      <c r="AF32" s="93">
        <f t="shared" si="11"/>
        <v>74560.88</v>
      </c>
      <c r="AG32" s="93">
        <f t="shared" si="11"/>
        <v>82175.38</v>
      </c>
      <c r="AH32" s="93">
        <f t="shared" si="11"/>
        <v>55522.99</v>
      </c>
      <c r="AI32" s="93">
        <f t="shared" si="11"/>
        <v>49590.87</v>
      </c>
      <c r="AJ32" s="93">
        <f t="shared" si="11"/>
        <v>98618.559999999998</v>
      </c>
      <c r="AK32" s="93">
        <f t="shared" si="11"/>
        <v>76526.429999999993</v>
      </c>
      <c r="AM32" s="93">
        <f t="shared" si="12"/>
        <v>82175.38</v>
      </c>
      <c r="AN32" s="93">
        <f t="shared" si="12"/>
        <v>76526.429999999993</v>
      </c>
    </row>
    <row r="33" spans="1:40" outlineLevel="1" x14ac:dyDescent="0.2">
      <c r="A33" s="90" t="s">
        <v>581</v>
      </c>
      <c r="B33" s="77"/>
      <c r="C33" s="77"/>
      <c r="D33" s="77"/>
      <c r="E33" s="9">
        <f>SUM(E27:E32)</f>
        <v>44555.83</v>
      </c>
      <c r="F33" s="9">
        <f t="shared" ref="F33:R33" si="13">SUM(F27:F32)</f>
        <v>35846.559999999998</v>
      </c>
      <c r="G33" s="9">
        <f t="shared" si="13"/>
        <v>60595.01</v>
      </c>
      <c r="H33" s="9">
        <f t="shared" si="13"/>
        <v>30862.39</v>
      </c>
      <c r="I33" s="9">
        <f t="shared" si="13"/>
        <v>78324.179999999993</v>
      </c>
      <c r="J33" s="9">
        <f t="shared" si="13"/>
        <v>74200.950000000012</v>
      </c>
      <c r="K33" s="9">
        <f t="shared" si="13"/>
        <v>64002.720000000001</v>
      </c>
      <c r="L33" s="9">
        <f t="shared" si="13"/>
        <v>375269.37</v>
      </c>
      <c r="M33" s="9">
        <f t="shared" si="13"/>
        <v>292572.27</v>
      </c>
      <c r="N33" s="9">
        <f t="shared" si="13"/>
        <v>255408.57</v>
      </c>
      <c r="O33" s="9">
        <f t="shared" si="13"/>
        <v>259170.25</v>
      </c>
      <c r="P33" s="9">
        <f t="shared" si="13"/>
        <v>254117.36000000002</v>
      </c>
      <c r="Q33" s="9">
        <f t="shared" si="13"/>
        <v>212747.8</v>
      </c>
      <c r="R33" s="9">
        <f t="shared" si="13"/>
        <v>170988.66</v>
      </c>
      <c r="S33" s="9">
        <f t="shared" ref="S33" si="14">SUM(S27:S32)</f>
        <v>146627.95000000001</v>
      </c>
      <c r="T33" s="9">
        <v>166387.54</v>
      </c>
      <c r="U33" s="9">
        <v>135882.86000000002</v>
      </c>
      <c r="V33" s="9">
        <v>112674.75000000001</v>
      </c>
      <c r="W33" s="9">
        <v>131930.88</v>
      </c>
      <c r="X33" s="9">
        <v>151805.28999999998</v>
      </c>
      <c r="Y33" s="9">
        <v>207156.75</v>
      </c>
      <c r="Z33" s="9">
        <v>192749.47999999998</v>
      </c>
      <c r="AA33" s="9">
        <v>174155.93</v>
      </c>
      <c r="AB33" s="9">
        <v>198736.69</v>
      </c>
      <c r="AD33" s="94">
        <f t="shared" si="11"/>
        <v>60595.01</v>
      </c>
      <c r="AE33" s="94">
        <f t="shared" si="11"/>
        <v>74200.950000000012</v>
      </c>
      <c r="AF33" s="94">
        <f t="shared" si="11"/>
        <v>292572.27</v>
      </c>
      <c r="AG33" s="94">
        <f t="shared" si="11"/>
        <v>254117.36000000002</v>
      </c>
      <c r="AH33" s="94">
        <f t="shared" si="11"/>
        <v>146627.95000000001</v>
      </c>
      <c r="AI33" s="94">
        <f t="shared" si="11"/>
        <v>112674.75000000001</v>
      </c>
      <c r="AJ33" s="94">
        <f t="shared" si="11"/>
        <v>207156.75</v>
      </c>
      <c r="AK33" s="94">
        <f t="shared" si="11"/>
        <v>198736.69</v>
      </c>
      <c r="AM33" s="94">
        <f t="shared" si="12"/>
        <v>254117.36000000002</v>
      </c>
      <c r="AN33" s="94">
        <f t="shared" si="12"/>
        <v>198736.69</v>
      </c>
    </row>
    <row r="34" spans="1:40" outlineLevel="1" x14ac:dyDescent="0.2">
      <c r="A34" s="90" t="s">
        <v>582</v>
      </c>
      <c r="B34" s="77"/>
      <c r="C34" s="77"/>
      <c r="D34" s="77"/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6">
        <v>0</v>
      </c>
      <c r="R34" s="86">
        <v>0</v>
      </c>
      <c r="S34" s="86">
        <v>0</v>
      </c>
      <c r="T34" s="86">
        <v>0</v>
      </c>
      <c r="U34" s="86">
        <v>0</v>
      </c>
      <c r="V34" s="86">
        <v>0</v>
      </c>
      <c r="W34" s="86">
        <v>0</v>
      </c>
      <c r="X34" s="86">
        <v>0</v>
      </c>
      <c r="Y34" s="86">
        <v>0</v>
      </c>
      <c r="Z34" s="86">
        <v>0</v>
      </c>
      <c r="AA34" s="86">
        <v>0</v>
      </c>
      <c r="AB34" s="86">
        <v>0</v>
      </c>
      <c r="AD34" s="93">
        <f t="shared" si="11"/>
        <v>0</v>
      </c>
      <c r="AE34" s="93">
        <f t="shared" si="11"/>
        <v>0</v>
      </c>
      <c r="AF34" s="93">
        <f t="shared" si="11"/>
        <v>0</v>
      </c>
      <c r="AG34" s="93">
        <f t="shared" si="11"/>
        <v>0</v>
      </c>
      <c r="AH34" s="93">
        <f t="shared" si="11"/>
        <v>0</v>
      </c>
      <c r="AI34" s="93">
        <f t="shared" si="11"/>
        <v>0</v>
      </c>
      <c r="AJ34" s="93">
        <f t="shared" si="11"/>
        <v>0</v>
      </c>
      <c r="AK34" s="93">
        <f t="shared" si="11"/>
        <v>0</v>
      </c>
      <c r="AM34" s="93">
        <f t="shared" si="12"/>
        <v>0</v>
      </c>
      <c r="AN34" s="93">
        <f t="shared" si="12"/>
        <v>0</v>
      </c>
    </row>
    <row r="35" spans="1:40" x14ac:dyDescent="0.2">
      <c r="A35" s="89" t="s">
        <v>583</v>
      </c>
      <c r="B35" s="77"/>
      <c r="C35" s="77"/>
      <c r="D35" s="77"/>
      <c r="E35" s="9">
        <f>SUM(E33:E34)</f>
        <v>44555.83</v>
      </c>
      <c r="F35" s="9">
        <f t="shared" ref="F35:R35" si="15">SUM(F33:F34)</f>
        <v>35846.559999999998</v>
      </c>
      <c r="G35" s="9">
        <f t="shared" si="15"/>
        <v>60595.01</v>
      </c>
      <c r="H35" s="9">
        <f t="shared" si="15"/>
        <v>30862.39</v>
      </c>
      <c r="I35" s="9">
        <f t="shared" si="15"/>
        <v>78324.179999999993</v>
      </c>
      <c r="J35" s="9">
        <f t="shared" si="15"/>
        <v>74200.950000000012</v>
      </c>
      <c r="K35" s="9">
        <f t="shared" si="15"/>
        <v>64002.720000000001</v>
      </c>
      <c r="L35" s="9">
        <f t="shared" si="15"/>
        <v>375269.37</v>
      </c>
      <c r="M35" s="9">
        <f t="shared" si="15"/>
        <v>292572.27</v>
      </c>
      <c r="N35" s="9">
        <f t="shared" si="15"/>
        <v>255408.57</v>
      </c>
      <c r="O35" s="9">
        <f t="shared" si="15"/>
        <v>259170.25</v>
      </c>
      <c r="P35" s="9">
        <f t="shared" si="15"/>
        <v>254117.36000000002</v>
      </c>
      <c r="Q35" s="9">
        <f t="shared" si="15"/>
        <v>212747.8</v>
      </c>
      <c r="R35" s="9">
        <f t="shared" si="15"/>
        <v>170988.66</v>
      </c>
      <c r="S35" s="9">
        <f t="shared" ref="S35" si="16">SUM(S33:S34)</f>
        <v>146627.95000000001</v>
      </c>
      <c r="T35" s="9">
        <v>166387.54</v>
      </c>
      <c r="U35" s="9">
        <v>135882.86000000002</v>
      </c>
      <c r="V35" s="9">
        <v>112674.75000000001</v>
      </c>
      <c r="W35" s="9">
        <v>131930.88</v>
      </c>
      <c r="X35" s="9">
        <v>151805.28999999998</v>
      </c>
      <c r="Y35" s="9">
        <v>207156.75</v>
      </c>
      <c r="Z35" s="9">
        <v>192749.47999999998</v>
      </c>
      <c r="AA35" s="9">
        <v>174155.93</v>
      </c>
      <c r="AB35" s="9">
        <v>198736.69</v>
      </c>
      <c r="AD35" s="94">
        <f t="shared" si="11"/>
        <v>60595.01</v>
      </c>
      <c r="AE35" s="94">
        <f t="shared" si="11"/>
        <v>74200.950000000012</v>
      </c>
      <c r="AF35" s="94">
        <f t="shared" si="11"/>
        <v>292572.27</v>
      </c>
      <c r="AG35" s="94">
        <f t="shared" si="11"/>
        <v>254117.36000000002</v>
      </c>
      <c r="AH35" s="94">
        <f t="shared" si="11"/>
        <v>146627.95000000001</v>
      </c>
      <c r="AI35" s="94">
        <f t="shared" si="11"/>
        <v>112674.75000000001</v>
      </c>
      <c r="AJ35" s="94">
        <f t="shared" si="11"/>
        <v>207156.75</v>
      </c>
      <c r="AK35" s="94">
        <f t="shared" si="11"/>
        <v>198736.69</v>
      </c>
      <c r="AM35" s="94">
        <f t="shared" si="12"/>
        <v>254117.36000000002</v>
      </c>
      <c r="AN35" s="94">
        <f t="shared" si="12"/>
        <v>198736.69</v>
      </c>
    </row>
    <row r="36" spans="1:40" x14ac:dyDescent="0.2">
      <c r="A36" s="88" t="s">
        <v>584</v>
      </c>
      <c r="B36" s="77"/>
      <c r="C36" s="77"/>
      <c r="D36" s="77"/>
      <c r="E36" s="9">
        <f t="shared" ref="E36:S36" si="17">SUM(E35,E21)</f>
        <v>12213991.800000001</v>
      </c>
      <c r="F36" s="9">
        <f t="shared" si="17"/>
        <v>11324991.550000001</v>
      </c>
      <c r="G36" s="9">
        <f t="shared" si="17"/>
        <v>16506011.789999999</v>
      </c>
      <c r="H36" s="9">
        <f t="shared" si="17"/>
        <v>18371483.59</v>
      </c>
      <c r="I36" s="9">
        <f t="shared" si="17"/>
        <v>19219764.09</v>
      </c>
      <c r="J36" s="9">
        <f t="shared" si="17"/>
        <v>18391576.489999998</v>
      </c>
      <c r="K36" s="9">
        <f t="shared" si="17"/>
        <v>17326020.32</v>
      </c>
      <c r="L36" s="9">
        <f t="shared" si="17"/>
        <v>16310569.98</v>
      </c>
      <c r="M36" s="9">
        <f t="shared" si="17"/>
        <v>15042719.1</v>
      </c>
      <c r="N36" s="9">
        <f t="shared" si="17"/>
        <v>12549119.48</v>
      </c>
      <c r="O36" s="9">
        <f t="shared" si="17"/>
        <v>10523956.140000001</v>
      </c>
      <c r="P36" s="9">
        <f t="shared" si="17"/>
        <v>9095509.4099999983</v>
      </c>
      <c r="Q36" s="9">
        <f t="shared" si="17"/>
        <v>8170965.2000000002</v>
      </c>
      <c r="R36" s="9">
        <f t="shared" si="17"/>
        <v>14630907.600000001</v>
      </c>
      <c r="S36" s="9">
        <f t="shared" si="17"/>
        <v>13227447.039999999</v>
      </c>
      <c r="T36" s="9">
        <v>12991527.729999999</v>
      </c>
      <c r="U36" s="9">
        <v>13516190.379999999</v>
      </c>
      <c r="V36" s="9">
        <v>12264220.279999999</v>
      </c>
      <c r="W36" s="9">
        <v>11252487.610000001</v>
      </c>
      <c r="X36" s="9">
        <v>9686723.75</v>
      </c>
      <c r="Y36" s="9">
        <v>8415780.7599999998</v>
      </c>
      <c r="Z36" s="9">
        <v>7267584.379999999</v>
      </c>
      <c r="AA36" s="9">
        <v>6323063.1199999992</v>
      </c>
      <c r="AB36" s="9">
        <v>5667542.4900000002</v>
      </c>
      <c r="AD36" s="94">
        <f t="shared" si="11"/>
        <v>16506011.789999999</v>
      </c>
      <c r="AE36" s="94">
        <f t="shared" si="11"/>
        <v>18391576.489999998</v>
      </c>
      <c r="AF36" s="94">
        <f t="shared" si="11"/>
        <v>15042719.1</v>
      </c>
      <c r="AG36" s="94">
        <f t="shared" si="11"/>
        <v>9095509.4099999983</v>
      </c>
      <c r="AH36" s="94">
        <f t="shared" si="11"/>
        <v>13227447.039999999</v>
      </c>
      <c r="AI36" s="94">
        <f t="shared" si="11"/>
        <v>12264220.279999999</v>
      </c>
      <c r="AJ36" s="94">
        <f t="shared" si="11"/>
        <v>8415780.7599999998</v>
      </c>
      <c r="AK36" s="94">
        <f t="shared" si="11"/>
        <v>5667542.4900000002</v>
      </c>
      <c r="AM36" s="94">
        <f t="shared" si="12"/>
        <v>9095509.4099999983</v>
      </c>
      <c r="AN36" s="94">
        <f t="shared" si="12"/>
        <v>5667542.4900000002</v>
      </c>
    </row>
    <row r="37" spans="1:40" outlineLevel="1" x14ac:dyDescent="0.2">
      <c r="A37" s="88" t="s">
        <v>585</v>
      </c>
      <c r="B37" s="77"/>
      <c r="C37" s="77"/>
      <c r="D37" s="77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8"/>
      <c r="R37" s="8"/>
      <c r="S37" s="8"/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D37" s="52">
        <f t="shared" ref="AD37:AK46" si="18">INDEX($E37:$AB37,MATCH(AD$5,$E$5:$AB$5,0))</f>
        <v>0</v>
      </c>
      <c r="AE37" s="52">
        <f t="shared" si="18"/>
        <v>0</v>
      </c>
      <c r="AF37" s="52">
        <f t="shared" si="18"/>
        <v>0</v>
      </c>
      <c r="AG37" s="52">
        <f t="shared" si="18"/>
        <v>0</v>
      </c>
      <c r="AH37" s="52">
        <f t="shared" si="18"/>
        <v>0</v>
      </c>
      <c r="AI37" s="52">
        <f t="shared" si="18"/>
        <v>0</v>
      </c>
      <c r="AJ37" s="52">
        <f t="shared" si="18"/>
        <v>0</v>
      </c>
      <c r="AK37" s="52">
        <f t="shared" si="18"/>
        <v>0</v>
      </c>
      <c r="AM37" s="52">
        <f t="shared" si="12"/>
        <v>0</v>
      </c>
      <c r="AN37" s="52">
        <f t="shared" si="12"/>
        <v>0</v>
      </c>
    </row>
    <row r="38" spans="1:40" outlineLevel="1" x14ac:dyDescent="0.2">
      <c r="A38" s="89" t="s">
        <v>494</v>
      </c>
      <c r="B38" s="77" t="s">
        <v>495</v>
      </c>
      <c r="C38" s="77"/>
      <c r="D38" s="77"/>
      <c r="E38" s="85">
        <v>14553.41</v>
      </c>
      <c r="F38" s="85">
        <v>14553.41</v>
      </c>
      <c r="G38" s="85">
        <v>21367.7</v>
      </c>
      <c r="H38" s="85">
        <v>21367.7</v>
      </c>
      <c r="I38" s="85">
        <v>21367.7</v>
      </c>
      <c r="J38" s="85">
        <v>21367.7</v>
      </c>
      <c r="K38" s="85">
        <v>21367.7</v>
      </c>
      <c r="L38" s="85">
        <v>21367.7</v>
      </c>
      <c r="M38" s="85">
        <v>21367.7</v>
      </c>
      <c r="N38" s="85">
        <v>21367.7</v>
      </c>
      <c r="O38" s="85">
        <v>21367.7</v>
      </c>
      <c r="P38" s="85">
        <v>21367.7</v>
      </c>
      <c r="Q38" s="86">
        <v>21367.7</v>
      </c>
      <c r="R38" s="86">
        <v>21367.7</v>
      </c>
      <c r="S38" s="86">
        <v>21367.7</v>
      </c>
      <c r="T38" s="86">
        <v>44395.7</v>
      </c>
      <c r="U38" s="86">
        <v>44395.7</v>
      </c>
      <c r="V38" s="86">
        <v>50992.7</v>
      </c>
      <c r="W38" s="86">
        <v>56655.01</v>
      </c>
      <c r="X38" s="86">
        <v>60753.01</v>
      </c>
      <c r="Y38" s="86">
        <v>72919.009999999995</v>
      </c>
      <c r="Z38" s="86">
        <v>72919.009999999995</v>
      </c>
      <c r="AA38" s="86">
        <v>72919.009999999995</v>
      </c>
      <c r="AB38" s="86">
        <v>68521.009999999995</v>
      </c>
      <c r="AD38" s="93">
        <f t="shared" si="18"/>
        <v>21367.7</v>
      </c>
      <c r="AE38" s="93">
        <f t="shared" si="18"/>
        <v>21367.7</v>
      </c>
      <c r="AF38" s="93">
        <f t="shared" si="18"/>
        <v>21367.7</v>
      </c>
      <c r="AG38" s="93">
        <f t="shared" si="18"/>
        <v>21367.7</v>
      </c>
      <c r="AH38" s="93">
        <f t="shared" si="18"/>
        <v>21367.7</v>
      </c>
      <c r="AI38" s="93">
        <f t="shared" si="18"/>
        <v>50992.7</v>
      </c>
      <c r="AJ38" s="93">
        <f t="shared" si="18"/>
        <v>72919.009999999995</v>
      </c>
      <c r="AK38" s="93">
        <f t="shared" si="18"/>
        <v>68521.009999999995</v>
      </c>
      <c r="AM38" s="93">
        <f t="shared" si="12"/>
        <v>21367.7</v>
      </c>
      <c r="AN38" s="93">
        <f t="shared" si="12"/>
        <v>68521.009999999995</v>
      </c>
    </row>
    <row r="39" spans="1:40" outlineLevel="1" x14ac:dyDescent="0.2">
      <c r="A39" s="89" t="s">
        <v>496</v>
      </c>
      <c r="B39" s="77" t="s">
        <v>497</v>
      </c>
      <c r="C39" s="77"/>
      <c r="D39" s="77"/>
      <c r="E39" s="85">
        <v>4040.02</v>
      </c>
      <c r="F39" s="85">
        <v>4040.02</v>
      </c>
      <c r="G39" s="85">
        <v>4040.02</v>
      </c>
      <c r="H39" s="85">
        <v>0</v>
      </c>
      <c r="I39" s="85">
        <v>0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6">
        <v>0</v>
      </c>
      <c r="R39" s="86">
        <v>0</v>
      </c>
      <c r="S39" s="86">
        <v>0</v>
      </c>
      <c r="T39" s="86">
        <v>0</v>
      </c>
      <c r="U39" s="86">
        <v>0</v>
      </c>
      <c r="V39" s="86">
        <v>0</v>
      </c>
      <c r="W39" s="86">
        <v>0</v>
      </c>
      <c r="X39" s="86">
        <v>0</v>
      </c>
      <c r="Y39" s="86">
        <v>0</v>
      </c>
      <c r="Z39" s="86">
        <v>0</v>
      </c>
      <c r="AA39" s="86">
        <v>0</v>
      </c>
      <c r="AB39" s="86">
        <v>0</v>
      </c>
      <c r="AD39" s="93">
        <f t="shared" si="18"/>
        <v>4040.02</v>
      </c>
      <c r="AE39" s="93">
        <f t="shared" si="18"/>
        <v>0</v>
      </c>
      <c r="AF39" s="93">
        <f t="shared" si="18"/>
        <v>0</v>
      </c>
      <c r="AG39" s="93">
        <f t="shared" si="18"/>
        <v>0</v>
      </c>
      <c r="AH39" s="93">
        <f t="shared" si="18"/>
        <v>0</v>
      </c>
      <c r="AI39" s="93">
        <f t="shared" si="18"/>
        <v>0</v>
      </c>
      <c r="AJ39" s="93">
        <f t="shared" si="18"/>
        <v>0</v>
      </c>
      <c r="AK39" s="93">
        <f t="shared" si="18"/>
        <v>0</v>
      </c>
      <c r="AM39" s="93">
        <f t="shared" si="12"/>
        <v>0</v>
      </c>
      <c r="AN39" s="93">
        <f t="shared" si="12"/>
        <v>0</v>
      </c>
    </row>
    <row r="40" spans="1:40" outlineLevel="1" x14ac:dyDescent="0.2">
      <c r="A40" s="89" t="s">
        <v>586</v>
      </c>
      <c r="B40" s="77" t="s">
        <v>587</v>
      </c>
      <c r="C40" s="77"/>
      <c r="D40" s="77"/>
      <c r="E40" s="46">
        <v>0</v>
      </c>
      <c r="F40" s="85">
        <v>0</v>
      </c>
      <c r="G40" s="85">
        <v>0</v>
      </c>
      <c r="H40" s="85">
        <v>0</v>
      </c>
      <c r="I40" s="85">
        <v>0</v>
      </c>
      <c r="J40" s="85">
        <v>0</v>
      </c>
      <c r="K40" s="85">
        <v>0</v>
      </c>
      <c r="L40" s="85">
        <v>0</v>
      </c>
      <c r="M40" s="85">
        <v>0</v>
      </c>
      <c r="N40" s="85">
        <v>0</v>
      </c>
      <c r="O40" s="85">
        <v>0</v>
      </c>
      <c r="P40" s="85">
        <v>0</v>
      </c>
      <c r="Q40" s="85">
        <v>0</v>
      </c>
      <c r="R40" s="86">
        <v>0</v>
      </c>
      <c r="S40" s="86">
        <v>0</v>
      </c>
      <c r="T40" s="86">
        <v>0</v>
      </c>
      <c r="U40" s="86">
        <v>0</v>
      </c>
      <c r="V40" s="86">
        <v>0</v>
      </c>
      <c r="W40" s="86">
        <v>0</v>
      </c>
      <c r="X40" s="86">
        <v>0</v>
      </c>
      <c r="Y40" s="86">
        <v>0</v>
      </c>
      <c r="Z40" s="86">
        <v>0</v>
      </c>
      <c r="AA40" s="86">
        <v>0</v>
      </c>
      <c r="AB40" s="86">
        <v>0</v>
      </c>
      <c r="AD40" s="93">
        <f t="shared" si="18"/>
        <v>0</v>
      </c>
      <c r="AE40" s="93">
        <f t="shared" si="18"/>
        <v>0</v>
      </c>
      <c r="AF40" s="93">
        <f t="shared" si="18"/>
        <v>0</v>
      </c>
      <c r="AG40" s="93">
        <f t="shared" si="18"/>
        <v>0</v>
      </c>
      <c r="AH40" s="93">
        <f t="shared" si="18"/>
        <v>0</v>
      </c>
      <c r="AI40" s="93">
        <f t="shared" si="18"/>
        <v>0</v>
      </c>
      <c r="AJ40" s="93">
        <f t="shared" si="18"/>
        <v>0</v>
      </c>
      <c r="AK40" s="93">
        <f t="shared" si="18"/>
        <v>0</v>
      </c>
      <c r="AM40" s="93">
        <f t="shared" si="12"/>
        <v>0</v>
      </c>
      <c r="AN40" s="93">
        <f t="shared" si="12"/>
        <v>0</v>
      </c>
    </row>
    <row r="41" spans="1:40" outlineLevel="1" x14ac:dyDescent="0.2">
      <c r="A41" s="90" t="s">
        <v>588</v>
      </c>
      <c r="B41" s="77" t="s">
        <v>471</v>
      </c>
      <c r="C41" s="77"/>
      <c r="D41" s="77"/>
      <c r="E41" s="85">
        <v>-14553.41</v>
      </c>
      <c r="F41" s="85">
        <v>-14553.41</v>
      </c>
      <c r="G41" s="85">
        <v>-14614.21</v>
      </c>
      <c r="H41" s="85">
        <v>-14718.99</v>
      </c>
      <c r="I41" s="85">
        <v>-14841.35</v>
      </c>
      <c r="J41" s="85">
        <v>-14954.92</v>
      </c>
      <c r="K41" s="85">
        <v>-15068.49</v>
      </c>
      <c r="L41" s="85">
        <v>-15182.06</v>
      </c>
      <c r="M41" s="85">
        <v>-15295.63</v>
      </c>
      <c r="N41" s="85">
        <v>-15409.2</v>
      </c>
      <c r="O41" s="85">
        <v>-15522.77</v>
      </c>
      <c r="P41" s="85">
        <v>-15636.34</v>
      </c>
      <c r="Q41" s="86">
        <v>-15749.91</v>
      </c>
      <c r="R41" s="86">
        <v>-15863.48</v>
      </c>
      <c r="S41" s="86">
        <v>-15977.05</v>
      </c>
      <c r="T41" s="86">
        <v>-16090.62</v>
      </c>
      <c r="U41" s="86">
        <v>-16587.990000000002</v>
      </c>
      <c r="V41" s="86">
        <v>-17195.310000000001</v>
      </c>
      <c r="W41" s="86">
        <v>-17897</v>
      </c>
      <c r="X41" s="86">
        <v>-18666.990000000002</v>
      </c>
      <c r="Y41" s="86">
        <v>-19639.75</v>
      </c>
      <c r="Z41" s="86">
        <v>-20612.509999999998</v>
      </c>
      <c r="AA41" s="86">
        <v>-21585.27</v>
      </c>
      <c r="AB41" s="86">
        <v>-22044.93</v>
      </c>
      <c r="AD41" s="93">
        <f t="shared" si="18"/>
        <v>-14614.21</v>
      </c>
      <c r="AE41" s="93">
        <f t="shared" si="18"/>
        <v>-14954.92</v>
      </c>
      <c r="AF41" s="93">
        <f t="shared" si="18"/>
        <v>-15295.63</v>
      </c>
      <c r="AG41" s="93">
        <f t="shared" si="18"/>
        <v>-15636.34</v>
      </c>
      <c r="AH41" s="93">
        <f t="shared" si="18"/>
        <v>-15977.05</v>
      </c>
      <c r="AI41" s="93">
        <f t="shared" si="18"/>
        <v>-17195.310000000001</v>
      </c>
      <c r="AJ41" s="93">
        <f t="shared" si="18"/>
        <v>-19639.75</v>
      </c>
      <c r="AK41" s="93">
        <f t="shared" si="18"/>
        <v>-22044.93</v>
      </c>
      <c r="AM41" s="93">
        <f t="shared" si="12"/>
        <v>-15636.34</v>
      </c>
      <c r="AN41" s="93">
        <f t="shared" si="12"/>
        <v>-22044.93</v>
      </c>
    </row>
    <row r="42" spans="1:40" outlineLevel="1" x14ac:dyDescent="0.2">
      <c r="A42" s="90" t="s">
        <v>589</v>
      </c>
      <c r="B42" s="77" t="s">
        <v>473</v>
      </c>
      <c r="C42" s="77"/>
      <c r="D42" s="77"/>
      <c r="E42" s="85">
        <v>-1550.64</v>
      </c>
      <c r="F42" s="85">
        <v>-1588.94</v>
      </c>
      <c r="G42" s="85">
        <v>-1627.24</v>
      </c>
      <c r="H42" s="85">
        <v>0</v>
      </c>
      <c r="I42" s="85">
        <v>0</v>
      </c>
      <c r="J42" s="85">
        <v>0</v>
      </c>
      <c r="K42" s="85">
        <v>0</v>
      </c>
      <c r="L42" s="85">
        <v>0</v>
      </c>
      <c r="M42" s="85">
        <v>0</v>
      </c>
      <c r="N42" s="85">
        <v>0</v>
      </c>
      <c r="O42" s="85">
        <v>0</v>
      </c>
      <c r="P42" s="85">
        <v>0</v>
      </c>
      <c r="Q42" s="86">
        <v>0</v>
      </c>
      <c r="R42" s="86">
        <v>0</v>
      </c>
      <c r="S42" s="86">
        <v>0</v>
      </c>
      <c r="T42" s="86">
        <v>0</v>
      </c>
      <c r="U42" s="86">
        <v>0</v>
      </c>
      <c r="V42" s="86">
        <v>0</v>
      </c>
      <c r="W42" s="86">
        <v>0</v>
      </c>
      <c r="X42" s="86">
        <v>0</v>
      </c>
      <c r="Y42" s="86">
        <v>0</v>
      </c>
      <c r="Z42" s="86">
        <v>0</v>
      </c>
      <c r="AA42" s="86">
        <v>0</v>
      </c>
      <c r="AB42" s="86">
        <v>0</v>
      </c>
      <c r="AD42" s="93">
        <f t="shared" si="18"/>
        <v>-1627.24</v>
      </c>
      <c r="AE42" s="93">
        <f t="shared" si="18"/>
        <v>0</v>
      </c>
      <c r="AF42" s="93">
        <f t="shared" si="18"/>
        <v>0</v>
      </c>
      <c r="AG42" s="93">
        <f t="shared" si="18"/>
        <v>0</v>
      </c>
      <c r="AH42" s="93">
        <f t="shared" si="18"/>
        <v>0</v>
      </c>
      <c r="AI42" s="93">
        <f t="shared" si="18"/>
        <v>0</v>
      </c>
      <c r="AJ42" s="93">
        <f t="shared" si="18"/>
        <v>0</v>
      </c>
      <c r="AK42" s="93">
        <f t="shared" si="18"/>
        <v>0</v>
      </c>
      <c r="AM42" s="93">
        <f t="shared" si="12"/>
        <v>0</v>
      </c>
      <c r="AN42" s="93">
        <f t="shared" si="12"/>
        <v>0</v>
      </c>
    </row>
    <row r="43" spans="1:40" outlineLevel="1" x14ac:dyDescent="0.2">
      <c r="A43" s="89" t="s">
        <v>590</v>
      </c>
      <c r="B43" s="77"/>
      <c r="C43" s="77"/>
      <c r="D43" s="77"/>
      <c r="E43" s="9">
        <f>SUM(E41:E42)</f>
        <v>-16104.05</v>
      </c>
      <c r="F43" s="9">
        <f t="shared" ref="F43:R43" si="19">SUM(F41:F42)</f>
        <v>-16142.35</v>
      </c>
      <c r="G43" s="9">
        <f t="shared" si="19"/>
        <v>-16241.449999999999</v>
      </c>
      <c r="H43" s="9">
        <f t="shared" si="19"/>
        <v>-14718.99</v>
      </c>
      <c r="I43" s="9">
        <f t="shared" si="19"/>
        <v>-14841.35</v>
      </c>
      <c r="J43" s="9">
        <f t="shared" si="19"/>
        <v>-14954.92</v>
      </c>
      <c r="K43" s="9">
        <f t="shared" si="19"/>
        <v>-15068.49</v>
      </c>
      <c r="L43" s="9">
        <f t="shared" si="19"/>
        <v>-15182.06</v>
      </c>
      <c r="M43" s="9">
        <f t="shared" si="19"/>
        <v>-15295.63</v>
      </c>
      <c r="N43" s="9">
        <f t="shared" si="19"/>
        <v>-15409.2</v>
      </c>
      <c r="O43" s="9">
        <f t="shared" si="19"/>
        <v>-15522.77</v>
      </c>
      <c r="P43" s="9">
        <f t="shared" si="19"/>
        <v>-15636.34</v>
      </c>
      <c r="Q43" s="9">
        <f t="shared" si="19"/>
        <v>-15749.91</v>
      </c>
      <c r="R43" s="9">
        <f t="shared" si="19"/>
        <v>-15863.48</v>
      </c>
      <c r="S43" s="9">
        <f t="shared" ref="S43" si="20">SUM(S41:S42)</f>
        <v>-15977.05</v>
      </c>
      <c r="T43" s="9">
        <v>-16090.62</v>
      </c>
      <c r="U43" s="9">
        <v>-16587.990000000002</v>
      </c>
      <c r="V43" s="9">
        <v>-17195.310000000001</v>
      </c>
      <c r="W43" s="9">
        <v>-17897</v>
      </c>
      <c r="X43" s="9">
        <v>-18666.990000000002</v>
      </c>
      <c r="Y43" s="9">
        <v>-19639.75</v>
      </c>
      <c r="Z43" s="9">
        <v>-20612.509999999998</v>
      </c>
      <c r="AA43" s="9">
        <v>-21585.27</v>
      </c>
      <c r="AB43" s="9">
        <v>-22044.93</v>
      </c>
      <c r="AD43" s="94">
        <f t="shared" si="18"/>
        <v>-16241.449999999999</v>
      </c>
      <c r="AE43" s="94">
        <f t="shared" si="18"/>
        <v>-14954.92</v>
      </c>
      <c r="AF43" s="94">
        <f t="shared" si="18"/>
        <v>-15295.63</v>
      </c>
      <c r="AG43" s="94">
        <f t="shared" si="18"/>
        <v>-15636.34</v>
      </c>
      <c r="AH43" s="94">
        <f t="shared" si="18"/>
        <v>-15977.05</v>
      </c>
      <c r="AI43" s="94">
        <f t="shared" si="18"/>
        <v>-17195.310000000001</v>
      </c>
      <c r="AJ43" s="94">
        <f t="shared" si="18"/>
        <v>-19639.75</v>
      </c>
      <c r="AK43" s="94">
        <f t="shared" si="18"/>
        <v>-22044.93</v>
      </c>
      <c r="AM43" s="94">
        <f t="shared" si="12"/>
        <v>-15636.34</v>
      </c>
      <c r="AN43" s="94">
        <f t="shared" si="12"/>
        <v>-22044.93</v>
      </c>
    </row>
    <row r="44" spans="1:40" x14ac:dyDescent="0.2">
      <c r="A44" s="88" t="s">
        <v>591</v>
      </c>
      <c r="B44" s="77"/>
      <c r="C44" s="77"/>
      <c r="D44" s="77"/>
      <c r="E44" s="9">
        <v>2489.380000000001</v>
      </c>
      <c r="F44" s="9">
        <v>2451.08</v>
      </c>
      <c r="G44" s="9">
        <v>9166.2700000000023</v>
      </c>
      <c r="H44" s="9">
        <v>6648.7100000000009</v>
      </c>
      <c r="I44" s="9">
        <v>6526.35</v>
      </c>
      <c r="J44" s="9">
        <v>6412.7800000000007</v>
      </c>
      <c r="K44" s="9">
        <v>6299.2100000000009</v>
      </c>
      <c r="L44" s="9">
        <v>6185.6400000000012</v>
      </c>
      <c r="M44" s="9">
        <v>6072.0700000000015</v>
      </c>
      <c r="N44" s="9">
        <v>5958.5</v>
      </c>
      <c r="O44" s="9">
        <v>5844.93</v>
      </c>
      <c r="P44" s="9">
        <v>5731.3600000000006</v>
      </c>
      <c r="Q44" s="10">
        <v>5617.79</v>
      </c>
      <c r="R44" s="10">
        <v>5504.22</v>
      </c>
      <c r="S44" s="10">
        <v>5390.65</v>
      </c>
      <c r="T44" s="10">
        <v>28305.079999999994</v>
      </c>
      <c r="U44" s="10">
        <v>27807.709999999995</v>
      </c>
      <c r="V44" s="10">
        <v>33797.39</v>
      </c>
      <c r="W44" s="10">
        <v>38758.01</v>
      </c>
      <c r="X44" s="10">
        <v>42086.020000000004</v>
      </c>
      <c r="Y44" s="10">
        <v>53279.259999999995</v>
      </c>
      <c r="Z44" s="10">
        <v>52306.5</v>
      </c>
      <c r="AA44" s="10">
        <v>51333.739999999991</v>
      </c>
      <c r="AB44" s="10">
        <v>46476.079999999994</v>
      </c>
      <c r="AD44" s="95">
        <f t="shared" si="18"/>
        <v>9166.2700000000023</v>
      </c>
      <c r="AE44" s="95">
        <f t="shared" si="18"/>
        <v>6412.7800000000007</v>
      </c>
      <c r="AF44" s="95">
        <f t="shared" si="18"/>
        <v>6072.0700000000015</v>
      </c>
      <c r="AG44" s="95">
        <f t="shared" si="18"/>
        <v>5731.3600000000006</v>
      </c>
      <c r="AH44" s="95">
        <f t="shared" si="18"/>
        <v>5390.65</v>
      </c>
      <c r="AI44" s="95">
        <f t="shared" si="18"/>
        <v>33797.39</v>
      </c>
      <c r="AJ44" s="95">
        <f t="shared" si="18"/>
        <v>53279.259999999995</v>
      </c>
      <c r="AK44" s="95">
        <f t="shared" si="18"/>
        <v>46476.079999999994</v>
      </c>
      <c r="AM44" s="95">
        <f t="shared" si="12"/>
        <v>5731.3600000000006</v>
      </c>
      <c r="AN44" s="95">
        <f t="shared" si="12"/>
        <v>46476.079999999994</v>
      </c>
    </row>
    <row r="45" spans="1:40" outlineLevel="1" x14ac:dyDescent="0.2">
      <c r="A45" s="88" t="s">
        <v>592</v>
      </c>
      <c r="B45" s="77"/>
      <c r="C45" s="77"/>
      <c r="D45" s="77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8"/>
      <c r="R45" s="8"/>
      <c r="S45" s="8"/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D45" s="52">
        <f t="shared" si="18"/>
        <v>0</v>
      </c>
      <c r="AE45" s="52">
        <f t="shared" si="18"/>
        <v>0</v>
      </c>
      <c r="AF45" s="52">
        <f t="shared" si="18"/>
        <v>0</v>
      </c>
      <c r="AG45" s="52">
        <f t="shared" si="18"/>
        <v>0</v>
      </c>
      <c r="AH45" s="52">
        <f t="shared" si="18"/>
        <v>0</v>
      </c>
      <c r="AI45" s="52">
        <f t="shared" si="18"/>
        <v>0</v>
      </c>
      <c r="AJ45" s="52">
        <f t="shared" si="18"/>
        <v>0</v>
      </c>
      <c r="AK45" s="52">
        <f t="shared" si="18"/>
        <v>0</v>
      </c>
      <c r="AM45" s="52">
        <f t="shared" si="12"/>
        <v>0</v>
      </c>
      <c r="AN45" s="52">
        <f t="shared" si="12"/>
        <v>0</v>
      </c>
    </row>
    <row r="46" spans="1:40" outlineLevel="1" x14ac:dyDescent="0.2">
      <c r="A46" s="89" t="s">
        <v>509</v>
      </c>
      <c r="B46" s="77" t="s">
        <v>510</v>
      </c>
      <c r="C46" s="77"/>
      <c r="D46" s="77"/>
      <c r="E46" s="85">
        <v>1000</v>
      </c>
      <c r="F46" s="85">
        <v>0</v>
      </c>
      <c r="G46" s="85">
        <v>12249.57</v>
      </c>
      <c r="H46" s="85">
        <v>12249.57</v>
      </c>
      <c r="I46" s="85">
        <v>12249.57</v>
      </c>
      <c r="J46" s="85">
        <v>12249.57</v>
      </c>
      <c r="K46" s="85">
        <v>12249.57</v>
      </c>
      <c r="L46" s="85">
        <v>12249.57</v>
      </c>
      <c r="M46" s="85">
        <v>32249.57</v>
      </c>
      <c r="N46" s="85">
        <v>32249.57</v>
      </c>
      <c r="O46" s="85">
        <v>32249.57</v>
      </c>
      <c r="P46" s="85">
        <v>32249.57</v>
      </c>
      <c r="Q46" s="86">
        <v>32249.57</v>
      </c>
      <c r="R46" s="86">
        <v>42055.57</v>
      </c>
      <c r="S46" s="86">
        <v>42055.57</v>
      </c>
      <c r="T46" s="86">
        <v>27152.57</v>
      </c>
      <c r="U46" s="86">
        <v>14903</v>
      </c>
      <c r="V46" s="86">
        <v>14903</v>
      </c>
      <c r="W46" s="86">
        <v>14903</v>
      </c>
      <c r="X46" s="86">
        <v>14903</v>
      </c>
      <c r="Y46" s="86">
        <v>14903</v>
      </c>
      <c r="Z46" s="86">
        <v>14903</v>
      </c>
      <c r="AA46" s="86">
        <v>14903</v>
      </c>
      <c r="AB46" s="86">
        <v>14903</v>
      </c>
      <c r="AD46" s="93">
        <f t="shared" si="18"/>
        <v>12249.57</v>
      </c>
      <c r="AE46" s="93">
        <f t="shared" si="18"/>
        <v>12249.57</v>
      </c>
      <c r="AF46" s="93">
        <f t="shared" si="18"/>
        <v>32249.57</v>
      </c>
      <c r="AG46" s="93">
        <f t="shared" si="18"/>
        <v>32249.57</v>
      </c>
      <c r="AH46" s="93">
        <f t="shared" si="18"/>
        <v>42055.57</v>
      </c>
      <c r="AI46" s="93">
        <f t="shared" si="18"/>
        <v>14903</v>
      </c>
      <c r="AJ46" s="93">
        <f t="shared" si="18"/>
        <v>14903</v>
      </c>
      <c r="AK46" s="93">
        <f t="shared" si="18"/>
        <v>14903</v>
      </c>
      <c r="AM46" s="93">
        <f t="shared" si="12"/>
        <v>32249.57</v>
      </c>
      <c r="AN46" s="93">
        <f t="shared" si="12"/>
        <v>14903</v>
      </c>
    </row>
    <row r="47" spans="1:40" outlineLevel="1" x14ac:dyDescent="0.2">
      <c r="A47" s="89" t="s">
        <v>511</v>
      </c>
      <c r="B47" s="77" t="s">
        <v>512</v>
      </c>
      <c r="C47" s="77"/>
      <c r="D47" s="77"/>
      <c r="E47" s="85">
        <v>0</v>
      </c>
      <c r="F47" s="85">
        <v>0</v>
      </c>
      <c r="G47" s="85">
        <v>0</v>
      </c>
      <c r="H47" s="85">
        <v>0</v>
      </c>
      <c r="I47" s="85">
        <v>0</v>
      </c>
      <c r="J47" s="85">
        <v>0</v>
      </c>
      <c r="K47" s="85">
        <v>0</v>
      </c>
      <c r="L47" s="85">
        <v>0</v>
      </c>
      <c r="M47" s="85">
        <v>0</v>
      </c>
      <c r="N47" s="85">
        <v>0</v>
      </c>
      <c r="O47" s="85">
        <v>0</v>
      </c>
      <c r="P47" s="85">
        <v>0</v>
      </c>
      <c r="Q47" s="86">
        <v>0</v>
      </c>
      <c r="R47" s="86">
        <v>0</v>
      </c>
      <c r="S47" s="86">
        <v>0</v>
      </c>
      <c r="T47" s="86">
        <v>0</v>
      </c>
      <c r="U47" s="86">
        <v>0</v>
      </c>
      <c r="V47" s="86">
        <v>0</v>
      </c>
      <c r="W47" s="86">
        <v>0</v>
      </c>
      <c r="X47" s="86">
        <v>0</v>
      </c>
      <c r="Y47" s="86">
        <v>0</v>
      </c>
      <c r="Z47" s="86">
        <v>0</v>
      </c>
      <c r="AA47" s="86">
        <v>0</v>
      </c>
      <c r="AB47" s="86">
        <v>0</v>
      </c>
      <c r="AD47" s="93">
        <f t="shared" ref="AD47:AK56" si="21">INDEX($E47:$AB47,MATCH(AD$5,$E$5:$AB$5,0))</f>
        <v>0</v>
      </c>
      <c r="AE47" s="93">
        <f t="shared" si="21"/>
        <v>0</v>
      </c>
      <c r="AF47" s="93">
        <f t="shared" si="21"/>
        <v>0</v>
      </c>
      <c r="AG47" s="93">
        <f t="shared" si="21"/>
        <v>0</v>
      </c>
      <c r="AH47" s="93">
        <f t="shared" si="21"/>
        <v>0</v>
      </c>
      <c r="AI47" s="93">
        <f t="shared" si="21"/>
        <v>0</v>
      </c>
      <c r="AJ47" s="93">
        <f t="shared" si="21"/>
        <v>0</v>
      </c>
      <c r="AK47" s="93">
        <f t="shared" si="21"/>
        <v>0</v>
      </c>
      <c r="AM47" s="93">
        <f t="shared" ref="AM47:AN66" si="22">INDEX($E47:$AB47,MATCH(AM$5,$E$5:$AB$5,0))</f>
        <v>0</v>
      </c>
      <c r="AN47" s="93">
        <f t="shared" si="22"/>
        <v>0</v>
      </c>
    </row>
    <row r="48" spans="1:40" outlineLevel="2" x14ac:dyDescent="0.2">
      <c r="A48" s="89" t="s">
        <v>593</v>
      </c>
      <c r="B48" s="77" t="s">
        <v>594</v>
      </c>
      <c r="C48" s="77"/>
      <c r="D48" s="77"/>
      <c r="E48" s="85">
        <v>0</v>
      </c>
      <c r="F48" s="85">
        <v>0</v>
      </c>
      <c r="G48" s="85">
        <v>0</v>
      </c>
      <c r="H48" s="85">
        <v>0</v>
      </c>
      <c r="I48" s="85">
        <v>0</v>
      </c>
      <c r="J48" s="85">
        <v>0</v>
      </c>
      <c r="K48" s="85">
        <v>0</v>
      </c>
      <c r="L48" s="85">
        <v>0</v>
      </c>
      <c r="M48" s="85">
        <v>0</v>
      </c>
      <c r="N48" s="85">
        <v>0</v>
      </c>
      <c r="O48" s="85">
        <v>0</v>
      </c>
      <c r="P48" s="85">
        <v>0</v>
      </c>
      <c r="Q48" s="87"/>
      <c r="R48" s="86">
        <v>0</v>
      </c>
      <c r="S48" s="86">
        <v>0</v>
      </c>
      <c r="T48" s="86">
        <v>0</v>
      </c>
      <c r="U48" s="86">
        <v>0</v>
      </c>
      <c r="V48" s="86">
        <v>0</v>
      </c>
      <c r="W48" s="86">
        <v>0</v>
      </c>
      <c r="X48" s="86">
        <v>0</v>
      </c>
      <c r="Y48" s="86">
        <v>0</v>
      </c>
      <c r="Z48" s="86">
        <v>0</v>
      </c>
      <c r="AA48" s="86">
        <v>0</v>
      </c>
      <c r="AB48" s="86">
        <v>0</v>
      </c>
      <c r="AD48" s="93">
        <f t="shared" si="21"/>
        <v>0</v>
      </c>
      <c r="AE48" s="93">
        <f t="shared" si="21"/>
        <v>0</v>
      </c>
      <c r="AF48" s="93">
        <f t="shared" si="21"/>
        <v>0</v>
      </c>
      <c r="AG48" s="93">
        <f t="shared" si="21"/>
        <v>0</v>
      </c>
      <c r="AH48" s="93">
        <f t="shared" si="21"/>
        <v>0</v>
      </c>
      <c r="AI48" s="93">
        <f t="shared" si="21"/>
        <v>0</v>
      </c>
      <c r="AJ48" s="93">
        <f t="shared" si="21"/>
        <v>0</v>
      </c>
      <c r="AK48" s="93">
        <f t="shared" si="21"/>
        <v>0</v>
      </c>
      <c r="AM48" s="93">
        <f t="shared" si="22"/>
        <v>0</v>
      </c>
      <c r="AN48" s="93">
        <f t="shared" si="22"/>
        <v>0</v>
      </c>
    </row>
    <row r="49" spans="1:40" outlineLevel="2" x14ac:dyDescent="0.2">
      <c r="A49" s="90" t="s">
        <v>595</v>
      </c>
      <c r="B49" s="77" t="s">
        <v>596</v>
      </c>
      <c r="C49" s="77"/>
      <c r="D49" s="77"/>
      <c r="E49" s="85">
        <v>0</v>
      </c>
      <c r="F49" s="85">
        <v>0</v>
      </c>
      <c r="G49" s="85">
        <v>0</v>
      </c>
      <c r="H49" s="85">
        <v>0</v>
      </c>
      <c r="I49" s="85">
        <v>0</v>
      </c>
      <c r="J49" s="85">
        <v>0</v>
      </c>
      <c r="K49" s="85">
        <v>0</v>
      </c>
      <c r="L49" s="85">
        <v>0</v>
      </c>
      <c r="M49" s="85">
        <v>0</v>
      </c>
      <c r="N49" s="85">
        <v>0</v>
      </c>
      <c r="O49" s="85">
        <v>0</v>
      </c>
      <c r="P49" s="85">
        <v>0</v>
      </c>
      <c r="Q49" s="86">
        <v>0</v>
      </c>
      <c r="R49" s="86">
        <v>0</v>
      </c>
      <c r="S49" s="86">
        <v>0</v>
      </c>
      <c r="T49" s="86">
        <v>0</v>
      </c>
      <c r="U49" s="86">
        <v>0</v>
      </c>
      <c r="V49" s="86">
        <v>0</v>
      </c>
      <c r="W49" s="86">
        <v>0</v>
      </c>
      <c r="X49" s="86">
        <v>0</v>
      </c>
      <c r="Y49" s="86">
        <v>0</v>
      </c>
      <c r="Z49" s="86">
        <v>0</v>
      </c>
      <c r="AA49" s="86">
        <v>0</v>
      </c>
      <c r="AB49" s="86">
        <v>0</v>
      </c>
      <c r="AD49" s="93">
        <f t="shared" si="21"/>
        <v>0</v>
      </c>
      <c r="AE49" s="93">
        <f t="shared" si="21"/>
        <v>0</v>
      </c>
      <c r="AF49" s="93">
        <f t="shared" si="21"/>
        <v>0</v>
      </c>
      <c r="AG49" s="93">
        <f t="shared" si="21"/>
        <v>0</v>
      </c>
      <c r="AH49" s="93">
        <f t="shared" si="21"/>
        <v>0</v>
      </c>
      <c r="AI49" s="93">
        <f t="shared" si="21"/>
        <v>0</v>
      </c>
      <c r="AJ49" s="93">
        <f t="shared" si="21"/>
        <v>0</v>
      </c>
      <c r="AK49" s="93">
        <f t="shared" si="21"/>
        <v>0</v>
      </c>
      <c r="AM49" s="93">
        <f t="shared" si="22"/>
        <v>0</v>
      </c>
      <c r="AN49" s="93">
        <f t="shared" si="22"/>
        <v>0</v>
      </c>
    </row>
    <row r="50" spans="1:40" outlineLevel="1" x14ac:dyDescent="0.2">
      <c r="A50" s="89" t="s">
        <v>597</v>
      </c>
      <c r="B50" s="77"/>
      <c r="C50" s="77"/>
      <c r="D50" s="77"/>
      <c r="E50" s="9">
        <f>SUM(E48:E49)</f>
        <v>0</v>
      </c>
      <c r="F50" s="9">
        <f t="shared" ref="F50:R50" si="23">SUM(F48:F49)</f>
        <v>0</v>
      </c>
      <c r="G50" s="9">
        <f t="shared" si="23"/>
        <v>0</v>
      </c>
      <c r="H50" s="9">
        <f t="shared" si="23"/>
        <v>0</v>
      </c>
      <c r="I50" s="9">
        <f t="shared" si="23"/>
        <v>0</v>
      </c>
      <c r="J50" s="9">
        <f t="shared" si="23"/>
        <v>0</v>
      </c>
      <c r="K50" s="9">
        <f t="shared" si="23"/>
        <v>0</v>
      </c>
      <c r="L50" s="9">
        <f t="shared" si="23"/>
        <v>0</v>
      </c>
      <c r="M50" s="9">
        <f t="shared" si="23"/>
        <v>0</v>
      </c>
      <c r="N50" s="9">
        <f t="shared" si="23"/>
        <v>0</v>
      </c>
      <c r="O50" s="9">
        <f t="shared" si="23"/>
        <v>0</v>
      </c>
      <c r="P50" s="9">
        <f t="shared" si="23"/>
        <v>0</v>
      </c>
      <c r="Q50" s="9">
        <f t="shared" si="23"/>
        <v>0</v>
      </c>
      <c r="R50" s="9">
        <f t="shared" si="23"/>
        <v>0</v>
      </c>
      <c r="S50" s="9">
        <f t="shared" ref="S50" si="24">SUM(S48:S49)</f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D50" s="94">
        <f t="shared" si="21"/>
        <v>0</v>
      </c>
      <c r="AE50" s="94">
        <f t="shared" si="21"/>
        <v>0</v>
      </c>
      <c r="AF50" s="94">
        <f t="shared" si="21"/>
        <v>0</v>
      </c>
      <c r="AG50" s="94">
        <f t="shared" si="21"/>
        <v>0</v>
      </c>
      <c r="AH50" s="94">
        <f t="shared" si="21"/>
        <v>0</v>
      </c>
      <c r="AI50" s="94">
        <f t="shared" si="21"/>
        <v>0</v>
      </c>
      <c r="AJ50" s="94">
        <f t="shared" si="21"/>
        <v>0</v>
      </c>
      <c r="AK50" s="94">
        <f t="shared" si="21"/>
        <v>0</v>
      </c>
      <c r="AM50" s="94">
        <f t="shared" si="22"/>
        <v>0</v>
      </c>
      <c r="AN50" s="94">
        <f t="shared" si="22"/>
        <v>0</v>
      </c>
    </row>
    <row r="51" spans="1:40" outlineLevel="1" x14ac:dyDescent="0.2">
      <c r="A51" s="89" t="s">
        <v>498</v>
      </c>
      <c r="B51" s="77" t="s">
        <v>499</v>
      </c>
      <c r="C51" s="77"/>
      <c r="D51" s="77"/>
      <c r="E51" s="85">
        <v>100166.33</v>
      </c>
      <c r="F51" s="85">
        <v>100166.33</v>
      </c>
      <c r="G51" s="85">
        <v>100166.33</v>
      </c>
      <c r="H51" s="85">
        <v>103105.01</v>
      </c>
      <c r="I51" s="85">
        <v>100166.33</v>
      </c>
      <c r="J51" s="85">
        <v>100166.33</v>
      </c>
      <c r="K51" s="85">
        <v>100430.33</v>
      </c>
      <c r="L51" s="85">
        <v>188745.58</v>
      </c>
      <c r="M51" s="85">
        <v>188745.58</v>
      </c>
      <c r="N51" s="85">
        <v>196102.78</v>
      </c>
      <c r="O51" s="85">
        <v>196102.78</v>
      </c>
      <c r="P51" s="85">
        <v>196102.78</v>
      </c>
      <c r="Q51" s="86">
        <v>203436.28</v>
      </c>
      <c r="R51" s="86">
        <v>203436.28</v>
      </c>
      <c r="S51" s="86">
        <v>347008.16</v>
      </c>
      <c r="T51" s="86">
        <v>347008.16</v>
      </c>
      <c r="U51" s="86">
        <v>347008.16</v>
      </c>
      <c r="V51" s="86">
        <v>372900.67</v>
      </c>
      <c r="W51" s="86">
        <v>389060.92</v>
      </c>
      <c r="X51" s="86">
        <v>389060.92</v>
      </c>
      <c r="Y51" s="86">
        <v>389060.92</v>
      </c>
      <c r="Z51" s="86">
        <v>408676.87</v>
      </c>
      <c r="AA51" s="86">
        <v>416371.79</v>
      </c>
      <c r="AB51" s="86">
        <v>418212.79</v>
      </c>
      <c r="AD51" s="93">
        <f t="shared" si="21"/>
        <v>100166.33</v>
      </c>
      <c r="AE51" s="93">
        <f t="shared" si="21"/>
        <v>100166.33</v>
      </c>
      <c r="AF51" s="93">
        <f t="shared" si="21"/>
        <v>188745.58</v>
      </c>
      <c r="AG51" s="93">
        <f t="shared" si="21"/>
        <v>196102.78</v>
      </c>
      <c r="AH51" s="93">
        <f t="shared" si="21"/>
        <v>347008.16</v>
      </c>
      <c r="AI51" s="93">
        <f t="shared" si="21"/>
        <v>372900.67</v>
      </c>
      <c r="AJ51" s="93">
        <f t="shared" si="21"/>
        <v>389060.92</v>
      </c>
      <c r="AK51" s="93">
        <f t="shared" si="21"/>
        <v>418212.79</v>
      </c>
      <c r="AM51" s="93">
        <f t="shared" si="22"/>
        <v>196102.78</v>
      </c>
      <c r="AN51" s="93">
        <f t="shared" si="22"/>
        <v>418212.79</v>
      </c>
    </row>
    <row r="52" spans="1:40" outlineLevel="1" x14ac:dyDescent="0.2">
      <c r="A52" s="89" t="s">
        <v>500</v>
      </c>
      <c r="B52" s="77" t="s">
        <v>501</v>
      </c>
      <c r="C52" s="77"/>
      <c r="D52" s="77"/>
      <c r="E52" s="85">
        <v>424784.81</v>
      </c>
      <c r="F52" s="85">
        <v>489185.02</v>
      </c>
      <c r="G52" s="85">
        <v>514491.16</v>
      </c>
      <c r="H52" s="85">
        <v>560861.06999999995</v>
      </c>
      <c r="I52" s="85">
        <v>593968.93999999994</v>
      </c>
      <c r="J52" s="85">
        <v>593968.93999999994</v>
      </c>
      <c r="K52" s="85">
        <v>614802.25</v>
      </c>
      <c r="L52" s="85">
        <v>629804.05000000005</v>
      </c>
      <c r="M52" s="85">
        <v>675698.54</v>
      </c>
      <c r="N52" s="85">
        <v>697268.07</v>
      </c>
      <c r="O52" s="85">
        <v>771144.53</v>
      </c>
      <c r="P52" s="85">
        <v>839081.98</v>
      </c>
      <c r="Q52" s="86">
        <v>862970.48</v>
      </c>
      <c r="R52" s="86">
        <v>862970.48</v>
      </c>
      <c r="S52" s="86">
        <v>783495.66</v>
      </c>
      <c r="T52" s="86">
        <v>836142.76</v>
      </c>
      <c r="U52" s="86">
        <v>878715.8</v>
      </c>
      <c r="V52" s="86">
        <v>847172.51</v>
      </c>
      <c r="W52" s="86">
        <v>760898.95</v>
      </c>
      <c r="X52" s="86">
        <v>788860.32</v>
      </c>
      <c r="Y52" s="86">
        <v>837609.18</v>
      </c>
      <c r="Z52" s="86">
        <v>853896.73</v>
      </c>
      <c r="AA52" s="86">
        <v>875380</v>
      </c>
      <c r="AB52" s="86">
        <v>894887.89</v>
      </c>
      <c r="AD52" s="93">
        <f t="shared" si="21"/>
        <v>514491.16</v>
      </c>
      <c r="AE52" s="93">
        <f t="shared" si="21"/>
        <v>593968.93999999994</v>
      </c>
      <c r="AF52" s="93">
        <f t="shared" si="21"/>
        <v>675698.54</v>
      </c>
      <c r="AG52" s="93">
        <f t="shared" si="21"/>
        <v>839081.98</v>
      </c>
      <c r="AH52" s="93">
        <f t="shared" si="21"/>
        <v>783495.66</v>
      </c>
      <c r="AI52" s="93">
        <f t="shared" si="21"/>
        <v>847172.51</v>
      </c>
      <c r="AJ52" s="93">
        <f t="shared" si="21"/>
        <v>837609.18</v>
      </c>
      <c r="AK52" s="93">
        <f t="shared" si="21"/>
        <v>894887.89</v>
      </c>
      <c r="AM52" s="93">
        <f t="shared" si="22"/>
        <v>839081.98</v>
      </c>
      <c r="AN52" s="93">
        <f t="shared" si="22"/>
        <v>894887.89</v>
      </c>
    </row>
    <row r="53" spans="1:40" outlineLevel="1" x14ac:dyDescent="0.2">
      <c r="A53" s="89" t="s">
        <v>502</v>
      </c>
      <c r="B53" s="77" t="s">
        <v>503</v>
      </c>
      <c r="C53" s="77"/>
      <c r="D53" s="77"/>
      <c r="E53" s="85">
        <v>-10343.540000000001</v>
      </c>
      <c r="F53" s="85">
        <v>-10934.48</v>
      </c>
      <c r="G53" s="85">
        <v>-11525.42</v>
      </c>
      <c r="H53" s="85">
        <v>-12116.36</v>
      </c>
      <c r="I53" s="85">
        <v>-12707.3</v>
      </c>
      <c r="J53" s="85">
        <v>-13298.24</v>
      </c>
      <c r="K53" s="85">
        <v>-13889.18</v>
      </c>
      <c r="L53" s="85">
        <v>-16203.44</v>
      </c>
      <c r="M53" s="85">
        <v>-17233.060000000001</v>
      </c>
      <c r="N53" s="85">
        <v>-18296.740000000002</v>
      </c>
      <c r="O53" s="85">
        <v>-19360.419999999998</v>
      </c>
      <c r="P53" s="85">
        <v>-20424.099999999999</v>
      </c>
      <c r="Q53" s="86">
        <v>-21521.11</v>
      </c>
      <c r="R53" s="86">
        <v>-22618.12</v>
      </c>
      <c r="S53" s="86">
        <v>-25924.38</v>
      </c>
      <c r="T53" s="86">
        <v>-27774.13</v>
      </c>
      <c r="U53" s="86">
        <v>-29623.88</v>
      </c>
      <c r="V53" s="86">
        <v>-31914.82</v>
      </c>
      <c r="W53" s="86">
        <v>-33913.47</v>
      </c>
      <c r="X53" s="86">
        <v>-35960.76</v>
      </c>
      <c r="Y53" s="86">
        <v>-38008.050000000003</v>
      </c>
      <c r="Z53" s="86">
        <v>-40150.11</v>
      </c>
      <c r="AA53" s="86">
        <v>-42330.45</v>
      </c>
      <c r="AB53" s="86">
        <v>-44510.79</v>
      </c>
      <c r="AD53" s="93">
        <f t="shared" si="21"/>
        <v>-11525.42</v>
      </c>
      <c r="AE53" s="93">
        <f t="shared" si="21"/>
        <v>-13298.24</v>
      </c>
      <c r="AF53" s="93">
        <f t="shared" si="21"/>
        <v>-17233.060000000001</v>
      </c>
      <c r="AG53" s="93">
        <f t="shared" si="21"/>
        <v>-20424.099999999999</v>
      </c>
      <c r="AH53" s="93">
        <f t="shared" si="21"/>
        <v>-25924.38</v>
      </c>
      <c r="AI53" s="93">
        <f t="shared" si="21"/>
        <v>-31914.82</v>
      </c>
      <c r="AJ53" s="93">
        <f t="shared" si="21"/>
        <v>-38008.050000000003</v>
      </c>
      <c r="AK53" s="93">
        <f t="shared" si="21"/>
        <v>-44510.79</v>
      </c>
      <c r="AM53" s="93">
        <f t="shared" si="22"/>
        <v>-20424.099999999999</v>
      </c>
      <c r="AN53" s="93">
        <f t="shared" si="22"/>
        <v>-44510.79</v>
      </c>
    </row>
    <row r="54" spans="1:40" outlineLevel="1" x14ac:dyDescent="0.2">
      <c r="A54" s="89" t="s">
        <v>504</v>
      </c>
      <c r="B54" s="77" t="s">
        <v>505</v>
      </c>
      <c r="C54" s="77"/>
      <c r="D54" s="77"/>
      <c r="E54" s="85">
        <v>53859</v>
      </c>
      <c r="F54" s="85">
        <v>53859</v>
      </c>
      <c r="G54" s="85">
        <v>53859</v>
      </c>
      <c r="H54" s="85">
        <v>53859</v>
      </c>
      <c r="I54" s="85">
        <v>0</v>
      </c>
      <c r="J54" s="85">
        <v>0</v>
      </c>
      <c r="K54" s="85">
        <v>0</v>
      </c>
      <c r="L54" s="85">
        <v>0</v>
      </c>
      <c r="M54" s="85">
        <v>0</v>
      </c>
      <c r="N54" s="85">
        <v>0</v>
      </c>
      <c r="O54" s="85">
        <v>0</v>
      </c>
      <c r="P54" s="85">
        <v>0</v>
      </c>
      <c r="Q54" s="86">
        <v>0</v>
      </c>
      <c r="R54" s="86">
        <v>0</v>
      </c>
      <c r="S54" s="86">
        <v>0</v>
      </c>
      <c r="T54" s="86">
        <v>0</v>
      </c>
      <c r="U54" s="86">
        <v>0</v>
      </c>
      <c r="V54" s="86">
        <v>0</v>
      </c>
      <c r="W54" s="86">
        <v>0</v>
      </c>
      <c r="X54" s="86">
        <v>0</v>
      </c>
      <c r="Y54" s="86">
        <v>0</v>
      </c>
      <c r="Z54" s="86">
        <v>0</v>
      </c>
      <c r="AA54" s="86">
        <v>0</v>
      </c>
      <c r="AB54" s="86">
        <v>0</v>
      </c>
      <c r="AD54" s="93">
        <f t="shared" si="21"/>
        <v>53859</v>
      </c>
      <c r="AE54" s="93">
        <f t="shared" si="21"/>
        <v>0</v>
      </c>
      <c r="AF54" s="93">
        <f t="shared" si="21"/>
        <v>0</v>
      </c>
      <c r="AG54" s="93">
        <f t="shared" si="21"/>
        <v>0</v>
      </c>
      <c r="AH54" s="93">
        <f t="shared" si="21"/>
        <v>0</v>
      </c>
      <c r="AI54" s="93">
        <f t="shared" si="21"/>
        <v>0</v>
      </c>
      <c r="AJ54" s="93">
        <f t="shared" si="21"/>
        <v>0</v>
      </c>
      <c r="AK54" s="93">
        <f t="shared" si="21"/>
        <v>0</v>
      </c>
      <c r="AM54" s="93">
        <f t="shared" si="22"/>
        <v>0</v>
      </c>
      <c r="AN54" s="93">
        <f t="shared" si="22"/>
        <v>0</v>
      </c>
    </row>
    <row r="55" spans="1:40" outlineLevel="1" x14ac:dyDescent="0.2">
      <c r="A55" s="89" t="s">
        <v>513</v>
      </c>
      <c r="B55" s="77" t="s">
        <v>514</v>
      </c>
      <c r="C55" s="77"/>
      <c r="D55" s="77"/>
      <c r="E55" s="85">
        <v>0</v>
      </c>
      <c r="F55" s="85">
        <v>0</v>
      </c>
      <c r="G55" s="85">
        <v>0</v>
      </c>
      <c r="H55" s="85">
        <v>0</v>
      </c>
      <c r="I55" s="85">
        <v>0</v>
      </c>
      <c r="J55" s="85">
        <v>0</v>
      </c>
      <c r="K55" s="85">
        <v>0</v>
      </c>
      <c r="L55" s="85">
        <v>0</v>
      </c>
      <c r="M55" s="85">
        <v>0</v>
      </c>
      <c r="N55" s="85">
        <v>0</v>
      </c>
      <c r="O55" s="85">
        <v>0</v>
      </c>
      <c r="P55" s="85">
        <v>0</v>
      </c>
      <c r="Q55" s="85">
        <v>0</v>
      </c>
      <c r="R55" s="86">
        <v>40312.879999999997</v>
      </c>
      <c r="S55" s="86">
        <v>46435.13</v>
      </c>
      <c r="T55" s="86">
        <v>46435.13</v>
      </c>
      <c r="U55" s="86">
        <v>46435.13</v>
      </c>
      <c r="V55" s="86">
        <v>46435.13</v>
      </c>
      <c r="W55" s="86">
        <v>46435.13</v>
      </c>
      <c r="X55" s="86">
        <v>46435.13</v>
      </c>
      <c r="Y55" s="86">
        <v>46435.13</v>
      </c>
      <c r="Z55" s="86">
        <v>46435.13</v>
      </c>
      <c r="AA55" s="86">
        <v>46435.13</v>
      </c>
      <c r="AB55" s="86">
        <v>46435.13</v>
      </c>
      <c r="AD55" s="93">
        <f t="shared" si="21"/>
        <v>0</v>
      </c>
      <c r="AE55" s="93">
        <f t="shared" si="21"/>
        <v>0</v>
      </c>
      <c r="AF55" s="93">
        <f t="shared" si="21"/>
        <v>0</v>
      </c>
      <c r="AG55" s="93">
        <f t="shared" si="21"/>
        <v>0</v>
      </c>
      <c r="AH55" s="93">
        <f t="shared" si="21"/>
        <v>46435.13</v>
      </c>
      <c r="AI55" s="93">
        <f t="shared" si="21"/>
        <v>46435.13</v>
      </c>
      <c r="AJ55" s="93">
        <f t="shared" si="21"/>
        <v>46435.13</v>
      </c>
      <c r="AK55" s="93">
        <f t="shared" si="21"/>
        <v>46435.13</v>
      </c>
      <c r="AM55" s="93">
        <f t="shared" si="22"/>
        <v>0</v>
      </c>
      <c r="AN55" s="93">
        <f t="shared" si="22"/>
        <v>46435.13</v>
      </c>
    </row>
    <row r="56" spans="1:40" outlineLevel="1" x14ac:dyDescent="0.2">
      <c r="A56" s="89" t="s">
        <v>598</v>
      </c>
      <c r="B56" s="77">
        <v>1961</v>
      </c>
      <c r="C56" s="77"/>
      <c r="D56" s="77"/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6">
        <v>0</v>
      </c>
      <c r="U56" s="86">
        <v>-2381.29</v>
      </c>
      <c r="V56" s="86">
        <v>-3571.93</v>
      </c>
      <c r="W56" s="86">
        <v>-4762.57</v>
      </c>
      <c r="X56" s="86">
        <v>-5953.21</v>
      </c>
      <c r="Y56" s="86">
        <v>-7143.85</v>
      </c>
      <c r="Z56" s="86">
        <v>-8334.49</v>
      </c>
      <c r="AA56" s="86">
        <v>-9525.1299999999992</v>
      </c>
      <c r="AB56" s="86">
        <v>-10715.77</v>
      </c>
      <c r="AD56" s="93">
        <f t="shared" si="21"/>
        <v>0</v>
      </c>
      <c r="AE56" s="93">
        <f t="shared" si="21"/>
        <v>0</v>
      </c>
      <c r="AF56" s="93">
        <f t="shared" si="21"/>
        <v>0</v>
      </c>
      <c r="AG56" s="93">
        <f t="shared" si="21"/>
        <v>0</v>
      </c>
      <c r="AH56" s="93">
        <f t="shared" si="21"/>
        <v>0</v>
      </c>
      <c r="AI56" s="93">
        <f t="shared" si="21"/>
        <v>-3571.93</v>
      </c>
      <c r="AJ56" s="93">
        <f t="shared" si="21"/>
        <v>-7143.85</v>
      </c>
      <c r="AK56" s="93">
        <f t="shared" si="21"/>
        <v>-10715.77</v>
      </c>
      <c r="AM56" s="93">
        <f t="shared" si="22"/>
        <v>0</v>
      </c>
      <c r="AN56" s="93">
        <f t="shared" si="22"/>
        <v>-10715.77</v>
      </c>
    </row>
    <row r="57" spans="1:40" outlineLevel="1" x14ac:dyDescent="0.2">
      <c r="A57" s="89" t="s">
        <v>516</v>
      </c>
      <c r="B57" s="77" t="s">
        <v>517</v>
      </c>
      <c r="C57" s="77"/>
      <c r="D57" s="77"/>
      <c r="E57" s="85">
        <v>0</v>
      </c>
      <c r="F57" s="85">
        <v>0</v>
      </c>
      <c r="G57" s="85">
        <v>0</v>
      </c>
      <c r="H57" s="85">
        <v>400000</v>
      </c>
      <c r="I57" s="85">
        <v>400000</v>
      </c>
      <c r="J57" s="85">
        <v>400000</v>
      </c>
      <c r="K57" s="85">
        <v>400000</v>
      </c>
      <c r="L57" s="85">
        <v>400000</v>
      </c>
      <c r="M57" s="85">
        <v>400000</v>
      </c>
      <c r="N57" s="85">
        <v>400000</v>
      </c>
      <c r="O57" s="85">
        <v>400000</v>
      </c>
      <c r="P57" s="85">
        <v>400000</v>
      </c>
      <c r="Q57" s="86">
        <v>400000</v>
      </c>
      <c r="R57" s="86">
        <v>400000</v>
      </c>
      <c r="S57" s="86">
        <v>400000</v>
      </c>
      <c r="T57" s="86">
        <v>783988</v>
      </c>
      <c r="U57" s="86">
        <v>783988</v>
      </c>
      <c r="V57" s="86">
        <v>783988</v>
      </c>
      <c r="W57" s="86">
        <v>783988</v>
      </c>
      <c r="X57" s="86">
        <v>783988</v>
      </c>
      <c r="Y57" s="86">
        <v>783988</v>
      </c>
      <c r="Z57" s="86">
        <v>0</v>
      </c>
      <c r="AA57" s="86">
        <v>0</v>
      </c>
      <c r="AB57" s="86">
        <v>0</v>
      </c>
      <c r="AD57" s="93">
        <f t="shared" ref="AD57:AK66" si="25">INDEX($E57:$AB57,MATCH(AD$5,$E$5:$AB$5,0))</f>
        <v>0</v>
      </c>
      <c r="AE57" s="93">
        <f t="shared" si="25"/>
        <v>400000</v>
      </c>
      <c r="AF57" s="93">
        <f t="shared" si="25"/>
        <v>400000</v>
      </c>
      <c r="AG57" s="93">
        <f t="shared" si="25"/>
        <v>400000</v>
      </c>
      <c r="AH57" s="93">
        <f t="shared" si="25"/>
        <v>400000</v>
      </c>
      <c r="AI57" s="93">
        <f t="shared" si="25"/>
        <v>783988</v>
      </c>
      <c r="AJ57" s="93">
        <f t="shared" si="25"/>
        <v>783988</v>
      </c>
      <c r="AK57" s="93">
        <f t="shared" si="25"/>
        <v>0</v>
      </c>
      <c r="AM57" s="93">
        <f t="shared" si="22"/>
        <v>400000</v>
      </c>
      <c r="AN57" s="93">
        <f t="shared" si="22"/>
        <v>0</v>
      </c>
    </row>
    <row r="58" spans="1:40" x14ac:dyDescent="0.2">
      <c r="A58" s="88" t="s">
        <v>599</v>
      </c>
      <c r="B58" s="77"/>
      <c r="C58" s="77"/>
      <c r="D58" s="77"/>
      <c r="E58" s="9">
        <f>SUM(E46:E47,E50:E57)</f>
        <v>569466.60000000009</v>
      </c>
      <c r="F58" s="9">
        <f t="shared" ref="F58:R58" si="26">SUM(F46:F47,F50:F57)</f>
        <v>632275.87</v>
      </c>
      <c r="G58" s="9">
        <f t="shared" si="26"/>
        <v>669240.6399999999</v>
      </c>
      <c r="H58" s="9">
        <f t="shared" si="26"/>
        <v>1117958.29</v>
      </c>
      <c r="I58" s="9">
        <f t="shared" si="26"/>
        <v>1093677.54</v>
      </c>
      <c r="J58" s="9">
        <f t="shared" si="26"/>
        <v>1093086.6000000001</v>
      </c>
      <c r="K58" s="9">
        <f t="shared" si="26"/>
        <v>1113592.97</v>
      </c>
      <c r="L58" s="9">
        <f t="shared" si="26"/>
        <v>1214595.7600000002</v>
      </c>
      <c r="M58" s="9">
        <f t="shared" si="26"/>
        <v>1279460.6299999999</v>
      </c>
      <c r="N58" s="9">
        <f t="shared" si="26"/>
        <v>1307323.68</v>
      </c>
      <c r="O58" s="9">
        <f t="shared" si="26"/>
        <v>1380136.46</v>
      </c>
      <c r="P58" s="9">
        <f t="shared" si="26"/>
        <v>1447010.23</v>
      </c>
      <c r="Q58" s="9">
        <f t="shared" si="26"/>
        <v>1477135.22</v>
      </c>
      <c r="R58" s="9">
        <f t="shared" si="26"/>
        <v>1526157.0899999999</v>
      </c>
      <c r="S58" s="9">
        <f t="shared" ref="S58" si="27">SUM(S46:S47,S50:S57)</f>
        <v>1593070.1400000001</v>
      </c>
      <c r="T58" s="9">
        <v>2012952.49</v>
      </c>
      <c r="U58" s="9">
        <v>2039044.92</v>
      </c>
      <c r="V58" s="9">
        <v>2029912.5599999998</v>
      </c>
      <c r="W58" s="9">
        <v>1956609.9599999997</v>
      </c>
      <c r="X58" s="9">
        <v>1981333.4</v>
      </c>
      <c r="Y58" s="9">
        <v>2026844.3299999998</v>
      </c>
      <c r="Z58" s="9">
        <v>1275427.1299999999</v>
      </c>
      <c r="AA58" s="9">
        <v>1301234.3400000001</v>
      </c>
      <c r="AB58" s="9">
        <v>1319212.2499999998</v>
      </c>
      <c r="AD58" s="94">
        <f t="shared" si="25"/>
        <v>669240.6399999999</v>
      </c>
      <c r="AE58" s="94">
        <f t="shared" si="25"/>
        <v>1093086.6000000001</v>
      </c>
      <c r="AF58" s="94">
        <f t="shared" si="25"/>
        <v>1279460.6299999999</v>
      </c>
      <c r="AG58" s="94">
        <f t="shared" si="25"/>
        <v>1447010.23</v>
      </c>
      <c r="AH58" s="94">
        <f t="shared" si="25"/>
        <v>1593070.1400000001</v>
      </c>
      <c r="AI58" s="94">
        <f t="shared" si="25"/>
        <v>2029912.5599999998</v>
      </c>
      <c r="AJ58" s="94">
        <f t="shared" si="25"/>
        <v>2026844.3299999998</v>
      </c>
      <c r="AK58" s="94">
        <f t="shared" si="25"/>
        <v>1319212.2499999998</v>
      </c>
      <c r="AM58" s="94">
        <f t="shared" si="22"/>
        <v>1447010.23</v>
      </c>
      <c r="AN58" s="94">
        <f t="shared" si="22"/>
        <v>1319212.2499999998</v>
      </c>
    </row>
    <row r="59" spans="1:40" x14ac:dyDescent="0.2">
      <c r="A59" s="7" t="s">
        <v>600</v>
      </c>
      <c r="B59" s="77"/>
      <c r="C59" s="77"/>
      <c r="D59" s="77"/>
      <c r="E59" s="9">
        <f>SUM(E36,E44,E58)</f>
        <v>12785947.780000001</v>
      </c>
      <c r="F59" s="9">
        <f t="shared" ref="F59:R59" si="28">SUM(F36,F44,F58)</f>
        <v>11959718.5</v>
      </c>
      <c r="G59" s="9">
        <f t="shared" si="28"/>
        <v>17184418.699999999</v>
      </c>
      <c r="H59" s="9">
        <f t="shared" si="28"/>
        <v>19496090.59</v>
      </c>
      <c r="I59" s="9">
        <f t="shared" si="28"/>
        <v>20319967.98</v>
      </c>
      <c r="J59" s="9">
        <f t="shared" si="28"/>
        <v>19491075.870000001</v>
      </c>
      <c r="K59" s="9">
        <f t="shared" si="28"/>
        <v>18445912.5</v>
      </c>
      <c r="L59" s="9">
        <f t="shared" si="28"/>
        <v>17531351.380000003</v>
      </c>
      <c r="M59" s="9">
        <f t="shared" si="28"/>
        <v>16328251.800000001</v>
      </c>
      <c r="N59" s="9">
        <f t="shared" si="28"/>
        <v>13862401.66</v>
      </c>
      <c r="O59" s="9">
        <f t="shared" si="28"/>
        <v>11909937.530000001</v>
      </c>
      <c r="P59" s="9">
        <f t="shared" si="28"/>
        <v>10548250.999999998</v>
      </c>
      <c r="Q59" s="9">
        <f t="shared" si="28"/>
        <v>9653718.2100000009</v>
      </c>
      <c r="R59" s="9">
        <f t="shared" si="28"/>
        <v>16162568.910000002</v>
      </c>
      <c r="S59" s="9">
        <f t="shared" ref="S59" si="29">SUM(S36,S44,S58)</f>
        <v>14825907.83</v>
      </c>
      <c r="T59" s="9">
        <v>15032785.299999999</v>
      </c>
      <c r="U59" s="9">
        <v>15583043.01</v>
      </c>
      <c r="V59" s="9">
        <v>14327930.23</v>
      </c>
      <c r="W59" s="9">
        <v>13247855.58</v>
      </c>
      <c r="X59" s="9">
        <v>11710143.17</v>
      </c>
      <c r="Y59" s="9">
        <v>10495904.35</v>
      </c>
      <c r="Z59" s="9">
        <v>8595318.0099999979</v>
      </c>
      <c r="AA59" s="9">
        <v>7675631.1999999993</v>
      </c>
      <c r="AB59" s="9">
        <v>7033230.8200000003</v>
      </c>
      <c r="AD59" s="94">
        <f t="shared" si="25"/>
        <v>17184418.699999999</v>
      </c>
      <c r="AE59" s="94">
        <f t="shared" si="25"/>
        <v>19491075.870000001</v>
      </c>
      <c r="AF59" s="94">
        <f t="shared" si="25"/>
        <v>16328251.800000001</v>
      </c>
      <c r="AG59" s="94">
        <f t="shared" si="25"/>
        <v>10548250.999999998</v>
      </c>
      <c r="AH59" s="94">
        <f t="shared" si="25"/>
        <v>14825907.83</v>
      </c>
      <c r="AI59" s="94">
        <f t="shared" si="25"/>
        <v>14327930.23</v>
      </c>
      <c r="AJ59" s="94">
        <f t="shared" si="25"/>
        <v>10495904.35</v>
      </c>
      <c r="AK59" s="94">
        <f t="shared" si="25"/>
        <v>7033230.8200000003</v>
      </c>
      <c r="AM59" s="94">
        <f t="shared" si="22"/>
        <v>10548250.999999998</v>
      </c>
      <c r="AN59" s="94">
        <f t="shared" si="22"/>
        <v>7033230.8200000003</v>
      </c>
    </row>
    <row r="60" spans="1:40" x14ac:dyDescent="0.2">
      <c r="A60" s="7" t="s">
        <v>601</v>
      </c>
      <c r="B60" s="77"/>
      <c r="C60" s="77"/>
      <c r="D60" s="77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D60" s="52">
        <f t="shared" si="25"/>
        <v>0</v>
      </c>
      <c r="AE60" s="52">
        <f t="shared" si="25"/>
        <v>0</v>
      </c>
      <c r="AF60" s="52">
        <f t="shared" si="25"/>
        <v>0</v>
      </c>
      <c r="AG60" s="52">
        <f t="shared" si="25"/>
        <v>0</v>
      </c>
      <c r="AH60" s="52">
        <f t="shared" si="25"/>
        <v>0</v>
      </c>
      <c r="AI60" s="52">
        <f t="shared" si="25"/>
        <v>0</v>
      </c>
      <c r="AJ60" s="52">
        <f t="shared" si="25"/>
        <v>0</v>
      </c>
      <c r="AK60" s="52">
        <f t="shared" si="25"/>
        <v>0</v>
      </c>
      <c r="AM60" s="52">
        <f t="shared" si="22"/>
        <v>0</v>
      </c>
      <c r="AN60" s="52">
        <f t="shared" si="22"/>
        <v>0</v>
      </c>
    </row>
    <row r="61" spans="1:40" x14ac:dyDescent="0.2">
      <c r="A61" s="88" t="s">
        <v>602</v>
      </c>
      <c r="B61" s="77"/>
      <c r="C61" s="77"/>
      <c r="D61" s="77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D61" s="52">
        <f t="shared" si="25"/>
        <v>0</v>
      </c>
      <c r="AE61" s="52">
        <f t="shared" si="25"/>
        <v>0</v>
      </c>
      <c r="AF61" s="52">
        <f t="shared" si="25"/>
        <v>0</v>
      </c>
      <c r="AG61" s="52">
        <f t="shared" si="25"/>
        <v>0</v>
      </c>
      <c r="AH61" s="52">
        <f t="shared" si="25"/>
        <v>0</v>
      </c>
      <c r="AI61" s="52">
        <f t="shared" si="25"/>
        <v>0</v>
      </c>
      <c r="AJ61" s="52">
        <f t="shared" si="25"/>
        <v>0</v>
      </c>
      <c r="AK61" s="52">
        <f t="shared" si="25"/>
        <v>0</v>
      </c>
      <c r="AM61" s="52">
        <f t="shared" si="22"/>
        <v>0</v>
      </c>
      <c r="AN61" s="52">
        <f t="shared" si="22"/>
        <v>0</v>
      </c>
    </row>
    <row r="62" spans="1:40" outlineLevel="1" x14ac:dyDescent="0.2">
      <c r="A62" s="89" t="s">
        <v>603</v>
      </c>
      <c r="B62" s="77"/>
      <c r="C62" s="77"/>
      <c r="D62" s="77"/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D62" s="52">
        <f t="shared" si="25"/>
        <v>0</v>
      </c>
      <c r="AE62" s="52">
        <f t="shared" si="25"/>
        <v>0</v>
      </c>
      <c r="AF62" s="52">
        <f t="shared" si="25"/>
        <v>0</v>
      </c>
      <c r="AG62" s="52">
        <f t="shared" si="25"/>
        <v>0</v>
      </c>
      <c r="AH62" s="52">
        <f t="shared" si="25"/>
        <v>0</v>
      </c>
      <c r="AI62" s="52">
        <f t="shared" si="25"/>
        <v>0</v>
      </c>
      <c r="AJ62" s="52">
        <f t="shared" si="25"/>
        <v>0</v>
      </c>
      <c r="AK62" s="52">
        <f t="shared" si="25"/>
        <v>0</v>
      </c>
      <c r="AM62" s="52">
        <f t="shared" si="22"/>
        <v>0</v>
      </c>
      <c r="AN62" s="52">
        <f t="shared" si="22"/>
        <v>0</v>
      </c>
    </row>
    <row r="63" spans="1:40" outlineLevel="2" x14ac:dyDescent="0.2">
      <c r="A63" s="90" t="s">
        <v>604</v>
      </c>
      <c r="B63" s="77"/>
      <c r="C63" s="77"/>
      <c r="D63" s="77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D63" s="52">
        <f t="shared" si="25"/>
        <v>0</v>
      </c>
      <c r="AE63" s="52">
        <f t="shared" si="25"/>
        <v>0</v>
      </c>
      <c r="AF63" s="52">
        <f t="shared" si="25"/>
        <v>0</v>
      </c>
      <c r="AG63" s="52">
        <f t="shared" si="25"/>
        <v>0</v>
      </c>
      <c r="AH63" s="52">
        <f t="shared" si="25"/>
        <v>0</v>
      </c>
      <c r="AI63" s="52">
        <f t="shared" si="25"/>
        <v>0</v>
      </c>
      <c r="AJ63" s="52">
        <f t="shared" si="25"/>
        <v>0</v>
      </c>
      <c r="AK63" s="52">
        <f t="shared" si="25"/>
        <v>0</v>
      </c>
      <c r="AM63" s="52">
        <f t="shared" si="22"/>
        <v>0</v>
      </c>
      <c r="AN63" s="52">
        <f t="shared" si="22"/>
        <v>0</v>
      </c>
    </row>
    <row r="64" spans="1:40" outlineLevel="3" x14ac:dyDescent="0.2">
      <c r="A64" s="91" t="s">
        <v>477</v>
      </c>
      <c r="B64" s="77" t="s">
        <v>478</v>
      </c>
      <c r="C64" s="77"/>
      <c r="D64" s="77"/>
      <c r="E64" s="85">
        <v>428256.89</v>
      </c>
      <c r="F64" s="85">
        <v>189804.18</v>
      </c>
      <c r="G64" s="85">
        <v>65460.800000000003</v>
      </c>
      <c r="H64" s="85">
        <v>498555.47</v>
      </c>
      <c r="I64" s="85">
        <v>292235.03999999998</v>
      </c>
      <c r="J64" s="85">
        <v>216372.81</v>
      </c>
      <c r="K64" s="85">
        <v>511879.26</v>
      </c>
      <c r="L64" s="85">
        <v>725398.84</v>
      </c>
      <c r="M64" s="85">
        <v>2041070.27</v>
      </c>
      <c r="N64" s="85">
        <v>732992.94</v>
      </c>
      <c r="O64" s="85">
        <v>1313498.81</v>
      </c>
      <c r="P64" s="85">
        <v>852400.21</v>
      </c>
      <c r="Q64" s="86">
        <v>5502354.3700000001</v>
      </c>
      <c r="R64" s="86">
        <v>4744130.2</v>
      </c>
      <c r="S64" s="86">
        <v>2440143.13</v>
      </c>
      <c r="T64" s="86">
        <v>774349.42</v>
      </c>
      <c r="U64" s="86">
        <v>246631.83</v>
      </c>
      <c r="V64" s="86">
        <v>404035.53</v>
      </c>
      <c r="W64" s="86">
        <v>572539.82999999996</v>
      </c>
      <c r="X64" s="86">
        <v>94623.23</v>
      </c>
      <c r="Y64" s="86">
        <v>7070.25</v>
      </c>
      <c r="Z64" s="86">
        <v>0</v>
      </c>
      <c r="AA64" s="86">
        <v>0</v>
      </c>
      <c r="AB64" s="86">
        <v>0</v>
      </c>
      <c r="AD64" s="93">
        <f t="shared" si="25"/>
        <v>65460.800000000003</v>
      </c>
      <c r="AE64" s="93">
        <f t="shared" si="25"/>
        <v>216372.81</v>
      </c>
      <c r="AF64" s="93">
        <f t="shared" si="25"/>
        <v>2041070.27</v>
      </c>
      <c r="AG64" s="93">
        <f t="shared" si="25"/>
        <v>852400.21</v>
      </c>
      <c r="AH64" s="93">
        <f t="shared" si="25"/>
        <v>2440143.13</v>
      </c>
      <c r="AI64" s="93">
        <f t="shared" si="25"/>
        <v>404035.53</v>
      </c>
      <c r="AJ64" s="93">
        <f t="shared" si="25"/>
        <v>7070.25</v>
      </c>
      <c r="AK64" s="93">
        <f t="shared" si="25"/>
        <v>0</v>
      </c>
      <c r="AM64" s="93">
        <f t="shared" si="22"/>
        <v>852400.21</v>
      </c>
      <c r="AN64" s="93">
        <f t="shared" si="22"/>
        <v>0</v>
      </c>
    </row>
    <row r="65" spans="1:40" outlineLevel="3" x14ac:dyDescent="0.2">
      <c r="A65" s="92" t="s">
        <v>605</v>
      </c>
      <c r="B65" s="77" t="s">
        <v>606</v>
      </c>
      <c r="C65" s="77"/>
      <c r="D65" s="77"/>
      <c r="E65" s="85">
        <v>0</v>
      </c>
      <c r="F65" s="85">
        <v>0</v>
      </c>
      <c r="G65" s="85">
        <v>0</v>
      </c>
      <c r="H65" s="85">
        <v>0</v>
      </c>
      <c r="I65" s="85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0</v>
      </c>
      <c r="P65" s="85">
        <v>0</v>
      </c>
      <c r="Q65" s="86">
        <v>0</v>
      </c>
      <c r="R65" s="86">
        <v>0</v>
      </c>
      <c r="S65" s="86">
        <v>0</v>
      </c>
      <c r="T65" s="86">
        <v>0</v>
      </c>
      <c r="U65" s="86">
        <v>0</v>
      </c>
      <c r="V65" s="86">
        <v>0</v>
      </c>
      <c r="W65" s="86">
        <v>0</v>
      </c>
      <c r="X65" s="86">
        <v>0</v>
      </c>
      <c r="Y65" s="86">
        <v>427551.78</v>
      </c>
      <c r="Z65" s="86">
        <v>233655.83</v>
      </c>
      <c r="AA65" s="86">
        <v>355275.39</v>
      </c>
      <c r="AB65" s="86">
        <v>210135.05</v>
      </c>
      <c r="AD65" s="93">
        <f t="shared" si="25"/>
        <v>0</v>
      </c>
      <c r="AE65" s="93">
        <f t="shared" si="25"/>
        <v>0</v>
      </c>
      <c r="AF65" s="93">
        <f t="shared" si="25"/>
        <v>0</v>
      </c>
      <c r="AG65" s="93">
        <f t="shared" si="25"/>
        <v>0</v>
      </c>
      <c r="AH65" s="93">
        <f t="shared" si="25"/>
        <v>0</v>
      </c>
      <c r="AI65" s="93">
        <f t="shared" si="25"/>
        <v>0</v>
      </c>
      <c r="AJ65" s="93">
        <f t="shared" si="25"/>
        <v>427551.78</v>
      </c>
      <c r="AK65" s="93">
        <f t="shared" si="25"/>
        <v>210135.05</v>
      </c>
      <c r="AM65" s="93">
        <f t="shared" si="22"/>
        <v>0</v>
      </c>
      <c r="AN65" s="93">
        <f t="shared" si="22"/>
        <v>210135.05</v>
      </c>
    </row>
    <row r="66" spans="1:40" outlineLevel="3" x14ac:dyDescent="0.2">
      <c r="A66" s="92" t="s">
        <v>607</v>
      </c>
      <c r="B66" s="77">
        <v>2120</v>
      </c>
      <c r="C66" s="77"/>
      <c r="D66" s="77"/>
      <c r="E66" s="85">
        <v>0</v>
      </c>
      <c r="F66" s="85">
        <v>0</v>
      </c>
      <c r="G66" s="85">
        <v>0</v>
      </c>
      <c r="H66" s="85">
        <v>0</v>
      </c>
      <c r="I66" s="85">
        <v>0</v>
      </c>
      <c r="J66" s="85">
        <v>0</v>
      </c>
      <c r="K66" s="85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6">
        <v>0</v>
      </c>
      <c r="R66" s="86">
        <v>0</v>
      </c>
      <c r="S66" s="86">
        <v>0</v>
      </c>
      <c r="T66" s="86">
        <v>0</v>
      </c>
      <c r="U66" s="86">
        <v>0</v>
      </c>
      <c r="V66" s="86">
        <v>0</v>
      </c>
      <c r="W66" s="86">
        <v>0</v>
      </c>
      <c r="X66" s="86">
        <v>0</v>
      </c>
      <c r="Y66" s="86">
        <v>0</v>
      </c>
      <c r="Z66" s="86">
        <v>0</v>
      </c>
      <c r="AA66" s="86">
        <v>0</v>
      </c>
      <c r="AB66" s="86">
        <v>0</v>
      </c>
      <c r="AD66" s="93">
        <f t="shared" si="25"/>
        <v>0</v>
      </c>
      <c r="AE66" s="93">
        <f t="shared" si="25"/>
        <v>0</v>
      </c>
      <c r="AF66" s="93">
        <f t="shared" si="25"/>
        <v>0</v>
      </c>
      <c r="AG66" s="93">
        <f t="shared" si="25"/>
        <v>0</v>
      </c>
      <c r="AH66" s="93">
        <f t="shared" si="25"/>
        <v>0</v>
      </c>
      <c r="AI66" s="93">
        <f t="shared" si="25"/>
        <v>0</v>
      </c>
      <c r="AJ66" s="93">
        <f t="shared" si="25"/>
        <v>0</v>
      </c>
      <c r="AK66" s="93">
        <f t="shared" si="25"/>
        <v>0</v>
      </c>
      <c r="AM66" s="93">
        <f t="shared" si="22"/>
        <v>0</v>
      </c>
      <c r="AN66" s="93">
        <f t="shared" si="22"/>
        <v>0</v>
      </c>
    </row>
    <row r="67" spans="1:40" outlineLevel="3" x14ac:dyDescent="0.2">
      <c r="A67" s="92" t="s">
        <v>608</v>
      </c>
      <c r="B67" s="77">
        <v>2140</v>
      </c>
      <c r="C67" s="77"/>
      <c r="D67" s="77"/>
      <c r="E67" s="85">
        <v>0</v>
      </c>
      <c r="F67" s="85">
        <v>0</v>
      </c>
      <c r="G67" s="85">
        <v>0</v>
      </c>
      <c r="H67" s="85">
        <v>0</v>
      </c>
      <c r="I67" s="85">
        <v>0</v>
      </c>
      <c r="J67" s="85">
        <v>0</v>
      </c>
      <c r="K67" s="85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6">
        <v>0</v>
      </c>
      <c r="R67" s="86">
        <v>0</v>
      </c>
      <c r="S67" s="86">
        <v>0</v>
      </c>
      <c r="T67" s="86">
        <v>0</v>
      </c>
      <c r="U67" s="86">
        <v>0</v>
      </c>
      <c r="V67" s="86">
        <v>0</v>
      </c>
      <c r="W67" s="86">
        <v>0</v>
      </c>
      <c r="X67" s="86">
        <v>21580.78</v>
      </c>
      <c r="Y67" s="86">
        <v>18961.740000000002</v>
      </c>
      <c r="Z67" s="86">
        <v>17469.45</v>
      </c>
      <c r="AA67" s="86">
        <v>14289.35</v>
      </c>
      <c r="AB67" s="86">
        <v>5952.18</v>
      </c>
      <c r="AD67" s="93">
        <f t="shared" ref="AD67:AK73" si="30">INDEX($E67:$AB67,MATCH(AD$5,$E$5:$AB$5,0))</f>
        <v>0</v>
      </c>
      <c r="AE67" s="93">
        <f t="shared" si="30"/>
        <v>0</v>
      </c>
      <c r="AF67" s="93">
        <f t="shared" si="30"/>
        <v>0</v>
      </c>
      <c r="AG67" s="93">
        <f t="shared" si="30"/>
        <v>0</v>
      </c>
      <c r="AH67" s="93">
        <f t="shared" si="30"/>
        <v>0</v>
      </c>
      <c r="AI67" s="93">
        <f t="shared" si="30"/>
        <v>0</v>
      </c>
      <c r="AJ67" s="93">
        <f t="shared" si="30"/>
        <v>18961.740000000002</v>
      </c>
      <c r="AK67" s="93">
        <f t="shared" si="30"/>
        <v>5952.18</v>
      </c>
      <c r="AM67" s="93">
        <f t="shared" ref="AM67:AN73" si="31">INDEX($E67:$AB67,MATCH(AM$5,$E$5:$AB$5,0))</f>
        <v>0</v>
      </c>
      <c r="AN67" s="93">
        <f t="shared" si="31"/>
        <v>5952.18</v>
      </c>
    </row>
    <row r="68" spans="1:40" outlineLevel="2" x14ac:dyDescent="0.2">
      <c r="A68" s="91" t="s">
        <v>609</v>
      </c>
      <c r="B68" s="77"/>
      <c r="C68" s="77"/>
      <c r="D68" s="77"/>
      <c r="E68" s="9">
        <f>SUM(E64:E67)</f>
        <v>428256.89</v>
      </c>
      <c r="F68" s="9">
        <f t="shared" ref="F68:AB68" si="32">SUM(F64:F67)</f>
        <v>189804.18</v>
      </c>
      <c r="G68" s="9">
        <f t="shared" si="32"/>
        <v>65460.800000000003</v>
      </c>
      <c r="H68" s="9">
        <f t="shared" si="32"/>
        <v>498555.47</v>
      </c>
      <c r="I68" s="9">
        <f t="shared" si="32"/>
        <v>292235.03999999998</v>
      </c>
      <c r="J68" s="9">
        <f t="shared" si="32"/>
        <v>216372.81</v>
      </c>
      <c r="K68" s="9">
        <f t="shared" si="32"/>
        <v>511879.26</v>
      </c>
      <c r="L68" s="9">
        <f t="shared" si="32"/>
        <v>725398.84</v>
      </c>
      <c r="M68" s="9">
        <f t="shared" si="32"/>
        <v>2041070.27</v>
      </c>
      <c r="N68" s="9">
        <f t="shared" si="32"/>
        <v>732992.94</v>
      </c>
      <c r="O68" s="9">
        <f t="shared" si="32"/>
        <v>1313498.81</v>
      </c>
      <c r="P68" s="9">
        <f t="shared" si="32"/>
        <v>852400.21</v>
      </c>
      <c r="Q68" s="9">
        <f t="shared" si="32"/>
        <v>5502354.3700000001</v>
      </c>
      <c r="R68" s="9">
        <f t="shared" si="32"/>
        <v>4744130.2</v>
      </c>
      <c r="S68" s="9">
        <f t="shared" si="32"/>
        <v>2440143.13</v>
      </c>
      <c r="T68" s="9">
        <f t="shared" si="32"/>
        <v>774349.42</v>
      </c>
      <c r="U68" s="9">
        <f t="shared" si="32"/>
        <v>246631.83</v>
      </c>
      <c r="V68" s="9">
        <f t="shared" si="32"/>
        <v>404035.53</v>
      </c>
      <c r="W68" s="9">
        <f t="shared" si="32"/>
        <v>572539.82999999996</v>
      </c>
      <c r="X68" s="9">
        <f t="shared" si="32"/>
        <v>116204.01</v>
      </c>
      <c r="Y68" s="9">
        <f t="shared" si="32"/>
        <v>453583.77</v>
      </c>
      <c r="Z68" s="9">
        <f t="shared" si="32"/>
        <v>251125.28</v>
      </c>
      <c r="AA68" s="9">
        <f t="shared" si="32"/>
        <v>369564.74</v>
      </c>
      <c r="AB68" s="9">
        <f t="shared" si="32"/>
        <v>216087.22999999998</v>
      </c>
      <c r="AD68" s="94">
        <f t="shared" si="30"/>
        <v>65460.800000000003</v>
      </c>
      <c r="AE68" s="94">
        <f t="shared" si="30"/>
        <v>216372.81</v>
      </c>
      <c r="AF68" s="94">
        <f t="shared" si="30"/>
        <v>2041070.27</v>
      </c>
      <c r="AG68" s="94">
        <f t="shared" si="30"/>
        <v>852400.21</v>
      </c>
      <c r="AH68" s="94">
        <f t="shared" si="30"/>
        <v>2440143.13</v>
      </c>
      <c r="AI68" s="94">
        <f t="shared" si="30"/>
        <v>404035.53</v>
      </c>
      <c r="AJ68" s="94">
        <f t="shared" si="30"/>
        <v>453583.77</v>
      </c>
      <c r="AK68" s="94">
        <f t="shared" si="30"/>
        <v>216087.22999999998</v>
      </c>
      <c r="AM68" s="94">
        <f t="shared" si="31"/>
        <v>852400.21</v>
      </c>
      <c r="AN68" s="94">
        <f t="shared" si="31"/>
        <v>216087.22999999998</v>
      </c>
    </row>
    <row r="69" spans="1:40" outlineLevel="1" x14ac:dyDescent="0.2">
      <c r="A69" s="90" t="s">
        <v>610</v>
      </c>
      <c r="B69" s="77"/>
      <c r="C69" s="77"/>
      <c r="D69" s="77"/>
      <c r="E69" s="9">
        <f>E68</f>
        <v>428256.89</v>
      </c>
      <c r="F69" s="9">
        <f t="shared" ref="F69:R69" si="33">F68</f>
        <v>189804.18</v>
      </c>
      <c r="G69" s="9">
        <f t="shared" si="33"/>
        <v>65460.800000000003</v>
      </c>
      <c r="H69" s="9">
        <f t="shared" si="33"/>
        <v>498555.47</v>
      </c>
      <c r="I69" s="9">
        <f t="shared" si="33"/>
        <v>292235.03999999998</v>
      </c>
      <c r="J69" s="9">
        <f t="shared" si="33"/>
        <v>216372.81</v>
      </c>
      <c r="K69" s="9">
        <f t="shared" si="33"/>
        <v>511879.26</v>
      </c>
      <c r="L69" s="9">
        <f t="shared" si="33"/>
        <v>725398.84</v>
      </c>
      <c r="M69" s="9">
        <f t="shared" si="33"/>
        <v>2041070.27</v>
      </c>
      <c r="N69" s="9">
        <f t="shared" si="33"/>
        <v>732992.94</v>
      </c>
      <c r="O69" s="9">
        <f t="shared" si="33"/>
        <v>1313498.81</v>
      </c>
      <c r="P69" s="9">
        <f t="shared" si="33"/>
        <v>852400.21</v>
      </c>
      <c r="Q69" s="9">
        <f t="shared" si="33"/>
        <v>5502354.3700000001</v>
      </c>
      <c r="R69" s="9">
        <f t="shared" si="33"/>
        <v>4744130.2</v>
      </c>
      <c r="S69" s="9">
        <f t="shared" ref="S69" si="34">S68</f>
        <v>2440143.13</v>
      </c>
      <c r="T69" s="9">
        <v>774349.42</v>
      </c>
      <c r="U69" s="9">
        <v>246631.83</v>
      </c>
      <c r="V69" s="9">
        <v>404035.53</v>
      </c>
      <c r="W69" s="9">
        <v>572539.82999999996</v>
      </c>
      <c r="X69" s="9">
        <v>116204.01</v>
      </c>
      <c r="Y69" s="9">
        <v>453583.77</v>
      </c>
      <c r="Z69" s="9">
        <v>251125.28</v>
      </c>
      <c r="AA69" s="9">
        <v>369564.74</v>
      </c>
      <c r="AB69" s="9">
        <v>216087.22999999998</v>
      </c>
      <c r="AD69" s="94">
        <f t="shared" si="30"/>
        <v>65460.800000000003</v>
      </c>
      <c r="AE69" s="94">
        <f t="shared" si="30"/>
        <v>216372.81</v>
      </c>
      <c r="AF69" s="94">
        <f t="shared" si="30"/>
        <v>2041070.27</v>
      </c>
      <c r="AG69" s="94">
        <f t="shared" si="30"/>
        <v>852400.21</v>
      </c>
      <c r="AH69" s="94">
        <f t="shared" si="30"/>
        <v>2440143.13</v>
      </c>
      <c r="AI69" s="94">
        <f t="shared" si="30"/>
        <v>404035.53</v>
      </c>
      <c r="AJ69" s="94">
        <f t="shared" si="30"/>
        <v>453583.77</v>
      </c>
      <c r="AK69" s="94">
        <f t="shared" si="30"/>
        <v>216087.22999999998</v>
      </c>
      <c r="AM69" s="94">
        <f t="shared" si="31"/>
        <v>852400.21</v>
      </c>
      <c r="AN69" s="94">
        <f t="shared" si="31"/>
        <v>216087.22999999998</v>
      </c>
    </row>
    <row r="70" spans="1:40" outlineLevel="2" x14ac:dyDescent="0.2">
      <c r="A70" s="90" t="s">
        <v>611</v>
      </c>
      <c r="B70" s="77"/>
      <c r="C70" s="77"/>
      <c r="D70" s="77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8"/>
      <c r="R70" s="8"/>
      <c r="S70" s="8"/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D70" s="52">
        <f t="shared" si="30"/>
        <v>0</v>
      </c>
      <c r="AE70" s="52">
        <f t="shared" si="30"/>
        <v>0</v>
      </c>
      <c r="AF70" s="52">
        <f t="shared" si="30"/>
        <v>0</v>
      </c>
      <c r="AG70" s="52">
        <f t="shared" si="30"/>
        <v>0</v>
      </c>
      <c r="AH70" s="52">
        <f t="shared" si="30"/>
        <v>0</v>
      </c>
      <c r="AI70" s="52">
        <f t="shared" si="30"/>
        <v>0</v>
      </c>
      <c r="AJ70" s="52">
        <f t="shared" si="30"/>
        <v>0</v>
      </c>
      <c r="AK70" s="52">
        <f t="shared" si="30"/>
        <v>0</v>
      </c>
      <c r="AM70" s="52">
        <f t="shared" si="31"/>
        <v>0</v>
      </c>
      <c r="AN70" s="52">
        <f t="shared" si="31"/>
        <v>0</v>
      </c>
    </row>
    <row r="71" spans="1:40" outlineLevel="3" x14ac:dyDescent="0.2">
      <c r="A71" s="91" t="s">
        <v>612</v>
      </c>
      <c r="B71" s="77" t="s">
        <v>613</v>
      </c>
      <c r="C71" s="77"/>
      <c r="D71" s="77"/>
      <c r="E71" s="85">
        <v>0</v>
      </c>
      <c r="F71" s="85">
        <v>0</v>
      </c>
      <c r="G71" s="85">
        <v>0</v>
      </c>
      <c r="H71" s="85">
        <v>0</v>
      </c>
      <c r="I71" s="85">
        <v>0</v>
      </c>
      <c r="J71" s="85">
        <v>0</v>
      </c>
      <c r="K71" s="85">
        <v>0</v>
      </c>
      <c r="L71" s="85">
        <v>0</v>
      </c>
      <c r="M71" s="85">
        <v>0</v>
      </c>
      <c r="N71" s="85">
        <v>0</v>
      </c>
      <c r="O71" s="85">
        <v>0</v>
      </c>
      <c r="P71" s="85">
        <v>0</v>
      </c>
      <c r="Q71" s="86">
        <v>0</v>
      </c>
      <c r="R71" s="86">
        <v>0</v>
      </c>
      <c r="S71" s="86">
        <v>0</v>
      </c>
      <c r="T71" s="86">
        <v>0</v>
      </c>
      <c r="U71" s="86">
        <v>0</v>
      </c>
      <c r="V71" s="86">
        <v>0</v>
      </c>
      <c r="W71" s="86">
        <v>0</v>
      </c>
      <c r="X71" s="86">
        <v>0</v>
      </c>
      <c r="Y71" s="86">
        <v>0</v>
      </c>
      <c r="Z71" s="86">
        <v>0</v>
      </c>
      <c r="AA71" s="86">
        <v>0</v>
      </c>
      <c r="AB71" s="86">
        <v>0</v>
      </c>
      <c r="AD71" s="93">
        <f t="shared" si="30"/>
        <v>0</v>
      </c>
      <c r="AE71" s="93">
        <f t="shared" si="30"/>
        <v>0</v>
      </c>
      <c r="AF71" s="93">
        <f t="shared" si="30"/>
        <v>0</v>
      </c>
      <c r="AG71" s="93">
        <f t="shared" si="30"/>
        <v>0</v>
      </c>
      <c r="AH71" s="93">
        <f t="shared" si="30"/>
        <v>0</v>
      </c>
      <c r="AI71" s="93">
        <f t="shared" si="30"/>
        <v>0</v>
      </c>
      <c r="AJ71" s="93">
        <f t="shared" si="30"/>
        <v>0</v>
      </c>
      <c r="AK71" s="93">
        <f t="shared" si="30"/>
        <v>0</v>
      </c>
      <c r="AM71" s="93">
        <f t="shared" si="31"/>
        <v>0</v>
      </c>
      <c r="AN71" s="93">
        <f t="shared" si="31"/>
        <v>0</v>
      </c>
    </row>
    <row r="72" spans="1:40" outlineLevel="3" x14ac:dyDescent="0.2">
      <c r="A72" s="92" t="s">
        <v>614</v>
      </c>
      <c r="B72" s="77" t="s">
        <v>483</v>
      </c>
      <c r="C72" s="77"/>
      <c r="D72" s="77"/>
      <c r="E72" s="85">
        <v>0</v>
      </c>
      <c r="F72" s="85">
        <v>0</v>
      </c>
      <c r="G72" s="85">
        <v>0</v>
      </c>
      <c r="H72" s="85">
        <v>0</v>
      </c>
      <c r="I72" s="85">
        <v>0</v>
      </c>
      <c r="J72" s="85">
        <v>0</v>
      </c>
      <c r="K72" s="85">
        <v>0</v>
      </c>
      <c r="L72" s="85">
        <v>333</v>
      </c>
      <c r="M72" s="85">
        <v>333</v>
      </c>
      <c r="N72" s="85">
        <v>0</v>
      </c>
      <c r="O72" s="85">
        <v>0</v>
      </c>
      <c r="P72" s="85">
        <v>0</v>
      </c>
      <c r="Q72" s="86">
        <v>128473</v>
      </c>
      <c r="R72" s="86">
        <v>0</v>
      </c>
      <c r="S72" s="86">
        <v>0</v>
      </c>
      <c r="T72" s="86">
        <v>156740.6</v>
      </c>
      <c r="U72" s="86">
        <v>0</v>
      </c>
      <c r="V72" s="86">
        <v>0</v>
      </c>
      <c r="W72" s="86">
        <v>0</v>
      </c>
      <c r="X72" s="86">
        <v>0</v>
      </c>
      <c r="Y72" s="86">
        <v>0</v>
      </c>
      <c r="Z72" s="86">
        <v>0</v>
      </c>
      <c r="AA72" s="86">
        <v>0</v>
      </c>
      <c r="AB72" s="86">
        <v>0</v>
      </c>
      <c r="AD72" s="93">
        <f t="shared" si="30"/>
        <v>0</v>
      </c>
      <c r="AE72" s="93">
        <f t="shared" si="30"/>
        <v>0</v>
      </c>
      <c r="AF72" s="93">
        <f t="shared" si="30"/>
        <v>333</v>
      </c>
      <c r="AG72" s="93">
        <f t="shared" si="30"/>
        <v>0</v>
      </c>
      <c r="AH72" s="93">
        <f t="shared" si="30"/>
        <v>0</v>
      </c>
      <c r="AI72" s="93">
        <f t="shared" si="30"/>
        <v>0</v>
      </c>
      <c r="AJ72" s="93">
        <f t="shared" si="30"/>
        <v>0</v>
      </c>
      <c r="AK72" s="93">
        <f t="shared" si="30"/>
        <v>0</v>
      </c>
      <c r="AM72" s="93">
        <f t="shared" si="31"/>
        <v>0</v>
      </c>
      <c r="AN72" s="93">
        <f t="shared" si="31"/>
        <v>0</v>
      </c>
    </row>
    <row r="73" spans="1:40" outlineLevel="2" x14ac:dyDescent="0.2">
      <c r="A73" s="91" t="s">
        <v>615</v>
      </c>
      <c r="B73" s="77"/>
      <c r="C73" s="77"/>
      <c r="D73" s="77"/>
      <c r="E73" s="9">
        <f>SUM(E71:E72)</f>
        <v>0</v>
      </c>
      <c r="F73" s="9">
        <f t="shared" ref="F73:R73" si="35">SUM(F71:F72)</f>
        <v>0</v>
      </c>
      <c r="G73" s="9">
        <f t="shared" si="35"/>
        <v>0</v>
      </c>
      <c r="H73" s="9">
        <f t="shared" si="35"/>
        <v>0</v>
      </c>
      <c r="I73" s="9">
        <f t="shared" si="35"/>
        <v>0</v>
      </c>
      <c r="J73" s="9">
        <f t="shared" si="35"/>
        <v>0</v>
      </c>
      <c r="K73" s="9">
        <f t="shared" si="35"/>
        <v>0</v>
      </c>
      <c r="L73" s="9">
        <f t="shared" si="35"/>
        <v>333</v>
      </c>
      <c r="M73" s="9">
        <f t="shared" si="35"/>
        <v>333</v>
      </c>
      <c r="N73" s="9">
        <f t="shared" si="35"/>
        <v>0</v>
      </c>
      <c r="O73" s="9">
        <f t="shared" si="35"/>
        <v>0</v>
      </c>
      <c r="P73" s="9">
        <f t="shared" si="35"/>
        <v>0</v>
      </c>
      <c r="Q73" s="9">
        <f t="shared" si="35"/>
        <v>128473</v>
      </c>
      <c r="R73" s="9">
        <f t="shared" si="35"/>
        <v>0</v>
      </c>
      <c r="S73" s="9">
        <f t="shared" ref="S73" si="36">SUM(S71:S72)</f>
        <v>0</v>
      </c>
      <c r="T73" s="9">
        <v>156740.6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D73" s="94">
        <f t="shared" si="30"/>
        <v>0</v>
      </c>
      <c r="AE73" s="94">
        <f t="shared" si="30"/>
        <v>0</v>
      </c>
      <c r="AF73" s="94">
        <f t="shared" si="30"/>
        <v>333</v>
      </c>
      <c r="AG73" s="94">
        <f t="shared" si="30"/>
        <v>0</v>
      </c>
      <c r="AH73" s="94">
        <f t="shared" si="30"/>
        <v>0</v>
      </c>
      <c r="AI73" s="94">
        <f t="shared" si="30"/>
        <v>0</v>
      </c>
      <c r="AJ73" s="94">
        <f t="shared" si="30"/>
        <v>0</v>
      </c>
      <c r="AK73" s="94">
        <f t="shared" si="30"/>
        <v>0</v>
      </c>
      <c r="AM73" s="94">
        <f t="shared" si="31"/>
        <v>0</v>
      </c>
      <c r="AN73" s="94">
        <f t="shared" si="31"/>
        <v>0</v>
      </c>
    </row>
    <row r="74" spans="1:40" outlineLevel="2" x14ac:dyDescent="0.2">
      <c r="A74" s="91" t="s">
        <v>616</v>
      </c>
      <c r="B74" s="77">
        <v>2275</v>
      </c>
      <c r="C74" s="77"/>
      <c r="D74" s="77"/>
      <c r="E74" s="86">
        <v>0</v>
      </c>
      <c r="F74" s="86">
        <v>0</v>
      </c>
      <c r="G74" s="86">
        <v>0</v>
      </c>
      <c r="H74" s="86">
        <v>0</v>
      </c>
      <c r="I74" s="86">
        <v>0</v>
      </c>
      <c r="J74" s="86">
        <v>0</v>
      </c>
      <c r="K74" s="86">
        <v>0</v>
      </c>
      <c r="L74" s="86">
        <v>0</v>
      </c>
      <c r="M74" s="86">
        <v>0</v>
      </c>
      <c r="N74" s="86">
        <v>0</v>
      </c>
      <c r="O74" s="86">
        <v>0</v>
      </c>
      <c r="P74" s="86">
        <v>0</v>
      </c>
      <c r="Q74" s="86">
        <v>0</v>
      </c>
      <c r="R74" s="86">
        <v>0</v>
      </c>
      <c r="S74" s="86">
        <v>0</v>
      </c>
      <c r="T74" s="86">
        <v>0</v>
      </c>
      <c r="U74" s="86">
        <v>0</v>
      </c>
      <c r="V74" s="86">
        <v>0</v>
      </c>
      <c r="W74" s="86">
        <v>0</v>
      </c>
      <c r="X74" s="86">
        <v>0</v>
      </c>
      <c r="Y74" s="86">
        <v>0</v>
      </c>
      <c r="Z74" s="86">
        <v>216400</v>
      </c>
      <c r="AA74" s="86">
        <v>216400</v>
      </c>
      <c r="AB74" s="86">
        <v>910700</v>
      </c>
      <c r="AD74" s="235"/>
      <c r="AE74" s="235"/>
      <c r="AF74" s="235"/>
      <c r="AG74" s="235"/>
      <c r="AH74" s="235"/>
      <c r="AI74" s="235"/>
      <c r="AJ74" s="235"/>
      <c r="AK74" s="235"/>
      <c r="AM74" s="235"/>
      <c r="AN74" s="235"/>
    </row>
    <row r="75" spans="1:40" outlineLevel="2" x14ac:dyDescent="0.2">
      <c r="A75" s="91" t="s">
        <v>617</v>
      </c>
      <c r="B75" s="77" t="s">
        <v>618</v>
      </c>
      <c r="C75" s="77"/>
      <c r="D75" s="77"/>
      <c r="E75" s="85">
        <v>0</v>
      </c>
      <c r="F75" s="85">
        <v>0</v>
      </c>
      <c r="G75" s="85">
        <v>0</v>
      </c>
      <c r="H75" s="85">
        <v>0</v>
      </c>
      <c r="I75" s="85">
        <v>0</v>
      </c>
      <c r="J75" s="85">
        <v>0</v>
      </c>
      <c r="K75" s="85">
        <v>0</v>
      </c>
      <c r="L75" s="85">
        <v>0</v>
      </c>
      <c r="M75" s="85">
        <v>0</v>
      </c>
      <c r="N75" s="85">
        <v>0</v>
      </c>
      <c r="O75" s="85">
        <v>0</v>
      </c>
      <c r="P75" s="85">
        <v>0</v>
      </c>
      <c r="Q75" s="86">
        <v>0</v>
      </c>
      <c r="R75" s="86">
        <v>0</v>
      </c>
      <c r="S75" s="86">
        <v>0</v>
      </c>
      <c r="T75" s="86">
        <v>150000</v>
      </c>
      <c r="U75" s="86">
        <v>150000</v>
      </c>
      <c r="V75" s="86">
        <v>150000</v>
      </c>
      <c r="W75" s="86">
        <v>150000</v>
      </c>
      <c r="X75" s="86">
        <v>150000</v>
      </c>
      <c r="Y75" s="86">
        <v>150000</v>
      </c>
      <c r="Z75" s="86">
        <v>0</v>
      </c>
      <c r="AA75" s="86">
        <v>0</v>
      </c>
      <c r="AB75" s="86">
        <v>0</v>
      </c>
      <c r="AD75" s="93">
        <f t="shared" ref="AD75:AK84" si="37">INDEX($E75:$AB75,MATCH(AD$5,$E$5:$AB$5,0))</f>
        <v>0</v>
      </c>
      <c r="AE75" s="93">
        <f t="shared" si="37"/>
        <v>0</v>
      </c>
      <c r="AF75" s="93">
        <f t="shared" si="37"/>
        <v>0</v>
      </c>
      <c r="AG75" s="93">
        <f t="shared" si="37"/>
        <v>0</v>
      </c>
      <c r="AH75" s="93">
        <f t="shared" si="37"/>
        <v>0</v>
      </c>
      <c r="AI75" s="93">
        <f t="shared" si="37"/>
        <v>150000</v>
      </c>
      <c r="AJ75" s="93">
        <f t="shared" si="37"/>
        <v>150000</v>
      </c>
      <c r="AK75" s="93">
        <f t="shared" si="37"/>
        <v>0</v>
      </c>
      <c r="AM75" s="93">
        <f t="shared" ref="AM75:AN102" si="38">INDEX($E75:$AB75,MATCH(AM$5,$E$5:$AB$5,0))</f>
        <v>0</v>
      </c>
      <c r="AN75" s="93">
        <f t="shared" si="38"/>
        <v>0</v>
      </c>
    </row>
    <row r="76" spans="1:40" outlineLevel="2" x14ac:dyDescent="0.2">
      <c r="A76" s="91" t="s">
        <v>486</v>
      </c>
      <c r="B76" s="77" t="s">
        <v>487</v>
      </c>
      <c r="C76" s="77"/>
      <c r="D76" s="77"/>
      <c r="E76" s="85">
        <v>0</v>
      </c>
      <c r="F76" s="85">
        <v>0</v>
      </c>
      <c r="G76" s="85">
        <v>0</v>
      </c>
      <c r="H76" s="85">
        <v>0</v>
      </c>
      <c r="I76" s="85">
        <v>0</v>
      </c>
      <c r="J76" s="85">
        <v>287119.44</v>
      </c>
      <c r="K76" s="85">
        <v>113330.64</v>
      </c>
      <c r="L76" s="85">
        <v>0</v>
      </c>
      <c r="M76" s="85">
        <v>0</v>
      </c>
      <c r="N76" s="85">
        <v>0</v>
      </c>
      <c r="O76" s="85">
        <v>0</v>
      </c>
      <c r="P76" s="85">
        <v>0</v>
      </c>
      <c r="Q76" s="86">
        <v>8767.31</v>
      </c>
      <c r="R76" s="86">
        <v>17197.71</v>
      </c>
      <c r="S76" s="86">
        <v>8830.31</v>
      </c>
      <c r="T76" s="86">
        <v>8830.31</v>
      </c>
      <c r="U76" s="86">
        <v>0</v>
      </c>
      <c r="V76" s="86">
        <v>0</v>
      </c>
      <c r="W76" s="86">
        <v>0</v>
      </c>
      <c r="X76" s="86">
        <v>0</v>
      </c>
      <c r="Y76" s="86">
        <v>49203.86</v>
      </c>
      <c r="Z76" s="86">
        <v>0</v>
      </c>
      <c r="AA76" s="86">
        <v>0</v>
      </c>
      <c r="AB76" s="86">
        <v>142867.04</v>
      </c>
      <c r="AD76" s="93">
        <f t="shared" si="37"/>
        <v>0</v>
      </c>
      <c r="AE76" s="93">
        <f t="shared" si="37"/>
        <v>287119.44</v>
      </c>
      <c r="AF76" s="93">
        <f t="shared" si="37"/>
        <v>0</v>
      </c>
      <c r="AG76" s="93">
        <f t="shared" si="37"/>
        <v>0</v>
      </c>
      <c r="AH76" s="93">
        <f t="shared" si="37"/>
        <v>8830.31</v>
      </c>
      <c r="AI76" s="93">
        <f t="shared" si="37"/>
        <v>0</v>
      </c>
      <c r="AJ76" s="93">
        <f t="shared" si="37"/>
        <v>49203.86</v>
      </c>
      <c r="AK76" s="93">
        <f t="shared" si="37"/>
        <v>142867.04</v>
      </c>
      <c r="AM76" s="93">
        <f t="shared" si="38"/>
        <v>0</v>
      </c>
      <c r="AN76" s="93">
        <f t="shared" si="38"/>
        <v>142867.04</v>
      </c>
    </row>
    <row r="77" spans="1:40" outlineLevel="2" x14ac:dyDescent="0.2">
      <c r="A77" s="91" t="s">
        <v>619</v>
      </c>
      <c r="B77" s="77">
        <v>2295</v>
      </c>
      <c r="C77" s="77"/>
      <c r="D77" s="77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6"/>
      <c r="R77" s="86"/>
      <c r="S77" s="86"/>
      <c r="T77" s="86">
        <v>9722.2199999999993</v>
      </c>
      <c r="U77" s="86">
        <v>15069.45</v>
      </c>
      <c r="V77" s="86">
        <v>26250</v>
      </c>
      <c r="W77" s="86">
        <v>26371.52</v>
      </c>
      <c r="X77" s="86">
        <v>25618.06</v>
      </c>
      <c r="Y77" s="86">
        <v>24062.5</v>
      </c>
      <c r="Z77" s="86">
        <v>24110.84</v>
      </c>
      <c r="AA77" s="86">
        <v>22603.9</v>
      </c>
      <c r="AB77" s="86">
        <v>21796.87</v>
      </c>
      <c r="AD77" s="93">
        <f t="shared" si="37"/>
        <v>0</v>
      </c>
      <c r="AE77" s="93">
        <f t="shared" si="37"/>
        <v>0</v>
      </c>
      <c r="AF77" s="93">
        <f t="shared" si="37"/>
        <v>0</v>
      </c>
      <c r="AG77" s="93">
        <f t="shared" si="37"/>
        <v>0</v>
      </c>
      <c r="AH77" s="93">
        <f t="shared" si="37"/>
        <v>0</v>
      </c>
      <c r="AI77" s="93">
        <f t="shared" si="37"/>
        <v>26250</v>
      </c>
      <c r="AJ77" s="93">
        <f t="shared" si="37"/>
        <v>24062.5</v>
      </c>
      <c r="AK77" s="93">
        <f t="shared" si="37"/>
        <v>21796.87</v>
      </c>
      <c r="AM77" s="93">
        <f t="shared" si="38"/>
        <v>0</v>
      </c>
      <c r="AN77" s="93">
        <f t="shared" si="38"/>
        <v>21796.87</v>
      </c>
    </row>
    <row r="78" spans="1:40" outlineLevel="1" x14ac:dyDescent="0.2">
      <c r="A78" s="90" t="s">
        <v>620</v>
      </c>
      <c r="B78" s="77"/>
      <c r="C78" s="77"/>
      <c r="D78" s="77"/>
      <c r="E78" s="9">
        <f>SUM(E73:E77)</f>
        <v>0</v>
      </c>
      <c r="F78" s="9">
        <f t="shared" ref="F78:AB78" si="39">SUM(F73:F77)</f>
        <v>0</v>
      </c>
      <c r="G78" s="9">
        <f t="shared" si="39"/>
        <v>0</v>
      </c>
      <c r="H78" s="9">
        <f t="shared" si="39"/>
        <v>0</v>
      </c>
      <c r="I78" s="9">
        <f t="shared" si="39"/>
        <v>0</v>
      </c>
      <c r="J78" s="9">
        <f t="shared" si="39"/>
        <v>287119.44</v>
      </c>
      <c r="K78" s="9">
        <f t="shared" si="39"/>
        <v>113330.64</v>
      </c>
      <c r="L78" s="9">
        <f t="shared" si="39"/>
        <v>333</v>
      </c>
      <c r="M78" s="9">
        <f t="shared" si="39"/>
        <v>333</v>
      </c>
      <c r="N78" s="9">
        <f t="shared" si="39"/>
        <v>0</v>
      </c>
      <c r="O78" s="9">
        <f t="shared" si="39"/>
        <v>0</v>
      </c>
      <c r="P78" s="9">
        <f t="shared" si="39"/>
        <v>0</v>
      </c>
      <c r="Q78" s="9">
        <f t="shared" si="39"/>
        <v>137240.31</v>
      </c>
      <c r="R78" s="9">
        <f t="shared" si="39"/>
        <v>17197.71</v>
      </c>
      <c r="S78" s="9">
        <f t="shared" si="39"/>
        <v>8830.31</v>
      </c>
      <c r="T78" s="9">
        <f t="shared" si="39"/>
        <v>325293.12999999995</v>
      </c>
      <c r="U78" s="9">
        <f t="shared" si="39"/>
        <v>165069.45000000001</v>
      </c>
      <c r="V78" s="9">
        <f t="shared" si="39"/>
        <v>176250</v>
      </c>
      <c r="W78" s="9">
        <f t="shared" si="39"/>
        <v>176371.52</v>
      </c>
      <c r="X78" s="9">
        <f t="shared" si="39"/>
        <v>175618.06</v>
      </c>
      <c r="Y78" s="9">
        <f t="shared" si="39"/>
        <v>223266.36</v>
      </c>
      <c r="Z78" s="9">
        <f t="shared" si="39"/>
        <v>240510.84</v>
      </c>
      <c r="AA78" s="9">
        <f t="shared" si="39"/>
        <v>239003.9</v>
      </c>
      <c r="AB78" s="9">
        <f t="shared" si="39"/>
        <v>1075363.9100000001</v>
      </c>
      <c r="AD78" s="94">
        <f t="shared" si="37"/>
        <v>0</v>
      </c>
      <c r="AE78" s="94">
        <f t="shared" si="37"/>
        <v>287119.44</v>
      </c>
      <c r="AF78" s="94">
        <f t="shared" si="37"/>
        <v>333</v>
      </c>
      <c r="AG78" s="94">
        <f t="shared" si="37"/>
        <v>0</v>
      </c>
      <c r="AH78" s="94">
        <f t="shared" si="37"/>
        <v>8830.31</v>
      </c>
      <c r="AI78" s="94">
        <f t="shared" si="37"/>
        <v>176250</v>
      </c>
      <c r="AJ78" s="94">
        <f t="shared" si="37"/>
        <v>223266.36</v>
      </c>
      <c r="AK78" s="94">
        <f t="shared" si="37"/>
        <v>1075363.9100000001</v>
      </c>
      <c r="AM78" s="94">
        <f t="shared" si="38"/>
        <v>0</v>
      </c>
      <c r="AN78" s="94">
        <f t="shared" si="38"/>
        <v>1075363.9100000001</v>
      </c>
    </row>
    <row r="79" spans="1:40" x14ac:dyDescent="0.2">
      <c r="A79" s="89" t="s">
        <v>621</v>
      </c>
      <c r="B79" s="77"/>
      <c r="C79" s="77"/>
      <c r="D79" s="77"/>
      <c r="E79" s="9">
        <f>SUM(E69,E78)</f>
        <v>428256.89</v>
      </c>
      <c r="F79" s="9">
        <f t="shared" ref="F79:R79" si="40">SUM(F69,F78)</f>
        <v>189804.18</v>
      </c>
      <c r="G79" s="9">
        <f t="shared" si="40"/>
        <v>65460.800000000003</v>
      </c>
      <c r="H79" s="9">
        <f t="shared" si="40"/>
        <v>498555.47</v>
      </c>
      <c r="I79" s="9">
        <f t="shared" si="40"/>
        <v>292235.03999999998</v>
      </c>
      <c r="J79" s="9">
        <f t="shared" si="40"/>
        <v>503492.25</v>
      </c>
      <c r="K79" s="9">
        <f t="shared" si="40"/>
        <v>625209.9</v>
      </c>
      <c r="L79" s="9">
        <f t="shared" si="40"/>
        <v>725731.83999999997</v>
      </c>
      <c r="M79" s="9">
        <f t="shared" si="40"/>
        <v>2041403.27</v>
      </c>
      <c r="N79" s="9">
        <f t="shared" si="40"/>
        <v>732992.94</v>
      </c>
      <c r="O79" s="9">
        <f t="shared" si="40"/>
        <v>1313498.81</v>
      </c>
      <c r="P79" s="9">
        <f t="shared" si="40"/>
        <v>852400.21</v>
      </c>
      <c r="Q79" s="9">
        <f t="shared" si="40"/>
        <v>5639594.6799999997</v>
      </c>
      <c r="R79" s="9">
        <f t="shared" si="40"/>
        <v>4761327.91</v>
      </c>
      <c r="S79" s="9">
        <f t="shared" ref="S79" si="41">SUM(S69,S78)</f>
        <v>2448973.44</v>
      </c>
      <c r="T79" s="9">
        <v>1099642.55</v>
      </c>
      <c r="U79" s="9">
        <v>411701.28</v>
      </c>
      <c r="V79" s="9">
        <v>580285.53</v>
      </c>
      <c r="W79" s="9">
        <v>748911.35</v>
      </c>
      <c r="X79" s="9">
        <v>291822.07</v>
      </c>
      <c r="Y79" s="9">
        <v>676850.13</v>
      </c>
      <c r="Z79" s="9">
        <v>491636.12</v>
      </c>
      <c r="AA79" s="9">
        <v>608568.64</v>
      </c>
      <c r="AB79" s="9">
        <v>1291451.1399999999</v>
      </c>
      <c r="AD79" s="94">
        <f t="shared" si="37"/>
        <v>65460.800000000003</v>
      </c>
      <c r="AE79" s="94">
        <f t="shared" si="37"/>
        <v>503492.25</v>
      </c>
      <c r="AF79" s="94">
        <f t="shared" si="37"/>
        <v>2041403.27</v>
      </c>
      <c r="AG79" s="94">
        <f t="shared" si="37"/>
        <v>852400.21</v>
      </c>
      <c r="AH79" s="94">
        <f t="shared" si="37"/>
        <v>2448973.44</v>
      </c>
      <c r="AI79" s="94">
        <f t="shared" si="37"/>
        <v>580285.53</v>
      </c>
      <c r="AJ79" s="94">
        <f t="shared" si="37"/>
        <v>676850.13</v>
      </c>
      <c r="AK79" s="94">
        <f t="shared" si="37"/>
        <v>1291451.1399999999</v>
      </c>
      <c r="AM79" s="94">
        <f t="shared" si="38"/>
        <v>852400.21</v>
      </c>
      <c r="AN79" s="94">
        <f t="shared" si="38"/>
        <v>1291451.1399999999</v>
      </c>
    </row>
    <row r="80" spans="1:40" outlineLevel="1" x14ac:dyDescent="0.2">
      <c r="A80" s="89" t="s">
        <v>622</v>
      </c>
      <c r="B80" s="77"/>
      <c r="C80" s="77"/>
      <c r="D80" s="77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D80" s="52">
        <f t="shared" si="37"/>
        <v>0</v>
      </c>
      <c r="AE80" s="52">
        <f t="shared" si="37"/>
        <v>0</v>
      </c>
      <c r="AF80" s="52">
        <f t="shared" si="37"/>
        <v>0</v>
      </c>
      <c r="AG80" s="52">
        <f t="shared" si="37"/>
        <v>0</v>
      </c>
      <c r="AH80" s="52">
        <f t="shared" si="37"/>
        <v>0</v>
      </c>
      <c r="AI80" s="52">
        <f t="shared" si="37"/>
        <v>0</v>
      </c>
      <c r="AJ80" s="52">
        <f t="shared" si="37"/>
        <v>0</v>
      </c>
      <c r="AK80" s="52">
        <f t="shared" si="37"/>
        <v>0</v>
      </c>
      <c r="AM80" s="52">
        <f t="shared" si="38"/>
        <v>0</v>
      </c>
      <c r="AN80" s="52">
        <f t="shared" si="38"/>
        <v>0</v>
      </c>
    </row>
    <row r="81" spans="1:40" outlineLevel="1" x14ac:dyDescent="0.2">
      <c r="A81" s="90" t="s">
        <v>521</v>
      </c>
      <c r="B81" s="77" t="s">
        <v>522</v>
      </c>
      <c r="C81" s="77" t="s">
        <v>623</v>
      </c>
      <c r="D81" s="77"/>
      <c r="E81" s="236">
        <v>0</v>
      </c>
      <c r="F81" s="236">
        <v>0</v>
      </c>
      <c r="G81" s="236">
        <v>0</v>
      </c>
      <c r="H81" s="236">
        <v>0</v>
      </c>
      <c r="I81" s="236">
        <v>0</v>
      </c>
      <c r="J81" s="236">
        <v>0</v>
      </c>
      <c r="K81" s="236">
        <v>0</v>
      </c>
      <c r="L81" s="236">
        <v>0</v>
      </c>
      <c r="M81" s="236">
        <v>0</v>
      </c>
      <c r="N81" s="236">
        <v>0</v>
      </c>
      <c r="O81" s="236">
        <v>0</v>
      </c>
      <c r="P81" s="236">
        <v>0</v>
      </c>
      <c r="Q81" s="86">
        <v>0</v>
      </c>
      <c r="R81" s="86">
        <v>8417500</v>
      </c>
      <c r="S81" s="86">
        <v>12917525</v>
      </c>
      <c r="T81" s="86">
        <v>13067525</v>
      </c>
      <c r="U81" s="86">
        <v>13067525</v>
      </c>
      <c r="V81" s="86">
        <v>13067525</v>
      </c>
      <c r="W81" s="86">
        <v>13067525</v>
      </c>
      <c r="X81" s="86">
        <v>13067525</v>
      </c>
      <c r="Y81" s="86">
        <v>13067525</v>
      </c>
      <c r="Z81" s="86">
        <v>12917525</v>
      </c>
      <c r="AA81" s="86">
        <v>12917525</v>
      </c>
      <c r="AB81" s="86">
        <v>12917525</v>
      </c>
      <c r="AD81" s="93">
        <f t="shared" si="37"/>
        <v>0</v>
      </c>
      <c r="AE81" s="93">
        <f t="shared" si="37"/>
        <v>0</v>
      </c>
      <c r="AF81" s="93">
        <f t="shared" si="37"/>
        <v>0</v>
      </c>
      <c r="AG81" s="93">
        <f t="shared" si="37"/>
        <v>0</v>
      </c>
      <c r="AH81" s="93">
        <f t="shared" si="37"/>
        <v>12917525</v>
      </c>
      <c r="AI81" s="93">
        <f t="shared" si="37"/>
        <v>13067525</v>
      </c>
      <c r="AJ81" s="93">
        <f t="shared" si="37"/>
        <v>13067525</v>
      </c>
      <c r="AK81" s="93">
        <f t="shared" si="37"/>
        <v>12917525</v>
      </c>
      <c r="AM81" s="93">
        <f t="shared" si="38"/>
        <v>0</v>
      </c>
      <c r="AN81" s="93">
        <f t="shared" si="38"/>
        <v>12917525</v>
      </c>
    </row>
    <row r="82" spans="1:40" outlineLevel="1" x14ac:dyDescent="0.2">
      <c r="A82" s="90" t="s">
        <v>506</v>
      </c>
      <c r="B82" s="77">
        <v>2801</v>
      </c>
      <c r="C82" s="77" t="s">
        <v>624</v>
      </c>
      <c r="D82" s="77"/>
      <c r="E82" s="236">
        <v>0</v>
      </c>
      <c r="F82" s="236">
        <v>0</v>
      </c>
      <c r="G82" s="236">
        <v>0</v>
      </c>
      <c r="H82" s="236">
        <v>0</v>
      </c>
      <c r="I82" s="236">
        <v>0</v>
      </c>
      <c r="J82" s="236">
        <v>0</v>
      </c>
      <c r="K82" s="236">
        <v>0</v>
      </c>
      <c r="L82" s="236">
        <v>0</v>
      </c>
      <c r="M82" s="236">
        <v>0</v>
      </c>
      <c r="N82" s="236">
        <v>0</v>
      </c>
      <c r="O82" s="236">
        <v>0</v>
      </c>
      <c r="P82" s="236">
        <v>0</v>
      </c>
      <c r="Q82" s="86">
        <v>0</v>
      </c>
      <c r="R82" s="86">
        <v>0</v>
      </c>
      <c r="S82" s="86">
        <v>0</v>
      </c>
      <c r="T82" s="86">
        <v>2500000</v>
      </c>
      <c r="U82" s="86">
        <v>4500000</v>
      </c>
      <c r="V82" s="86">
        <v>4500000</v>
      </c>
      <c r="W82" s="86">
        <v>4375000</v>
      </c>
      <c r="X82" s="86">
        <v>4250000</v>
      </c>
      <c r="Y82" s="86">
        <v>4125000</v>
      </c>
      <c r="Z82" s="86">
        <v>4000000</v>
      </c>
      <c r="AA82" s="86">
        <v>3875000</v>
      </c>
      <c r="AB82" s="86">
        <v>3750000</v>
      </c>
      <c r="AD82" s="93">
        <f t="shared" si="37"/>
        <v>0</v>
      </c>
      <c r="AE82" s="93">
        <f t="shared" si="37"/>
        <v>0</v>
      </c>
      <c r="AF82" s="93">
        <f t="shared" si="37"/>
        <v>0</v>
      </c>
      <c r="AG82" s="93">
        <f t="shared" si="37"/>
        <v>0</v>
      </c>
      <c r="AH82" s="93">
        <f t="shared" si="37"/>
        <v>0</v>
      </c>
      <c r="AI82" s="93">
        <f t="shared" si="37"/>
        <v>4500000</v>
      </c>
      <c r="AJ82" s="93">
        <f t="shared" si="37"/>
        <v>4125000</v>
      </c>
      <c r="AK82" s="93">
        <f t="shared" si="37"/>
        <v>3750000</v>
      </c>
      <c r="AM82" s="93">
        <f t="shared" si="38"/>
        <v>0</v>
      </c>
      <c r="AN82" s="93">
        <f t="shared" si="38"/>
        <v>3750000</v>
      </c>
    </row>
    <row r="83" spans="1:40" outlineLevel="1" x14ac:dyDescent="0.2">
      <c r="A83" s="90" t="s">
        <v>506</v>
      </c>
      <c r="B83" s="77" t="s">
        <v>507</v>
      </c>
      <c r="C83" s="77"/>
      <c r="D83" s="77"/>
      <c r="E83" s="236">
        <v>53859</v>
      </c>
      <c r="F83" s="236">
        <v>53859</v>
      </c>
      <c r="G83" s="236">
        <v>53859</v>
      </c>
      <c r="H83" s="236">
        <v>53859</v>
      </c>
      <c r="I83" s="236">
        <v>0</v>
      </c>
      <c r="J83" s="236">
        <v>0</v>
      </c>
      <c r="K83" s="236">
        <v>0</v>
      </c>
      <c r="L83" s="236">
        <v>0</v>
      </c>
      <c r="M83" s="236">
        <v>0</v>
      </c>
      <c r="N83" s="236">
        <v>0</v>
      </c>
      <c r="O83" s="236">
        <v>0</v>
      </c>
      <c r="P83" s="236">
        <v>0</v>
      </c>
      <c r="Q83" s="236">
        <v>0</v>
      </c>
      <c r="R83" s="236">
        <v>0</v>
      </c>
      <c r="S83" s="236">
        <v>0</v>
      </c>
      <c r="T83" s="236">
        <v>0</v>
      </c>
      <c r="U83" s="86">
        <v>0</v>
      </c>
      <c r="V83" s="86">
        <v>0</v>
      </c>
      <c r="W83" s="86">
        <v>0</v>
      </c>
      <c r="X83" s="86">
        <v>0</v>
      </c>
      <c r="Y83" s="86">
        <v>0</v>
      </c>
      <c r="Z83" s="86">
        <v>0</v>
      </c>
      <c r="AA83" s="86">
        <v>0</v>
      </c>
      <c r="AB83" s="86">
        <v>0</v>
      </c>
      <c r="AD83" s="93">
        <f t="shared" si="37"/>
        <v>53859</v>
      </c>
      <c r="AE83" s="93">
        <f t="shared" si="37"/>
        <v>0</v>
      </c>
      <c r="AF83" s="93">
        <f t="shared" si="37"/>
        <v>0</v>
      </c>
      <c r="AG83" s="93">
        <f t="shared" si="37"/>
        <v>0</v>
      </c>
      <c r="AH83" s="93">
        <f t="shared" si="37"/>
        <v>0</v>
      </c>
      <c r="AI83" s="93">
        <f t="shared" si="37"/>
        <v>0</v>
      </c>
      <c r="AJ83" s="93">
        <f t="shared" si="37"/>
        <v>0</v>
      </c>
      <c r="AK83" s="93">
        <f t="shared" si="37"/>
        <v>0</v>
      </c>
      <c r="AM83" s="93">
        <f t="shared" si="38"/>
        <v>0</v>
      </c>
      <c r="AN83" s="93">
        <f t="shared" si="38"/>
        <v>0</v>
      </c>
    </row>
    <row r="84" spans="1:40" x14ac:dyDescent="0.2">
      <c r="A84" s="89" t="s">
        <v>625</v>
      </c>
      <c r="B84" s="77"/>
      <c r="C84" s="77"/>
      <c r="D84" s="77"/>
      <c r="E84" s="9">
        <v>53859</v>
      </c>
      <c r="F84" s="9">
        <v>53859</v>
      </c>
      <c r="G84" s="9">
        <v>53859</v>
      </c>
      <c r="H84" s="9">
        <v>53859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10">
        <v>0</v>
      </c>
      <c r="R84" s="10">
        <v>8417500</v>
      </c>
      <c r="S84" s="10">
        <v>12917525</v>
      </c>
      <c r="T84" s="10">
        <v>15567525</v>
      </c>
      <c r="U84" s="10">
        <v>17567525</v>
      </c>
      <c r="V84" s="10">
        <v>17567525</v>
      </c>
      <c r="W84" s="10">
        <v>17442525</v>
      </c>
      <c r="X84" s="10">
        <v>17317525</v>
      </c>
      <c r="Y84" s="10">
        <v>17192525</v>
      </c>
      <c r="Z84" s="10">
        <v>16917525</v>
      </c>
      <c r="AA84" s="10">
        <v>16792525</v>
      </c>
      <c r="AB84" s="10">
        <v>16667525</v>
      </c>
      <c r="AD84" s="95">
        <f t="shared" si="37"/>
        <v>53859</v>
      </c>
      <c r="AE84" s="95">
        <f t="shared" si="37"/>
        <v>0</v>
      </c>
      <c r="AF84" s="95">
        <f t="shared" si="37"/>
        <v>0</v>
      </c>
      <c r="AG84" s="95">
        <f t="shared" si="37"/>
        <v>0</v>
      </c>
      <c r="AH84" s="95">
        <f t="shared" si="37"/>
        <v>12917525</v>
      </c>
      <c r="AI84" s="95">
        <f t="shared" si="37"/>
        <v>17567525</v>
      </c>
      <c r="AJ84" s="95">
        <f t="shared" si="37"/>
        <v>17192525</v>
      </c>
      <c r="AK84" s="95">
        <f t="shared" si="37"/>
        <v>16667525</v>
      </c>
      <c r="AM84" s="95">
        <f t="shared" si="38"/>
        <v>0</v>
      </c>
      <c r="AN84" s="95">
        <f t="shared" si="38"/>
        <v>16667525</v>
      </c>
    </row>
    <row r="85" spans="1:40" x14ac:dyDescent="0.2">
      <c r="A85" s="88" t="s">
        <v>626</v>
      </c>
      <c r="B85" s="77"/>
      <c r="C85" s="77"/>
      <c r="D85" s="77"/>
      <c r="E85" s="9">
        <f t="shared" ref="E85:S85" si="42">SUM(E84,E79)</f>
        <v>482115.89</v>
      </c>
      <c r="F85" s="9">
        <f t="shared" si="42"/>
        <v>243663.18</v>
      </c>
      <c r="G85" s="9">
        <f t="shared" si="42"/>
        <v>119319.8</v>
      </c>
      <c r="H85" s="9">
        <f t="shared" si="42"/>
        <v>552414.47</v>
      </c>
      <c r="I85" s="9">
        <f t="shared" si="42"/>
        <v>292235.03999999998</v>
      </c>
      <c r="J85" s="9">
        <f t="shared" si="42"/>
        <v>503492.25</v>
      </c>
      <c r="K85" s="9">
        <f t="shared" si="42"/>
        <v>625209.9</v>
      </c>
      <c r="L85" s="9">
        <f t="shared" si="42"/>
        <v>725731.83999999997</v>
      </c>
      <c r="M85" s="9">
        <f t="shared" si="42"/>
        <v>2041403.27</v>
      </c>
      <c r="N85" s="9">
        <f t="shared" si="42"/>
        <v>732992.94</v>
      </c>
      <c r="O85" s="9">
        <f t="shared" si="42"/>
        <v>1313498.81</v>
      </c>
      <c r="P85" s="9">
        <f t="shared" si="42"/>
        <v>852400.21</v>
      </c>
      <c r="Q85" s="9">
        <f t="shared" si="42"/>
        <v>5639594.6799999997</v>
      </c>
      <c r="R85" s="9">
        <f t="shared" si="42"/>
        <v>13178827.91</v>
      </c>
      <c r="S85" s="9">
        <f t="shared" si="42"/>
        <v>15366498.439999999</v>
      </c>
      <c r="T85" s="9">
        <v>16667167.550000001</v>
      </c>
      <c r="U85" s="9">
        <v>17979226.280000001</v>
      </c>
      <c r="V85" s="9">
        <v>18147810.530000001</v>
      </c>
      <c r="W85" s="9">
        <v>18191436.350000001</v>
      </c>
      <c r="X85" s="9">
        <v>17609347.07</v>
      </c>
      <c r="Y85" s="9">
        <v>17869375.129999999</v>
      </c>
      <c r="Z85" s="9">
        <v>17409161.120000001</v>
      </c>
      <c r="AA85" s="9">
        <v>17401093.640000001</v>
      </c>
      <c r="AB85" s="9">
        <v>17958976.140000001</v>
      </c>
      <c r="AD85" s="94">
        <f t="shared" ref="AD85:AK94" si="43">INDEX($E85:$AB85,MATCH(AD$5,$E$5:$AB$5,0))</f>
        <v>119319.8</v>
      </c>
      <c r="AE85" s="94">
        <f t="shared" si="43"/>
        <v>503492.25</v>
      </c>
      <c r="AF85" s="94">
        <f t="shared" si="43"/>
        <v>2041403.27</v>
      </c>
      <c r="AG85" s="94">
        <f t="shared" si="43"/>
        <v>852400.21</v>
      </c>
      <c r="AH85" s="94">
        <f t="shared" si="43"/>
        <v>15366498.439999999</v>
      </c>
      <c r="AI85" s="94">
        <f t="shared" si="43"/>
        <v>18147810.530000001</v>
      </c>
      <c r="AJ85" s="94">
        <f t="shared" si="43"/>
        <v>17869375.129999999</v>
      </c>
      <c r="AK85" s="94">
        <f t="shared" si="43"/>
        <v>17958976.140000001</v>
      </c>
      <c r="AM85" s="94">
        <f t="shared" si="38"/>
        <v>852400.21</v>
      </c>
      <c r="AN85" s="94">
        <f t="shared" si="38"/>
        <v>17958976.140000001</v>
      </c>
    </row>
    <row r="86" spans="1:40" x14ac:dyDescent="0.2">
      <c r="A86" s="88" t="s">
        <v>186</v>
      </c>
      <c r="B86" s="77"/>
      <c r="C86" s="77"/>
      <c r="D86" s="77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8"/>
      <c r="R86" s="8"/>
      <c r="S86" s="8"/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D86" s="52">
        <f t="shared" si="43"/>
        <v>0</v>
      </c>
      <c r="AE86" s="52">
        <f t="shared" si="43"/>
        <v>0</v>
      </c>
      <c r="AF86" s="52">
        <f t="shared" si="43"/>
        <v>0</v>
      </c>
      <c r="AG86" s="52">
        <f t="shared" si="43"/>
        <v>0</v>
      </c>
      <c r="AH86" s="52">
        <f t="shared" si="43"/>
        <v>0</v>
      </c>
      <c r="AI86" s="52">
        <f t="shared" si="43"/>
        <v>0</v>
      </c>
      <c r="AJ86" s="52">
        <f t="shared" si="43"/>
        <v>0</v>
      </c>
      <c r="AK86" s="52">
        <f t="shared" si="43"/>
        <v>0</v>
      </c>
      <c r="AM86" s="52">
        <f t="shared" si="38"/>
        <v>0</v>
      </c>
      <c r="AN86" s="52">
        <f t="shared" si="38"/>
        <v>0</v>
      </c>
    </row>
    <row r="87" spans="1:40" outlineLevel="1" x14ac:dyDescent="0.2">
      <c r="A87" s="89" t="s">
        <v>627</v>
      </c>
      <c r="B87" s="77" t="s">
        <v>628</v>
      </c>
      <c r="C87" s="77"/>
      <c r="D87" s="77"/>
      <c r="E87" s="85">
        <v>10.43</v>
      </c>
      <c r="F87" s="85">
        <v>10.43</v>
      </c>
      <c r="G87" s="85">
        <v>10.43</v>
      </c>
      <c r="H87" s="85">
        <v>10.43</v>
      </c>
      <c r="I87" s="85">
        <v>10.43</v>
      </c>
      <c r="J87" s="85">
        <v>10.43</v>
      </c>
      <c r="K87" s="85">
        <v>10.43</v>
      </c>
      <c r="L87" s="85">
        <v>10.43</v>
      </c>
      <c r="M87" s="85">
        <v>10.43</v>
      </c>
      <c r="N87" s="85">
        <v>10.43</v>
      </c>
      <c r="O87" s="85">
        <v>10.43</v>
      </c>
      <c r="P87" s="85">
        <v>10.43</v>
      </c>
      <c r="Q87" s="86">
        <v>10.43</v>
      </c>
      <c r="R87" s="86">
        <v>10.43</v>
      </c>
      <c r="S87" s="86">
        <v>10.43</v>
      </c>
      <c r="T87" s="86">
        <v>10.43</v>
      </c>
      <c r="U87" s="86">
        <v>10.43</v>
      </c>
      <c r="V87" s="86">
        <v>10.43</v>
      </c>
      <c r="W87" s="86">
        <v>10.43</v>
      </c>
      <c r="X87" s="86">
        <v>10.43</v>
      </c>
      <c r="Y87" s="86">
        <v>10.43</v>
      </c>
      <c r="Z87" s="86">
        <v>10.43</v>
      </c>
      <c r="AA87" s="86">
        <v>10.43</v>
      </c>
      <c r="AB87" s="86">
        <v>10.43</v>
      </c>
      <c r="AD87" s="93">
        <f t="shared" si="43"/>
        <v>10.43</v>
      </c>
      <c r="AE87" s="93">
        <f t="shared" si="43"/>
        <v>10.43</v>
      </c>
      <c r="AF87" s="93">
        <f t="shared" si="43"/>
        <v>10.43</v>
      </c>
      <c r="AG87" s="93">
        <f t="shared" si="43"/>
        <v>10.43</v>
      </c>
      <c r="AH87" s="93">
        <f t="shared" si="43"/>
        <v>10.43</v>
      </c>
      <c r="AI87" s="93">
        <f t="shared" si="43"/>
        <v>10.43</v>
      </c>
      <c r="AJ87" s="93">
        <f t="shared" si="43"/>
        <v>10.43</v>
      </c>
      <c r="AK87" s="93">
        <f t="shared" si="43"/>
        <v>10.43</v>
      </c>
      <c r="AM87" s="93">
        <f t="shared" si="38"/>
        <v>10.43</v>
      </c>
      <c r="AN87" s="93">
        <f t="shared" si="38"/>
        <v>10.43</v>
      </c>
    </row>
    <row r="88" spans="1:40" outlineLevel="1" x14ac:dyDescent="0.2">
      <c r="A88" s="90" t="s">
        <v>629</v>
      </c>
      <c r="B88" s="77" t="s">
        <v>630</v>
      </c>
      <c r="C88" s="77"/>
      <c r="D88" s="77"/>
      <c r="E88" s="85">
        <v>9301524.8900000006</v>
      </c>
      <c r="F88" s="85">
        <v>9301524.8900000006</v>
      </c>
      <c r="G88" s="85">
        <v>9301524.8900000006</v>
      </c>
      <c r="H88" s="85">
        <v>9301524.8900000006</v>
      </c>
      <c r="I88" s="85">
        <v>9301524.8900000006</v>
      </c>
      <c r="J88" s="85">
        <v>9301524.8900000006</v>
      </c>
      <c r="K88" s="85">
        <v>9301524.8900000006</v>
      </c>
      <c r="L88" s="85">
        <v>9301524.8900000006</v>
      </c>
      <c r="M88" s="85">
        <v>9301524.8900000006</v>
      </c>
      <c r="N88" s="85">
        <v>9301524.8900000006</v>
      </c>
      <c r="O88" s="85">
        <v>9301524.8900000006</v>
      </c>
      <c r="P88" s="85">
        <v>9301524.8900000006</v>
      </c>
      <c r="Q88" s="86">
        <v>9301524.8900000006</v>
      </c>
      <c r="R88" s="86">
        <v>9301524.8900000006</v>
      </c>
      <c r="S88" s="86">
        <v>9301524.8900000006</v>
      </c>
      <c r="T88" s="86">
        <v>9301524.8900000006</v>
      </c>
      <c r="U88" s="86">
        <v>9301524.8900000006</v>
      </c>
      <c r="V88" s="86">
        <v>9301524.8900000006</v>
      </c>
      <c r="W88" s="86">
        <v>9301524.8900000006</v>
      </c>
      <c r="X88" s="86">
        <v>9301524.8900000006</v>
      </c>
      <c r="Y88" s="86">
        <v>9301524.8900000006</v>
      </c>
      <c r="Z88" s="86">
        <v>9301524.8900000006</v>
      </c>
      <c r="AA88" s="86">
        <v>9301524.8900000006</v>
      </c>
      <c r="AB88" s="86">
        <v>9301524.8900000006</v>
      </c>
      <c r="AD88" s="93">
        <f t="shared" si="43"/>
        <v>9301524.8900000006</v>
      </c>
      <c r="AE88" s="93">
        <f t="shared" si="43"/>
        <v>9301524.8900000006</v>
      </c>
      <c r="AF88" s="93">
        <f t="shared" si="43"/>
        <v>9301524.8900000006</v>
      </c>
      <c r="AG88" s="93">
        <f t="shared" si="43"/>
        <v>9301524.8900000006</v>
      </c>
      <c r="AH88" s="93">
        <f t="shared" si="43"/>
        <v>9301524.8900000006</v>
      </c>
      <c r="AI88" s="93">
        <f t="shared" si="43"/>
        <v>9301524.8900000006</v>
      </c>
      <c r="AJ88" s="93">
        <f t="shared" si="43"/>
        <v>9301524.8900000006</v>
      </c>
      <c r="AK88" s="93">
        <f t="shared" si="43"/>
        <v>9301524.8900000006</v>
      </c>
      <c r="AM88" s="93">
        <f t="shared" si="38"/>
        <v>9301524.8900000006</v>
      </c>
      <c r="AN88" s="93">
        <f t="shared" si="38"/>
        <v>9301524.8900000006</v>
      </c>
    </row>
    <row r="89" spans="1:40" x14ac:dyDescent="0.2">
      <c r="A89" s="89" t="s">
        <v>631</v>
      </c>
      <c r="B89" s="77"/>
      <c r="C89" s="77"/>
      <c r="D89" s="77"/>
      <c r="E89" s="9">
        <f>SUM(E87:E88)</f>
        <v>9301535.3200000003</v>
      </c>
      <c r="F89" s="9">
        <f t="shared" ref="F89:R89" si="44">SUM(F87:F88)</f>
        <v>9301535.3200000003</v>
      </c>
      <c r="G89" s="9">
        <f t="shared" si="44"/>
        <v>9301535.3200000003</v>
      </c>
      <c r="H89" s="9">
        <f t="shared" si="44"/>
        <v>9301535.3200000003</v>
      </c>
      <c r="I89" s="9">
        <f t="shared" si="44"/>
        <v>9301535.3200000003</v>
      </c>
      <c r="J89" s="9">
        <f t="shared" si="44"/>
        <v>9301535.3200000003</v>
      </c>
      <c r="K89" s="9">
        <f t="shared" si="44"/>
        <v>9301535.3200000003</v>
      </c>
      <c r="L89" s="9">
        <f t="shared" si="44"/>
        <v>9301535.3200000003</v>
      </c>
      <c r="M89" s="9">
        <f t="shared" si="44"/>
        <v>9301535.3200000003</v>
      </c>
      <c r="N89" s="9">
        <f t="shared" si="44"/>
        <v>9301535.3200000003</v>
      </c>
      <c r="O89" s="9">
        <f t="shared" si="44"/>
        <v>9301535.3200000003</v>
      </c>
      <c r="P89" s="9">
        <f t="shared" si="44"/>
        <v>9301535.3200000003</v>
      </c>
      <c r="Q89" s="9">
        <f t="shared" si="44"/>
        <v>9301535.3200000003</v>
      </c>
      <c r="R89" s="9">
        <f t="shared" si="44"/>
        <v>9301535.3200000003</v>
      </c>
      <c r="S89" s="9">
        <f t="shared" ref="S89" si="45">SUM(S87:S88)</f>
        <v>9301535.3200000003</v>
      </c>
      <c r="T89" s="9">
        <v>9301535.3200000003</v>
      </c>
      <c r="U89" s="9">
        <v>9301535.3200000003</v>
      </c>
      <c r="V89" s="9">
        <v>9301535.3200000003</v>
      </c>
      <c r="W89" s="9">
        <v>9301535.3200000003</v>
      </c>
      <c r="X89" s="9">
        <v>9301535.3200000003</v>
      </c>
      <c r="Y89" s="9">
        <v>9301535.3200000003</v>
      </c>
      <c r="Z89" s="9">
        <v>9301535.3200000003</v>
      </c>
      <c r="AA89" s="9">
        <v>9301535.3200000003</v>
      </c>
      <c r="AB89" s="9">
        <v>9301535.3200000003</v>
      </c>
      <c r="AD89" s="94">
        <f t="shared" si="43"/>
        <v>9301535.3200000003</v>
      </c>
      <c r="AE89" s="94">
        <f t="shared" si="43"/>
        <v>9301535.3200000003</v>
      </c>
      <c r="AF89" s="94">
        <f t="shared" si="43"/>
        <v>9301535.3200000003</v>
      </c>
      <c r="AG89" s="94">
        <f t="shared" si="43"/>
        <v>9301535.3200000003</v>
      </c>
      <c r="AH89" s="94">
        <f t="shared" si="43"/>
        <v>9301535.3200000003</v>
      </c>
      <c r="AI89" s="94">
        <f t="shared" si="43"/>
        <v>9301535.3200000003</v>
      </c>
      <c r="AJ89" s="94">
        <f t="shared" si="43"/>
        <v>9301535.3200000003</v>
      </c>
      <c r="AK89" s="94">
        <f t="shared" si="43"/>
        <v>9301535.3200000003</v>
      </c>
      <c r="AM89" s="94">
        <f t="shared" si="38"/>
        <v>9301535.3200000003</v>
      </c>
      <c r="AN89" s="94">
        <f t="shared" si="38"/>
        <v>9301535.3200000003</v>
      </c>
    </row>
    <row r="90" spans="1:40" outlineLevel="1" x14ac:dyDescent="0.2">
      <c r="A90" s="89" t="s">
        <v>524</v>
      </c>
      <c r="B90" s="77" t="s">
        <v>525</v>
      </c>
      <c r="C90" s="77"/>
      <c r="D90" s="77"/>
      <c r="E90" s="85">
        <v>125.43</v>
      </c>
      <c r="F90" s="85">
        <v>125.43</v>
      </c>
      <c r="G90" s="85">
        <v>186.53</v>
      </c>
      <c r="H90" s="85">
        <v>186.53</v>
      </c>
      <c r="I90" s="85">
        <v>186.53</v>
      </c>
      <c r="J90" s="85">
        <v>186.53</v>
      </c>
      <c r="K90" s="85">
        <v>186.53</v>
      </c>
      <c r="L90" s="85">
        <v>186.53</v>
      </c>
      <c r="M90" s="85">
        <v>186.53</v>
      </c>
      <c r="N90" s="85">
        <v>186.53</v>
      </c>
      <c r="O90" s="85">
        <v>186.53</v>
      </c>
      <c r="P90" s="85">
        <v>186.53</v>
      </c>
      <c r="Q90" s="86">
        <v>186.53</v>
      </c>
      <c r="R90" s="86">
        <v>186.53</v>
      </c>
      <c r="S90" s="86">
        <v>186.53</v>
      </c>
      <c r="T90" s="86">
        <v>186.53</v>
      </c>
      <c r="U90" s="86">
        <v>186.53</v>
      </c>
      <c r="V90" s="86">
        <v>186.53</v>
      </c>
      <c r="W90" s="86">
        <v>186.53</v>
      </c>
      <c r="X90" s="86">
        <v>186.53</v>
      </c>
      <c r="Y90" s="86">
        <v>186.53</v>
      </c>
      <c r="Z90" s="86">
        <v>186.53</v>
      </c>
      <c r="AA90" s="86">
        <v>186.53</v>
      </c>
      <c r="AB90" s="86">
        <v>186.53</v>
      </c>
      <c r="AD90" s="93">
        <f t="shared" si="43"/>
        <v>186.53</v>
      </c>
      <c r="AE90" s="93">
        <f t="shared" si="43"/>
        <v>186.53</v>
      </c>
      <c r="AF90" s="93">
        <f t="shared" si="43"/>
        <v>186.53</v>
      </c>
      <c r="AG90" s="93">
        <f t="shared" si="43"/>
        <v>186.53</v>
      </c>
      <c r="AH90" s="93">
        <f t="shared" si="43"/>
        <v>186.53</v>
      </c>
      <c r="AI90" s="93">
        <f t="shared" si="43"/>
        <v>186.53</v>
      </c>
      <c r="AJ90" s="93">
        <f t="shared" si="43"/>
        <v>186.53</v>
      </c>
      <c r="AK90" s="93">
        <f t="shared" si="43"/>
        <v>186.53</v>
      </c>
      <c r="AM90" s="93">
        <f t="shared" si="38"/>
        <v>186.53</v>
      </c>
      <c r="AN90" s="93">
        <f t="shared" si="38"/>
        <v>186.53</v>
      </c>
    </row>
    <row r="91" spans="1:40" outlineLevel="1" x14ac:dyDescent="0.2">
      <c r="A91" s="90" t="s">
        <v>632</v>
      </c>
      <c r="B91" s="77" t="s">
        <v>527</v>
      </c>
      <c r="C91" s="77"/>
      <c r="D91" s="77"/>
      <c r="E91" s="85">
        <v>-231417.15</v>
      </c>
      <c r="F91" s="85">
        <v>-325181.65000000002</v>
      </c>
      <c r="G91" s="85">
        <v>-330917.8</v>
      </c>
      <c r="H91" s="85">
        <v>-342370.3</v>
      </c>
      <c r="I91" s="85">
        <v>-354418.15</v>
      </c>
      <c r="J91" s="85">
        <v>-370736.95</v>
      </c>
      <c r="K91" s="85">
        <v>-378525.75</v>
      </c>
      <c r="L91" s="85">
        <v>-380161.05</v>
      </c>
      <c r="M91" s="85">
        <v>-380161.05</v>
      </c>
      <c r="N91" s="85">
        <v>-380161.05</v>
      </c>
      <c r="O91" s="85">
        <v>-380161.05</v>
      </c>
      <c r="P91" s="85">
        <v>-380161.05</v>
      </c>
      <c r="Q91" s="86">
        <v>-380161.05</v>
      </c>
      <c r="R91" s="86">
        <v>-380161.05</v>
      </c>
      <c r="S91" s="86">
        <v>-380161.05</v>
      </c>
      <c r="T91" s="86">
        <v>-380161.05</v>
      </c>
      <c r="U91" s="86">
        <v>-380161.05</v>
      </c>
      <c r="V91" s="86">
        <v>-380161.05</v>
      </c>
      <c r="W91" s="86">
        <v>-380161.05</v>
      </c>
      <c r="X91" s="86">
        <v>-380161.05</v>
      </c>
      <c r="Y91" s="86">
        <v>-380161.05</v>
      </c>
      <c r="Z91" s="86">
        <v>-380161.05</v>
      </c>
      <c r="AA91" s="86">
        <v>-380161.05</v>
      </c>
      <c r="AB91" s="86">
        <v>-380161.05</v>
      </c>
      <c r="AD91" s="93">
        <f t="shared" si="43"/>
        <v>-330917.8</v>
      </c>
      <c r="AE91" s="93">
        <f t="shared" si="43"/>
        <v>-370736.95</v>
      </c>
      <c r="AF91" s="93">
        <f t="shared" si="43"/>
        <v>-380161.05</v>
      </c>
      <c r="AG91" s="93">
        <f t="shared" si="43"/>
        <v>-380161.05</v>
      </c>
      <c r="AH91" s="93">
        <f t="shared" si="43"/>
        <v>-380161.05</v>
      </c>
      <c r="AI91" s="93">
        <f t="shared" si="43"/>
        <v>-380161.05</v>
      </c>
      <c r="AJ91" s="93">
        <f t="shared" si="43"/>
        <v>-380161.05</v>
      </c>
      <c r="AK91" s="93">
        <f t="shared" si="43"/>
        <v>-380161.05</v>
      </c>
      <c r="AM91" s="93">
        <f t="shared" si="38"/>
        <v>-380161.05</v>
      </c>
      <c r="AN91" s="93">
        <f t="shared" si="38"/>
        <v>-380161.05</v>
      </c>
    </row>
    <row r="92" spans="1:40" outlineLevel="1" x14ac:dyDescent="0.2">
      <c r="A92" s="90" t="s">
        <v>633</v>
      </c>
      <c r="B92" s="77" t="s">
        <v>529</v>
      </c>
      <c r="C92" s="77"/>
      <c r="D92" s="77"/>
      <c r="E92" s="85">
        <v>23499863.530000001</v>
      </c>
      <c r="F92" s="85">
        <v>23499863.530000001</v>
      </c>
      <c r="G92" s="85">
        <v>29609800.370000001</v>
      </c>
      <c r="H92" s="85">
        <v>32209794.57</v>
      </c>
      <c r="I92" s="85">
        <v>33799790.899999999</v>
      </c>
      <c r="J92" s="85">
        <v>33799790.899999999</v>
      </c>
      <c r="K92" s="85">
        <v>34299790.899999999</v>
      </c>
      <c r="L92" s="85">
        <v>34299790.899999999</v>
      </c>
      <c r="M92" s="85">
        <v>34299790.899999999</v>
      </c>
      <c r="N92" s="85">
        <v>34299790.899999999</v>
      </c>
      <c r="O92" s="85">
        <v>34299790.899999999</v>
      </c>
      <c r="P92" s="85">
        <v>34299790.899999999</v>
      </c>
      <c r="Q92" s="86">
        <v>34299790.899999999</v>
      </c>
      <c r="R92" s="86">
        <v>34299790.899999999</v>
      </c>
      <c r="S92" s="86">
        <v>34299790.899999999</v>
      </c>
      <c r="T92" s="86">
        <v>34299790.899999999</v>
      </c>
      <c r="U92" s="86">
        <v>34299790.899999999</v>
      </c>
      <c r="V92" s="86">
        <v>34299790.899999999</v>
      </c>
      <c r="W92" s="86">
        <v>34299790.899999999</v>
      </c>
      <c r="X92" s="86">
        <v>34299790.899999999</v>
      </c>
      <c r="Y92" s="86">
        <v>34299790.899999999</v>
      </c>
      <c r="Z92" s="86">
        <v>34299790.899999999</v>
      </c>
      <c r="AA92" s="86">
        <v>34299790.899999999</v>
      </c>
      <c r="AB92" s="86">
        <v>34299790.899999999</v>
      </c>
      <c r="AD92" s="93">
        <f t="shared" si="43"/>
        <v>29609800.370000001</v>
      </c>
      <c r="AE92" s="93">
        <f t="shared" si="43"/>
        <v>33799790.899999999</v>
      </c>
      <c r="AF92" s="93">
        <f t="shared" si="43"/>
        <v>34299790.899999999</v>
      </c>
      <c r="AG92" s="93">
        <f t="shared" si="43"/>
        <v>34299790.899999999</v>
      </c>
      <c r="AH92" s="93">
        <f t="shared" si="43"/>
        <v>34299790.899999999</v>
      </c>
      <c r="AI92" s="93">
        <f t="shared" si="43"/>
        <v>34299790.899999999</v>
      </c>
      <c r="AJ92" s="93">
        <f t="shared" si="43"/>
        <v>34299790.899999999</v>
      </c>
      <c r="AK92" s="93">
        <f t="shared" si="43"/>
        <v>34299790.899999999</v>
      </c>
      <c r="AM92" s="93">
        <f t="shared" si="38"/>
        <v>34299790.899999999</v>
      </c>
      <c r="AN92" s="93">
        <f t="shared" si="38"/>
        <v>34299790.899999999</v>
      </c>
    </row>
    <row r="93" spans="1:40" x14ac:dyDescent="0.2">
      <c r="A93" s="89" t="s">
        <v>634</v>
      </c>
      <c r="B93" s="77"/>
      <c r="C93" s="77"/>
      <c r="D93" s="77"/>
      <c r="E93" s="9">
        <f>SUM(E90:E92)</f>
        <v>23268571.810000002</v>
      </c>
      <c r="F93" s="9">
        <f t="shared" ref="F93:R93" si="46">SUM(F90:F92)</f>
        <v>23174807.310000002</v>
      </c>
      <c r="G93" s="9">
        <f t="shared" si="46"/>
        <v>29279069.100000001</v>
      </c>
      <c r="H93" s="9">
        <f t="shared" si="46"/>
        <v>31867610.800000001</v>
      </c>
      <c r="I93" s="9">
        <f t="shared" si="46"/>
        <v>33445559.279999997</v>
      </c>
      <c r="J93" s="9">
        <f t="shared" si="46"/>
        <v>33429240.479999997</v>
      </c>
      <c r="K93" s="9">
        <f t="shared" si="46"/>
        <v>33921451.68</v>
      </c>
      <c r="L93" s="9">
        <f t="shared" si="46"/>
        <v>33919816.379999995</v>
      </c>
      <c r="M93" s="9">
        <f t="shared" si="46"/>
        <v>33919816.379999995</v>
      </c>
      <c r="N93" s="9">
        <f t="shared" si="46"/>
        <v>33919816.379999995</v>
      </c>
      <c r="O93" s="9">
        <f t="shared" si="46"/>
        <v>33919816.379999995</v>
      </c>
      <c r="P93" s="9">
        <f t="shared" si="46"/>
        <v>33919816.379999995</v>
      </c>
      <c r="Q93" s="9">
        <f t="shared" si="46"/>
        <v>33919816.379999995</v>
      </c>
      <c r="R93" s="9">
        <f t="shared" si="46"/>
        <v>33919816.379999995</v>
      </c>
      <c r="S93" s="9">
        <f t="shared" ref="S93" si="47">SUM(S90:S92)</f>
        <v>33919816.379999995</v>
      </c>
      <c r="T93" s="9">
        <v>33919816.379999995</v>
      </c>
      <c r="U93" s="9">
        <v>33919816.379999995</v>
      </c>
      <c r="V93" s="9">
        <v>33919816.379999995</v>
      </c>
      <c r="W93" s="9">
        <v>33919816.379999995</v>
      </c>
      <c r="X93" s="9">
        <v>33919816.379999995</v>
      </c>
      <c r="Y93" s="9">
        <v>33919816.379999995</v>
      </c>
      <c r="Z93" s="9">
        <v>33919816.379999995</v>
      </c>
      <c r="AA93" s="9">
        <v>33919816.379999995</v>
      </c>
      <c r="AB93" s="9">
        <v>33919816.379999995</v>
      </c>
      <c r="AD93" s="94">
        <f t="shared" si="43"/>
        <v>29279069.100000001</v>
      </c>
      <c r="AE93" s="94">
        <f t="shared" si="43"/>
        <v>33429240.479999997</v>
      </c>
      <c r="AF93" s="94">
        <f t="shared" si="43"/>
        <v>33919816.379999995</v>
      </c>
      <c r="AG93" s="94">
        <f t="shared" si="43"/>
        <v>33919816.379999995</v>
      </c>
      <c r="AH93" s="94">
        <f t="shared" si="43"/>
        <v>33919816.379999995</v>
      </c>
      <c r="AI93" s="94">
        <f t="shared" si="43"/>
        <v>33919816.379999995</v>
      </c>
      <c r="AJ93" s="94">
        <f t="shared" si="43"/>
        <v>33919816.379999995</v>
      </c>
      <c r="AK93" s="94">
        <f t="shared" si="43"/>
        <v>33919816.379999995</v>
      </c>
      <c r="AM93" s="94">
        <f t="shared" si="38"/>
        <v>33919816.379999995</v>
      </c>
      <c r="AN93" s="94">
        <f t="shared" si="38"/>
        <v>33919816.379999995</v>
      </c>
    </row>
    <row r="94" spans="1:40" x14ac:dyDescent="0.2">
      <c r="A94" s="89" t="s">
        <v>635</v>
      </c>
      <c r="B94" s="77" t="s">
        <v>636</v>
      </c>
      <c r="C94" s="77"/>
      <c r="D94" s="77"/>
      <c r="E94" s="85">
        <v>402856</v>
      </c>
      <c r="F94" s="85">
        <v>402856</v>
      </c>
      <c r="G94" s="85">
        <v>402856</v>
      </c>
      <c r="H94" s="85">
        <v>402856</v>
      </c>
      <c r="I94" s="85">
        <v>402856</v>
      </c>
      <c r="J94" s="85">
        <v>402856</v>
      </c>
      <c r="K94" s="85">
        <v>402856</v>
      </c>
      <c r="L94" s="85">
        <v>402856</v>
      </c>
      <c r="M94" s="85">
        <v>402856</v>
      </c>
      <c r="N94" s="85">
        <v>402856</v>
      </c>
      <c r="O94" s="85">
        <v>402856</v>
      </c>
      <c r="P94" s="85">
        <v>402856</v>
      </c>
      <c r="Q94" s="86">
        <v>402856</v>
      </c>
      <c r="R94" s="86">
        <v>402856</v>
      </c>
      <c r="S94" s="86">
        <v>402856</v>
      </c>
      <c r="T94" s="86">
        <v>402856</v>
      </c>
      <c r="U94" s="86">
        <v>402856</v>
      </c>
      <c r="V94" s="86">
        <v>402856</v>
      </c>
      <c r="W94" s="86">
        <v>718689</v>
      </c>
      <c r="X94" s="86">
        <v>763808</v>
      </c>
      <c r="Y94" s="86">
        <v>809514</v>
      </c>
      <c r="Z94" s="86">
        <v>855220</v>
      </c>
      <c r="AA94" s="86">
        <v>900926</v>
      </c>
      <c r="AB94" s="86">
        <v>911067</v>
      </c>
      <c r="AD94" s="93">
        <f t="shared" si="43"/>
        <v>402856</v>
      </c>
      <c r="AE94" s="93">
        <f t="shared" si="43"/>
        <v>402856</v>
      </c>
      <c r="AF94" s="93">
        <f t="shared" si="43"/>
        <v>402856</v>
      </c>
      <c r="AG94" s="93">
        <f t="shared" si="43"/>
        <v>402856</v>
      </c>
      <c r="AH94" s="93">
        <f t="shared" si="43"/>
        <v>402856</v>
      </c>
      <c r="AI94" s="93">
        <f t="shared" si="43"/>
        <v>402856</v>
      </c>
      <c r="AJ94" s="93">
        <f t="shared" si="43"/>
        <v>809514</v>
      </c>
      <c r="AK94" s="93">
        <f t="shared" si="43"/>
        <v>911067</v>
      </c>
      <c r="AM94" s="93">
        <f t="shared" si="38"/>
        <v>402856</v>
      </c>
      <c r="AN94" s="93">
        <f t="shared" si="38"/>
        <v>911067</v>
      </c>
    </row>
    <row r="95" spans="1:40" x14ac:dyDescent="0.2">
      <c r="A95" s="89" t="s">
        <v>637</v>
      </c>
      <c r="B95" s="77" t="s">
        <v>638</v>
      </c>
      <c r="C95" s="77"/>
      <c r="D95" s="77"/>
      <c r="E95" s="85">
        <v>-3367723</v>
      </c>
      <c r="F95" s="85">
        <v>-3367723</v>
      </c>
      <c r="G95" s="85">
        <v>-3367723</v>
      </c>
      <c r="H95" s="85">
        <v>-3367723</v>
      </c>
      <c r="I95" s="85">
        <v>-3367723</v>
      </c>
      <c r="J95" s="85">
        <v>-3367723</v>
      </c>
      <c r="K95" s="85">
        <v>-3367723</v>
      </c>
      <c r="L95" s="85">
        <v>-3367723</v>
      </c>
      <c r="M95" s="85">
        <v>-3367723</v>
      </c>
      <c r="N95" s="85">
        <v>-3367723</v>
      </c>
      <c r="O95" s="85">
        <v>-3367723</v>
      </c>
      <c r="P95" s="85">
        <v>-3367723</v>
      </c>
      <c r="Q95" s="86">
        <v>-3367723</v>
      </c>
      <c r="R95" s="86">
        <v>-3367723</v>
      </c>
      <c r="S95" s="86">
        <v>-3367723</v>
      </c>
      <c r="T95" s="86">
        <v>-2908915</v>
      </c>
      <c r="U95" s="86">
        <v>-2908915</v>
      </c>
      <c r="V95" s="86">
        <v>-2908915</v>
      </c>
      <c r="W95" s="86">
        <v>-2908915</v>
      </c>
      <c r="X95" s="86">
        <v>-2908915</v>
      </c>
      <c r="Y95" s="86">
        <v>-2908915</v>
      </c>
      <c r="Z95" s="86">
        <v>-2908915</v>
      </c>
      <c r="AA95" s="86">
        <v>-2908915</v>
      </c>
      <c r="AB95" s="86">
        <v>-2908915</v>
      </c>
      <c r="AD95" s="93">
        <f t="shared" ref="AD95:AK102" si="48">INDEX($E95:$AB95,MATCH(AD$5,$E$5:$AB$5,0))</f>
        <v>-3367723</v>
      </c>
      <c r="AE95" s="93">
        <f t="shared" si="48"/>
        <v>-3367723</v>
      </c>
      <c r="AF95" s="93">
        <f t="shared" si="48"/>
        <v>-3367723</v>
      </c>
      <c r="AG95" s="93">
        <f t="shared" si="48"/>
        <v>-3367723</v>
      </c>
      <c r="AH95" s="93">
        <f t="shared" si="48"/>
        <v>-3367723</v>
      </c>
      <c r="AI95" s="93">
        <f t="shared" si="48"/>
        <v>-2908915</v>
      </c>
      <c r="AJ95" s="93">
        <f t="shared" si="48"/>
        <v>-2908915</v>
      </c>
      <c r="AK95" s="93">
        <f t="shared" si="48"/>
        <v>-2908915</v>
      </c>
      <c r="AM95" s="93">
        <f t="shared" si="38"/>
        <v>-3367723</v>
      </c>
      <c r="AN95" s="93">
        <f t="shared" si="38"/>
        <v>-2908915</v>
      </c>
    </row>
    <row r="96" spans="1:40" x14ac:dyDescent="0.2">
      <c r="A96" s="89" t="s">
        <v>639</v>
      </c>
      <c r="B96" s="77" t="s">
        <v>640</v>
      </c>
      <c r="C96" s="77"/>
      <c r="D96" s="77"/>
      <c r="E96" s="85">
        <v>0</v>
      </c>
      <c r="F96" s="85">
        <v>0</v>
      </c>
      <c r="G96" s="85">
        <v>0</v>
      </c>
      <c r="H96" s="85">
        <v>0</v>
      </c>
      <c r="I96" s="85">
        <v>0</v>
      </c>
      <c r="J96" s="85">
        <v>0</v>
      </c>
      <c r="K96" s="85">
        <v>0</v>
      </c>
      <c r="L96" s="85">
        <v>0</v>
      </c>
      <c r="M96" s="85">
        <v>0</v>
      </c>
      <c r="N96" s="85">
        <v>0</v>
      </c>
      <c r="O96" s="85">
        <v>0</v>
      </c>
      <c r="P96" s="85">
        <v>0</v>
      </c>
      <c r="Q96" s="86">
        <v>0</v>
      </c>
      <c r="R96" s="86">
        <v>0</v>
      </c>
      <c r="S96" s="86">
        <v>0</v>
      </c>
      <c r="T96" s="86">
        <v>0</v>
      </c>
      <c r="U96" s="86">
        <v>0</v>
      </c>
      <c r="V96" s="86">
        <v>0</v>
      </c>
      <c r="W96" s="86">
        <v>0</v>
      </c>
      <c r="X96" s="86">
        <v>0</v>
      </c>
      <c r="Y96" s="86">
        <v>0</v>
      </c>
      <c r="Z96" s="86">
        <v>0</v>
      </c>
      <c r="AA96" s="86">
        <v>0</v>
      </c>
      <c r="AB96" s="86">
        <v>0</v>
      </c>
      <c r="AD96" s="93">
        <f t="shared" si="48"/>
        <v>0</v>
      </c>
      <c r="AE96" s="93">
        <f t="shared" si="48"/>
        <v>0</v>
      </c>
      <c r="AF96" s="93">
        <f t="shared" si="48"/>
        <v>0</v>
      </c>
      <c r="AG96" s="93">
        <f t="shared" si="48"/>
        <v>0</v>
      </c>
      <c r="AH96" s="93">
        <f t="shared" si="48"/>
        <v>0</v>
      </c>
      <c r="AI96" s="93">
        <f t="shared" si="48"/>
        <v>0</v>
      </c>
      <c r="AJ96" s="93">
        <f t="shared" si="48"/>
        <v>0</v>
      </c>
      <c r="AK96" s="93">
        <f t="shared" si="48"/>
        <v>0</v>
      </c>
      <c r="AM96" s="93">
        <f t="shared" si="38"/>
        <v>0</v>
      </c>
      <c r="AN96" s="93">
        <f t="shared" si="38"/>
        <v>0</v>
      </c>
    </row>
    <row r="97" spans="1:40" x14ac:dyDescent="0.2">
      <c r="A97" s="89" t="s">
        <v>641</v>
      </c>
      <c r="B97" s="77" t="s">
        <v>642</v>
      </c>
      <c r="C97" s="77"/>
      <c r="D97" s="77"/>
      <c r="E97" s="85">
        <v>-16850262.940000001</v>
      </c>
      <c r="F97" s="85">
        <v>-16850262.940000001</v>
      </c>
      <c r="G97" s="85">
        <v>-16850262.940000001</v>
      </c>
      <c r="H97" s="85">
        <v>-16850262.940000001</v>
      </c>
      <c r="I97" s="85">
        <v>-16850262.940000001</v>
      </c>
      <c r="J97" s="85">
        <v>-16850262.940000001</v>
      </c>
      <c r="K97" s="85">
        <v>-16850262.940000001</v>
      </c>
      <c r="L97" s="85">
        <v>-16850262.940000001</v>
      </c>
      <c r="M97" s="85">
        <v>-16850262.940000001</v>
      </c>
      <c r="N97" s="85">
        <v>-16850262.940000001</v>
      </c>
      <c r="O97" s="85">
        <v>-16850262.940000001</v>
      </c>
      <c r="P97" s="85">
        <v>-16850262.940000001</v>
      </c>
      <c r="Q97" s="86">
        <v>-30560633.920000002</v>
      </c>
      <c r="R97" s="86">
        <v>-30560633.920000002</v>
      </c>
      <c r="S97" s="86">
        <v>-30560633.920000002</v>
      </c>
      <c r="T97" s="86">
        <v>-35881449.079999998</v>
      </c>
      <c r="U97" s="86">
        <v>-35881449.079999998</v>
      </c>
      <c r="V97" s="86">
        <v>-35881449.079999998</v>
      </c>
      <c r="W97" s="86">
        <v>-35881449.079999998</v>
      </c>
      <c r="X97" s="86">
        <v>-35881449.079999998</v>
      </c>
      <c r="Y97" s="86">
        <v>-35881449.079999998</v>
      </c>
      <c r="Z97" s="86">
        <v>-35881449.079999998</v>
      </c>
      <c r="AA97" s="86">
        <v>-35881449.079999998</v>
      </c>
      <c r="AB97" s="86">
        <v>-35881449.079999998</v>
      </c>
      <c r="AD97" s="93">
        <f t="shared" si="48"/>
        <v>-16850262.940000001</v>
      </c>
      <c r="AE97" s="93">
        <f t="shared" si="48"/>
        <v>-16850262.940000001</v>
      </c>
      <c r="AF97" s="93">
        <f t="shared" si="48"/>
        <v>-16850262.940000001</v>
      </c>
      <c r="AG97" s="93">
        <f t="shared" si="48"/>
        <v>-16850262.940000001</v>
      </c>
      <c r="AH97" s="93">
        <f t="shared" si="48"/>
        <v>-30560633.920000002</v>
      </c>
      <c r="AI97" s="93">
        <f t="shared" si="48"/>
        <v>-35881449.079999998</v>
      </c>
      <c r="AJ97" s="93">
        <f t="shared" si="48"/>
        <v>-35881449.079999998</v>
      </c>
      <c r="AK97" s="93">
        <f t="shared" si="48"/>
        <v>-35881449.079999998</v>
      </c>
      <c r="AM97" s="93">
        <f t="shared" si="38"/>
        <v>-16850262.940000001</v>
      </c>
      <c r="AN97" s="93">
        <f t="shared" si="38"/>
        <v>-35881449.079999998</v>
      </c>
    </row>
    <row r="98" spans="1:40" outlineLevel="1" x14ac:dyDescent="0.2">
      <c r="A98" s="89" t="s">
        <v>531</v>
      </c>
      <c r="B98" s="77"/>
      <c r="C98" s="77"/>
      <c r="D98" s="77"/>
      <c r="E98" s="86">
        <v>0.01</v>
      </c>
      <c r="F98" s="86">
        <v>0.01</v>
      </c>
      <c r="G98" s="86">
        <v>0.01</v>
      </c>
      <c r="H98" s="86">
        <v>0.01</v>
      </c>
      <c r="I98" s="86">
        <v>0.01</v>
      </c>
      <c r="J98" s="86">
        <v>0.01</v>
      </c>
      <c r="K98" s="86">
        <v>0.01</v>
      </c>
      <c r="L98" s="86">
        <v>0.01</v>
      </c>
      <c r="M98" s="86">
        <v>0.01</v>
      </c>
      <c r="N98" s="86">
        <v>0.01</v>
      </c>
      <c r="O98" s="86">
        <v>0.01</v>
      </c>
      <c r="P98" s="86">
        <v>0.01</v>
      </c>
      <c r="Q98" s="86">
        <v>0</v>
      </c>
      <c r="R98" s="86">
        <v>0</v>
      </c>
      <c r="S98" s="86">
        <v>0</v>
      </c>
      <c r="T98" s="86">
        <v>0</v>
      </c>
      <c r="U98" s="86">
        <v>0</v>
      </c>
      <c r="V98" s="86">
        <v>0</v>
      </c>
      <c r="W98" s="86">
        <v>0</v>
      </c>
      <c r="X98" s="86">
        <v>0</v>
      </c>
      <c r="Y98" s="86">
        <v>0</v>
      </c>
      <c r="Z98" s="86">
        <v>0</v>
      </c>
      <c r="AA98" s="86">
        <v>0</v>
      </c>
      <c r="AB98" s="86">
        <v>0</v>
      </c>
      <c r="AD98" s="93">
        <f t="shared" si="48"/>
        <v>0.01</v>
      </c>
      <c r="AE98" s="93">
        <f t="shared" si="48"/>
        <v>0.01</v>
      </c>
      <c r="AF98" s="93">
        <f t="shared" si="48"/>
        <v>0.01</v>
      </c>
      <c r="AG98" s="93">
        <f t="shared" si="48"/>
        <v>0.01</v>
      </c>
      <c r="AH98" s="93">
        <f t="shared" si="48"/>
        <v>0</v>
      </c>
      <c r="AI98" s="93">
        <f t="shared" si="48"/>
        <v>0</v>
      </c>
      <c r="AJ98" s="93">
        <f t="shared" si="48"/>
        <v>0</v>
      </c>
      <c r="AK98" s="93">
        <f t="shared" si="48"/>
        <v>0</v>
      </c>
      <c r="AM98" s="93">
        <f t="shared" si="38"/>
        <v>0.01</v>
      </c>
      <c r="AN98" s="93">
        <f t="shared" si="38"/>
        <v>0</v>
      </c>
    </row>
    <row r="99" spans="1:40" outlineLevel="1" x14ac:dyDescent="0.2">
      <c r="A99" s="89" t="s">
        <v>643</v>
      </c>
      <c r="B99" s="77"/>
      <c r="C99" s="77"/>
      <c r="D99" s="77"/>
      <c r="E99" s="86">
        <v>0</v>
      </c>
      <c r="F99" s="86">
        <v>0</v>
      </c>
      <c r="G99" s="86">
        <v>0</v>
      </c>
      <c r="H99" s="86">
        <v>0</v>
      </c>
      <c r="I99" s="86">
        <v>0</v>
      </c>
      <c r="J99" s="86">
        <v>0</v>
      </c>
      <c r="K99" s="86">
        <v>0</v>
      </c>
      <c r="L99" s="86">
        <v>0</v>
      </c>
      <c r="M99" s="86">
        <v>0</v>
      </c>
      <c r="N99" s="86">
        <v>0</v>
      </c>
      <c r="O99" s="86">
        <v>0</v>
      </c>
      <c r="P99" s="86">
        <v>0</v>
      </c>
      <c r="Q99" s="86">
        <v>0</v>
      </c>
      <c r="R99" s="86">
        <v>0</v>
      </c>
      <c r="S99" s="86">
        <v>0</v>
      </c>
      <c r="T99" s="86">
        <v>0</v>
      </c>
      <c r="U99" s="86">
        <v>0</v>
      </c>
      <c r="V99" s="86">
        <v>0</v>
      </c>
      <c r="W99" s="86">
        <v>0</v>
      </c>
      <c r="X99" s="86">
        <v>0</v>
      </c>
      <c r="Y99" s="86">
        <v>0</v>
      </c>
      <c r="Z99" s="86">
        <v>0</v>
      </c>
      <c r="AA99" s="86">
        <v>0</v>
      </c>
      <c r="AB99" s="86">
        <v>0</v>
      </c>
      <c r="AD99" s="93">
        <f t="shared" si="48"/>
        <v>0</v>
      </c>
      <c r="AE99" s="93">
        <f t="shared" si="48"/>
        <v>0</v>
      </c>
      <c r="AF99" s="93">
        <f t="shared" si="48"/>
        <v>0</v>
      </c>
      <c r="AG99" s="93">
        <f t="shared" si="48"/>
        <v>0</v>
      </c>
      <c r="AH99" s="93">
        <f t="shared" si="48"/>
        <v>0</v>
      </c>
      <c r="AI99" s="93">
        <f t="shared" si="48"/>
        <v>0</v>
      </c>
      <c r="AJ99" s="93">
        <f t="shared" si="48"/>
        <v>0</v>
      </c>
      <c r="AK99" s="93">
        <f t="shared" si="48"/>
        <v>0</v>
      </c>
      <c r="AM99" s="93">
        <f t="shared" si="38"/>
        <v>0</v>
      </c>
      <c r="AN99" s="93">
        <f t="shared" si="38"/>
        <v>0</v>
      </c>
    </row>
    <row r="100" spans="1:40" x14ac:dyDescent="0.2">
      <c r="A100" s="89" t="s">
        <v>457</v>
      </c>
      <c r="B100" s="77"/>
      <c r="C100" s="77"/>
      <c r="D100" s="77"/>
      <c r="E100" s="85">
        <v>-451145.31</v>
      </c>
      <c r="F100" s="85">
        <v>-945157.38</v>
      </c>
      <c r="G100" s="85">
        <v>-1700375.59</v>
      </c>
      <c r="H100" s="85">
        <v>-2410340.0699999998</v>
      </c>
      <c r="I100" s="85">
        <v>-2904231.73</v>
      </c>
      <c r="J100" s="85">
        <v>-3928062.25</v>
      </c>
      <c r="K100" s="85">
        <v>-5587154.4699999997</v>
      </c>
      <c r="L100" s="85">
        <v>-6600602.2300000004</v>
      </c>
      <c r="M100" s="85">
        <v>-9119373.2400000002</v>
      </c>
      <c r="N100" s="85">
        <v>-10276813.050000001</v>
      </c>
      <c r="O100" s="85">
        <v>-12809783.050000001</v>
      </c>
      <c r="P100" s="85">
        <v>-13710370.98</v>
      </c>
      <c r="Q100" s="86">
        <v>-5681727.25</v>
      </c>
      <c r="R100" s="86">
        <v>-6712109.7800000003</v>
      </c>
      <c r="S100" s="86">
        <v>-10236441.390000001</v>
      </c>
      <c r="T100" s="86">
        <v>-6468225.8700000001</v>
      </c>
      <c r="U100" s="86">
        <v>-7230026.8900000006</v>
      </c>
      <c r="V100" s="86">
        <v>-8653723.9199999999</v>
      </c>
      <c r="W100" s="86">
        <v>-10093257.390000001</v>
      </c>
      <c r="X100" s="86">
        <v>-11093999.52</v>
      </c>
      <c r="Y100" s="86">
        <v>-12613972.4</v>
      </c>
      <c r="Z100" s="86">
        <v>-14100050.73</v>
      </c>
      <c r="AA100" s="86">
        <v>-15057376.060000001</v>
      </c>
      <c r="AB100" s="86">
        <v>-16267799.940000001</v>
      </c>
      <c r="AD100" s="93">
        <f t="shared" si="48"/>
        <v>-1700375.59</v>
      </c>
      <c r="AE100" s="93">
        <f t="shared" si="48"/>
        <v>-3928062.25</v>
      </c>
      <c r="AF100" s="93">
        <f t="shared" si="48"/>
        <v>-9119373.2400000002</v>
      </c>
      <c r="AG100" s="93">
        <f t="shared" si="48"/>
        <v>-13710370.98</v>
      </c>
      <c r="AH100" s="93">
        <f t="shared" si="48"/>
        <v>-10236441.390000001</v>
      </c>
      <c r="AI100" s="93">
        <f t="shared" si="48"/>
        <v>-8653723.9199999999</v>
      </c>
      <c r="AJ100" s="93">
        <f t="shared" si="48"/>
        <v>-12613972.4</v>
      </c>
      <c r="AK100" s="93">
        <f t="shared" si="48"/>
        <v>-16267799.940000001</v>
      </c>
      <c r="AM100" s="93">
        <f t="shared" si="38"/>
        <v>-13710370.98</v>
      </c>
      <c r="AN100" s="93">
        <f t="shared" si="38"/>
        <v>-16267799.940000001</v>
      </c>
    </row>
    <row r="101" spans="1:40" x14ac:dyDescent="0.2">
      <c r="A101" s="88" t="s">
        <v>644</v>
      </c>
      <c r="B101" s="77"/>
      <c r="C101" s="77"/>
      <c r="D101" s="77"/>
      <c r="E101" s="9">
        <f t="shared" ref="E101:S101" si="49">SUM(E93:E100,E89)</f>
        <v>12303831.890000001</v>
      </c>
      <c r="F101" s="9">
        <f t="shared" si="49"/>
        <v>11716055.32</v>
      </c>
      <c r="G101" s="9">
        <f t="shared" si="49"/>
        <v>17065098.899999999</v>
      </c>
      <c r="H101" s="9">
        <f t="shared" si="49"/>
        <v>18943676.119999997</v>
      </c>
      <c r="I101" s="9">
        <f t="shared" si="49"/>
        <v>20027732.939999998</v>
      </c>
      <c r="J101" s="9">
        <f t="shared" si="49"/>
        <v>18987583.619999997</v>
      </c>
      <c r="K101" s="9">
        <f t="shared" si="49"/>
        <v>17820702.599999998</v>
      </c>
      <c r="L101" s="9">
        <f t="shared" si="49"/>
        <v>16805619.539999992</v>
      </c>
      <c r="M101" s="9">
        <f t="shared" si="49"/>
        <v>14286848.529999994</v>
      </c>
      <c r="N101" s="9">
        <f t="shared" si="49"/>
        <v>13129408.719999993</v>
      </c>
      <c r="O101" s="9">
        <f t="shared" si="49"/>
        <v>10596438.719999993</v>
      </c>
      <c r="P101" s="9">
        <f t="shared" si="49"/>
        <v>9695850.7899999935</v>
      </c>
      <c r="Q101" s="9">
        <f t="shared" si="49"/>
        <v>4014123.5299999937</v>
      </c>
      <c r="R101" s="9">
        <f t="shared" si="49"/>
        <v>2983740.9999999935</v>
      </c>
      <c r="S101" s="9">
        <f t="shared" si="49"/>
        <v>-540590.61000000685</v>
      </c>
      <c r="T101" s="9">
        <v>-1634382.2500000028</v>
      </c>
      <c r="U101" s="9">
        <v>-2396183.2700000033</v>
      </c>
      <c r="V101" s="9">
        <v>-3819880.3000000026</v>
      </c>
      <c r="W101" s="9">
        <v>-4943580.7700000033</v>
      </c>
      <c r="X101" s="9">
        <v>-5899203.9000000022</v>
      </c>
      <c r="Y101" s="9">
        <v>-7373470.7800000031</v>
      </c>
      <c r="Z101" s="9">
        <v>-8813843.1100000031</v>
      </c>
      <c r="AA101" s="9">
        <v>-9725462.4400000032</v>
      </c>
      <c r="AB101" s="9">
        <v>-10925745.320000004</v>
      </c>
      <c r="AD101" s="94">
        <f t="shared" si="48"/>
        <v>17065098.899999999</v>
      </c>
      <c r="AE101" s="94">
        <f t="shared" si="48"/>
        <v>18987583.619999997</v>
      </c>
      <c r="AF101" s="94">
        <f t="shared" si="48"/>
        <v>14286848.529999994</v>
      </c>
      <c r="AG101" s="94">
        <f t="shared" si="48"/>
        <v>9695850.7899999935</v>
      </c>
      <c r="AH101" s="94">
        <f t="shared" si="48"/>
        <v>-540590.61000000685</v>
      </c>
      <c r="AI101" s="94">
        <f t="shared" si="48"/>
        <v>-3819880.3000000026</v>
      </c>
      <c r="AJ101" s="94">
        <f t="shared" si="48"/>
        <v>-7373470.7800000031</v>
      </c>
      <c r="AK101" s="94">
        <f t="shared" si="48"/>
        <v>-10925745.320000004</v>
      </c>
      <c r="AM101" s="94">
        <f t="shared" si="38"/>
        <v>9695850.7899999935</v>
      </c>
      <c r="AN101" s="94">
        <f t="shared" si="38"/>
        <v>-10925745.320000004</v>
      </c>
    </row>
    <row r="102" spans="1:40" x14ac:dyDescent="0.2">
      <c r="A102" s="7" t="s">
        <v>645</v>
      </c>
      <c r="B102" s="77"/>
      <c r="C102" s="77"/>
      <c r="D102" s="77"/>
      <c r="E102" s="9">
        <f t="shared" ref="E102:S102" si="50">SUM(E101,E85)</f>
        <v>12785947.780000001</v>
      </c>
      <c r="F102" s="9">
        <f t="shared" si="50"/>
        <v>11959718.5</v>
      </c>
      <c r="G102" s="9">
        <f t="shared" si="50"/>
        <v>17184418.699999999</v>
      </c>
      <c r="H102" s="9">
        <f t="shared" si="50"/>
        <v>19496090.589999996</v>
      </c>
      <c r="I102" s="9">
        <f t="shared" si="50"/>
        <v>20319967.979999997</v>
      </c>
      <c r="J102" s="9">
        <f t="shared" si="50"/>
        <v>19491075.869999997</v>
      </c>
      <c r="K102" s="9">
        <f t="shared" si="50"/>
        <v>18445912.499999996</v>
      </c>
      <c r="L102" s="9">
        <f t="shared" si="50"/>
        <v>17531351.379999992</v>
      </c>
      <c r="M102" s="9">
        <f t="shared" si="50"/>
        <v>16328251.799999993</v>
      </c>
      <c r="N102" s="9">
        <f t="shared" si="50"/>
        <v>13862401.659999993</v>
      </c>
      <c r="O102" s="9">
        <f t="shared" si="50"/>
        <v>11909937.529999994</v>
      </c>
      <c r="P102" s="9">
        <f t="shared" si="50"/>
        <v>10548250.999999993</v>
      </c>
      <c r="Q102" s="9">
        <f t="shared" si="50"/>
        <v>9653718.2099999934</v>
      </c>
      <c r="R102" s="9">
        <f t="shared" si="50"/>
        <v>16162568.909999993</v>
      </c>
      <c r="S102" s="9">
        <f t="shared" si="50"/>
        <v>14825907.829999993</v>
      </c>
      <c r="T102" s="9">
        <v>15032785.299999997</v>
      </c>
      <c r="U102" s="9">
        <v>15583043.009999998</v>
      </c>
      <c r="V102" s="9">
        <v>14327930.229999999</v>
      </c>
      <c r="W102" s="9">
        <v>13247855.579999998</v>
      </c>
      <c r="X102" s="9">
        <v>11710143.169999998</v>
      </c>
      <c r="Y102" s="9">
        <v>10495904.349999996</v>
      </c>
      <c r="Z102" s="9">
        <v>8595318.0099999979</v>
      </c>
      <c r="AA102" s="9">
        <v>7675631.1999999974</v>
      </c>
      <c r="AB102" s="9">
        <v>7033230.8199999966</v>
      </c>
      <c r="AD102" s="94">
        <f t="shared" si="48"/>
        <v>17184418.699999999</v>
      </c>
      <c r="AE102" s="94">
        <f t="shared" si="48"/>
        <v>19491075.869999997</v>
      </c>
      <c r="AF102" s="94">
        <f t="shared" si="48"/>
        <v>16328251.799999993</v>
      </c>
      <c r="AG102" s="94">
        <f t="shared" si="48"/>
        <v>10548250.999999993</v>
      </c>
      <c r="AH102" s="94">
        <f t="shared" si="48"/>
        <v>14825907.829999993</v>
      </c>
      <c r="AI102" s="94">
        <f t="shared" si="48"/>
        <v>14327930.229999999</v>
      </c>
      <c r="AJ102" s="94">
        <f t="shared" si="48"/>
        <v>10495904.349999996</v>
      </c>
      <c r="AK102" s="94">
        <f t="shared" si="48"/>
        <v>7033230.8199999966</v>
      </c>
      <c r="AM102" s="94">
        <f t="shared" si="38"/>
        <v>10548250.999999993</v>
      </c>
      <c r="AN102" s="94">
        <f t="shared" si="38"/>
        <v>7033230.8199999966</v>
      </c>
    </row>
    <row r="103" spans="1:40" x14ac:dyDescent="0.2">
      <c r="A103" s="3"/>
      <c r="B103" s="77"/>
      <c r="C103" s="77"/>
      <c r="D103" s="77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40" x14ac:dyDescent="0.2">
      <c r="A104" s="7" t="s">
        <v>646</v>
      </c>
      <c r="B104" s="77"/>
      <c r="C104" s="77"/>
      <c r="D104" s="77"/>
    </row>
    <row r="105" spans="1:40" x14ac:dyDescent="0.2">
      <c r="A105" s="88" t="s">
        <v>647</v>
      </c>
      <c r="B105" s="77">
        <v>2800</v>
      </c>
      <c r="C105" s="77"/>
      <c r="D105" s="77"/>
    </row>
    <row r="106" spans="1:40" x14ac:dyDescent="0.2">
      <c r="A106" s="88" t="s">
        <v>648</v>
      </c>
      <c r="B106" s="77"/>
      <c r="C106" s="77"/>
      <c r="D106" s="77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40" x14ac:dyDescent="0.2">
      <c r="A107" s="37"/>
      <c r="B107" s="77"/>
      <c r="C107" s="77"/>
      <c r="D107" s="7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</row>
    <row r="108" spans="1:40" x14ac:dyDescent="0.2">
      <c r="A108" s="38"/>
      <c r="B108" s="3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</row>
    <row r="109" spans="1:40" x14ac:dyDescent="0.2">
      <c r="A109" s="90"/>
      <c r="B109" s="3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</row>
    <row r="110" spans="1:40" x14ac:dyDescent="0.2">
      <c r="A110" s="90"/>
      <c r="B110" s="3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</row>
    <row r="111" spans="1:40" x14ac:dyDescent="0.2">
      <c r="A111" s="90"/>
      <c r="B111" s="3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</row>
    <row r="112" spans="1:40" x14ac:dyDescent="0.2">
      <c r="A112" s="90"/>
      <c r="B112" s="3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</row>
    <row r="113" spans="1:16" x14ac:dyDescent="0.2">
      <c r="A113" s="90"/>
      <c r="B113" s="3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</row>
    <row r="114" spans="1:16" x14ac:dyDescent="0.2">
      <c r="A114" s="90"/>
      <c r="B114" s="3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</row>
    <row r="115" spans="1:16" x14ac:dyDescent="0.2">
      <c r="A115" s="90"/>
      <c r="B115" s="3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</row>
    <row r="116" spans="1:16" x14ac:dyDescent="0.2">
      <c r="A116" s="90"/>
      <c r="B116" s="3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</row>
    <row r="117" spans="1:16" x14ac:dyDescent="0.2">
      <c r="A117" s="90"/>
      <c r="B117" s="3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</row>
    <row r="118" spans="1:16" x14ac:dyDescent="0.2">
      <c r="A118" s="90"/>
      <c r="B118" s="3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</row>
    <row r="119" spans="1:16" x14ac:dyDescent="0.2">
      <c r="A119" s="90"/>
      <c r="B119" s="3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</row>
    <row r="120" spans="1:16" x14ac:dyDescent="0.2">
      <c r="A120" s="89"/>
      <c r="B120" s="3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</row>
    <row r="121" spans="1:16" x14ac:dyDescent="0.2">
      <c r="A121" s="89"/>
      <c r="B121" s="3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</row>
    <row r="122" spans="1:16" x14ac:dyDescent="0.2">
      <c r="A122" s="90"/>
      <c r="B122" s="3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</row>
    <row r="123" spans="1:16" x14ac:dyDescent="0.2">
      <c r="A123" s="91"/>
      <c r="B123" s="3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</row>
    <row r="124" spans="1:16" x14ac:dyDescent="0.2">
      <c r="A124" s="91"/>
      <c r="B124" s="3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</row>
    <row r="125" spans="1:16" x14ac:dyDescent="0.2">
      <c r="A125" s="91"/>
      <c r="B125" s="3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</row>
    <row r="126" spans="1:16" x14ac:dyDescent="0.2">
      <c r="A126" s="90"/>
      <c r="B126" s="3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</row>
    <row r="127" spans="1:16" x14ac:dyDescent="0.2">
      <c r="A127" s="90"/>
      <c r="B127" s="3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</row>
    <row r="128" spans="1:16" x14ac:dyDescent="0.2">
      <c r="A128" s="89"/>
      <c r="B128" s="3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</row>
    <row r="129" spans="1:16" x14ac:dyDescent="0.2">
      <c r="A129" s="88"/>
      <c r="B129" s="3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</row>
    <row r="130" spans="1:16" x14ac:dyDescent="0.2">
      <c r="A130" s="88"/>
      <c r="B130" s="3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</row>
    <row r="131" spans="1:16" x14ac:dyDescent="0.2">
      <c r="A131" s="89"/>
      <c r="B131" s="3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</row>
    <row r="132" spans="1:16" x14ac:dyDescent="0.2">
      <c r="A132" s="89"/>
      <c r="B132" s="3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</row>
    <row r="133" spans="1:16" x14ac:dyDescent="0.2">
      <c r="A133" s="89"/>
      <c r="B133" s="3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</row>
    <row r="134" spans="1:16" x14ac:dyDescent="0.2">
      <c r="A134" s="90"/>
      <c r="B134" s="3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</row>
    <row r="135" spans="1:16" x14ac:dyDescent="0.2">
      <c r="A135" s="90"/>
      <c r="B135" s="3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</row>
    <row r="136" spans="1:16" x14ac:dyDescent="0.2">
      <c r="A136" s="89"/>
      <c r="B136" s="3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</row>
    <row r="137" spans="1:16" x14ac:dyDescent="0.2">
      <c r="A137" s="88"/>
      <c r="B137" s="3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</row>
    <row r="138" spans="1:16" x14ac:dyDescent="0.2">
      <c r="A138" s="88"/>
      <c r="B138" s="3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</row>
    <row r="139" spans="1:16" x14ac:dyDescent="0.2">
      <c r="A139" s="89"/>
      <c r="B139" s="3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</row>
    <row r="140" spans="1:16" x14ac:dyDescent="0.2">
      <c r="A140" s="89"/>
      <c r="B140" s="3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</row>
    <row r="141" spans="1:16" x14ac:dyDescent="0.2">
      <c r="A141" s="89"/>
      <c r="B141" s="3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</row>
    <row r="142" spans="1:16" x14ac:dyDescent="0.2">
      <c r="A142" s="90"/>
      <c r="B142" s="3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</row>
    <row r="143" spans="1:16" x14ac:dyDescent="0.2">
      <c r="A143" s="89"/>
      <c r="B143" s="3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</row>
    <row r="144" spans="1:16" x14ac:dyDescent="0.2">
      <c r="A144" s="89"/>
      <c r="B144" s="3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</row>
    <row r="145" spans="1:16" x14ac:dyDescent="0.2">
      <c r="A145" s="89"/>
      <c r="B145" s="3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</row>
    <row r="146" spans="1:16" x14ac:dyDescent="0.2">
      <c r="A146" s="89"/>
      <c r="B146" s="3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</row>
    <row r="147" spans="1:16" x14ac:dyDescent="0.2">
      <c r="A147" s="89"/>
      <c r="B147" s="3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</row>
    <row r="148" spans="1:16" x14ac:dyDescent="0.2">
      <c r="A148" s="89"/>
      <c r="B148" s="3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</row>
    <row r="149" spans="1:16" x14ac:dyDescent="0.2">
      <c r="A149" s="89"/>
      <c r="B149" s="3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</row>
    <row r="150" spans="1:16" x14ac:dyDescent="0.2">
      <c r="A150" s="88"/>
      <c r="B150" s="3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</row>
    <row r="151" spans="1:16" x14ac:dyDescent="0.2">
      <c r="A151" s="7"/>
      <c r="B151" s="3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1:16" x14ac:dyDescent="0.2">
      <c r="A152" s="7"/>
      <c r="B152" s="3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1:16" x14ac:dyDescent="0.2">
      <c r="A153" s="88"/>
      <c r="B153" s="3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</row>
    <row r="154" spans="1:16" x14ac:dyDescent="0.2">
      <c r="A154" s="89"/>
      <c r="B154" s="3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</row>
    <row r="155" spans="1:16" x14ac:dyDescent="0.2">
      <c r="A155" s="90"/>
      <c r="B155" s="3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</row>
    <row r="156" spans="1:16" x14ac:dyDescent="0.2">
      <c r="A156" s="91"/>
      <c r="B156" s="3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</row>
    <row r="157" spans="1:16" x14ac:dyDescent="0.2">
      <c r="A157" s="92"/>
      <c r="B157" s="3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</row>
    <row r="158" spans="1:16" x14ac:dyDescent="0.2">
      <c r="A158" s="91"/>
      <c r="B158" s="3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</row>
    <row r="159" spans="1:16" x14ac:dyDescent="0.2">
      <c r="A159" s="90"/>
      <c r="B159" s="3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</row>
    <row r="160" spans="1:16" x14ac:dyDescent="0.2">
      <c r="A160" s="90"/>
      <c r="B160" s="3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</row>
    <row r="161" spans="1:16" x14ac:dyDescent="0.2">
      <c r="A161" s="91"/>
      <c r="B161" s="3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</row>
    <row r="162" spans="1:16" x14ac:dyDescent="0.2">
      <c r="A162" s="92"/>
      <c r="B162" s="3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</row>
    <row r="163" spans="1:16" x14ac:dyDescent="0.2">
      <c r="A163" s="91"/>
      <c r="B163" s="3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</row>
    <row r="164" spans="1:16" x14ac:dyDescent="0.2">
      <c r="A164" s="91"/>
      <c r="B164" s="3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</row>
    <row r="165" spans="1:16" x14ac:dyDescent="0.2">
      <c r="A165" s="91"/>
      <c r="B165" s="3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</row>
    <row r="166" spans="1:16" x14ac:dyDescent="0.2">
      <c r="A166" s="90"/>
      <c r="B166" s="3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</row>
    <row r="167" spans="1:16" x14ac:dyDescent="0.2">
      <c r="A167" s="89"/>
      <c r="B167" s="3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</row>
    <row r="168" spans="1:16" x14ac:dyDescent="0.2">
      <c r="A168" s="89"/>
      <c r="B168" s="3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</row>
    <row r="169" spans="1:16" x14ac:dyDescent="0.2">
      <c r="A169" s="90"/>
      <c r="B169" s="3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</row>
    <row r="170" spans="1:16" x14ac:dyDescent="0.2">
      <c r="A170" s="90"/>
      <c r="B170" s="3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</row>
    <row r="171" spans="1:16" x14ac:dyDescent="0.2">
      <c r="A171" s="89"/>
      <c r="B171" s="3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</row>
    <row r="172" spans="1:16" x14ac:dyDescent="0.2">
      <c r="A172" s="88"/>
      <c r="B172" s="3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</row>
    <row r="173" spans="1:16" x14ac:dyDescent="0.2">
      <c r="A173" s="88"/>
      <c r="B173" s="3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</row>
    <row r="174" spans="1:16" x14ac:dyDescent="0.2">
      <c r="A174" s="89"/>
      <c r="B174" s="3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</row>
    <row r="175" spans="1:16" x14ac:dyDescent="0.2">
      <c r="A175" s="90"/>
      <c r="B175" s="3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</row>
    <row r="176" spans="1:16" x14ac:dyDescent="0.2">
      <c r="A176" s="89"/>
      <c r="B176" s="3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</row>
    <row r="177" spans="1:16" x14ac:dyDescent="0.2">
      <c r="A177" s="89"/>
      <c r="B177" s="3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</row>
    <row r="178" spans="1:16" x14ac:dyDescent="0.2">
      <c r="A178" s="90"/>
      <c r="B178" s="3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</row>
    <row r="179" spans="1:16" x14ac:dyDescent="0.2">
      <c r="A179" s="90"/>
      <c r="B179" s="3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</row>
    <row r="180" spans="1:16" x14ac:dyDescent="0.2">
      <c r="A180" s="89"/>
      <c r="B180" s="3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</row>
    <row r="181" spans="1:16" x14ac:dyDescent="0.2">
      <c r="A181" s="89"/>
      <c r="B181" s="3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</row>
    <row r="182" spans="1:16" x14ac:dyDescent="0.2">
      <c r="A182" s="89"/>
      <c r="B182" s="3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</row>
    <row r="183" spans="1:16" x14ac:dyDescent="0.2">
      <c r="A183" s="89"/>
      <c r="B183" s="3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</row>
    <row r="184" spans="1:16" x14ac:dyDescent="0.2">
      <c r="A184" s="89"/>
      <c r="B184" s="3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</row>
    <row r="185" spans="1:16" x14ac:dyDescent="0.2">
      <c r="A185" s="89"/>
      <c r="B185" s="3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</row>
    <row r="186" spans="1:16" x14ac:dyDescent="0.2">
      <c r="A186" s="89"/>
      <c r="B186" s="3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</row>
    <row r="187" spans="1:16" x14ac:dyDescent="0.2">
      <c r="A187" s="89"/>
      <c r="B187" s="3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</row>
    <row r="188" spans="1:16" x14ac:dyDescent="0.2">
      <c r="A188" s="88"/>
      <c r="B188" s="3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</row>
    <row r="189" spans="1:16" x14ac:dyDescent="0.2">
      <c r="A189" s="7"/>
      <c r="B189" s="3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</sheetData>
  <pageMargins left="0.7" right="0.7" top="0.75" bottom="0.75" header="0.3" footer="0.3"/>
  <pageSetup paperSize="9" scale="55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C1995-C8B5-42F2-A787-B2B7E95ECE7F}">
  <dimension ref="C1:O26"/>
  <sheetViews>
    <sheetView showGridLines="0" zoomScaleNormal="100" workbookViewId="0">
      <selection activeCell="E30" sqref="E30"/>
    </sheetView>
  </sheetViews>
  <sheetFormatPr baseColWidth="10" defaultColWidth="8.83203125" defaultRowHeight="15" outlineLevelRow="1" x14ac:dyDescent="0.2"/>
  <cols>
    <col min="1" max="1" width="2.5" customWidth="1"/>
    <col min="3" max="3" width="28.6640625" customWidth="1"/>
    <col min="4" max="14" width="10.6640625" customWidth="1"/>
  </cols>
  <sheetData>
    <row r="1" spans="3:15" ht="14.5" customHeight="1" x14ac:dyDescent="0.2"/>
    <row r="2" spans="3:15" ht="14.5" customHeight="1" x14ac:dyDescent="0.2"/>
    <row r="5" spans="3:15" x14ac:dyDescent="0.2">
      <c r="C5" s="15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</row>
    <row r="7" spans="3:15" outlineLevel="1" x14ac:dyDescent="0.2">
      <c r="D7" s="19">
        <v>1</v>
      </c>
      <c r="E7" s="19">
        <f t="shared" ref="E7:N7" si="0">D7+1</f>
        <v>2</v>
      </c>
      <c r="F7" s="19">
        <f t="shared" si="0"/>
        <v>3</v>
      </c>
      <c r="G7" s="19">
        <f t="shared" si="0"/>
        <v>4</v>
      </c>
      <c r="H7" s="19">
        <f t="shared" si="0"/>
        <v>5</v>
      </c>
      <c r="I7" s="19">
        <f t="shared" si="0"/>
        <v>6</v>
      </c>
      <c r="J7" s="19">
        <f t="shared" si="0"/>
        <v>7</v>
      </c>
      <c r="K7" s="19">
        <f t="shared" si="0"/>
        <v>8</v>
      </c>
      <c r="L7" s="19">
        <f t="shared" si="0"/>
        <v>9</v>
      </c>
      <c r="M7" s="19">
        <f t="shared" si="0"/>
        <v>10</v>
      </c>
      <c r="N7" s="19">
        <f t="shared" si="0"/>
        <v>11</v>
      </c>
      <c r="O7" s="211"/>
    </row>
    <row r="8" spans="3:15" x14ac:dyDescent="0.2">
      <c r="C8" s="100" t="s">
        <v>649</v>
      </c>
    </row>
    <row r="9" spans="3:15" ht="20.25" customHeight="1" x14ac:dyDescent="0.2">
      <c r="C9" s="212" t="s">
        <v>86</v>
      </c>
      <c r="D9" s="213" t="s">
        <v>650</v>
      </c>
      <c r="E9" s="213" t="s">
        <v>651</v>
      </c>
      <c r="F9" s="213" t="s">
        <v>652</v>
      </c>
      <c r="G9" s="213" t="s">
        <v>653</v>
      </c>
      <c r="H9" s="213" t="s">
        <v>654</v>
      </c>
      <c r="I9" s="213" t="s">
        <v>655</v>
      </c>
      <c r="J9" s="213" t="s">
        <v>656</v>
      </c>
      <c r="K9" s="213" t="s">
        <v>657</v>
      </c>
      <c r="L9" s="213" t="s">
        <v>658</v>
      </c>
      <c r="M9" s="213" t="s">
        <v>659</v>
      </c>
      <c r="N9" s="213" t="s">
        <v>660</v>
      </c>
    </row>
    <row r="10" spans="3:15" ht="20.25" customHeight="1" x14ac:dyDescent="0.2">
      <c r="C10" s="20" t="s">
        <v>661</v>
      </c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</row>
    <row r="11" spans="3:15" ht="20.25" customHeight="1" x14ac:dyDescent="0.2">
      <c r="C11" s="215" t="s">
        <v>91</v>
      </c>
      <c r="D11" s="216">
        <f>'Consolidated Forecast (A)'!I16</f>
        <v>0</v>
      </c>
      <c r="E11" s="216">
        <f>'Consolidated Forecast (A)'!J16</f>
        <v>0</v>
      </c>
      <c r="F11" s="216">
        <f>'Consolidated Forecast (A)'!K16</f>
        <v>13380</v>
      </c>
      <c r="G11" s="216">
        <f>'Consolidated Forecast (A)'!L16</f>
        <v>142280</v>
      </c>
      <c r="H11" s="216">
        <f>'Consolidated Forecast (A)'!M16</f>
        <v>469180</v>
      </c>
      <c r="I11" s="216">
        <f>'Consolidated Forecast (A)'!N16</f>
        <v>613080</v>
      </c>
      <c r="J11" s="216">
        <f>'Consolidated Forecast (A)'!O16</f>
        <v>1014600</v>
      </c>
      <c r="K11" s="216">
        <f>'Consolidated Forecast (A)'!P16</f>
        <v>1609700</v>
      </c>
      <c r="L11" s="216">
        <f>'Consolidated Forecast (A)'!Q16</f>
        <v>1792700</v>
      </c>
      <c r="M11" s="216">
        <f>'Consolidated Forecast (A)'!R16</f>
        <v>2094700</v>
      </c>
      <c r="N11" s="216">
        <f>'Consolidated Forecast (A)'!S16</f>
        <v>2327700</v>
      </c>
    </row>
    <row r="12" spans="3:15" ht="20.25" customHeight="1" x14ac:dyDescent="0.2">
      <c r="C12" s="215" t="s">
        <v>662</v>
      </c>
      <c r="D12" s="216">
        <f>'Consolidated Forecast (A)'!I17</f>
        <v>-8192.9836499999983</v>
      </c>
      <c r="E12" s="216">
        <f>'Consolidated Forecast (A)'!J17</f>
        <v>-15293.785714285714</v>
      </c>
      <c r="F12" s="216">
        <f>'Consolidated Forecast (A)'!K17</f>
        <v>-22572.078262848776</v>
      </c>
      <c r="G12" s="216">
        <f>'Consolidated Forecast (A)'!L17</f>
        <v>-29380.111383936637</v>
      </c>
      <c r="H12" s="216">
        <f>'Consolidated Forecast (A)'!M17</f>
        <v>-81799.999999999985</v>
      </c>
      <c r="I12" s="216">
        <f>'Consolidated Forecast (A)'!N17</f>
        <v>-111599.99999999997</v>
      </c>
      <c r="J12" s="216">
        <f>'Consolidated Forecast (A)'!O17</f>
        <v>-186599.99999999997</v>
      </c>
      <c r="K12" s="216">
        <f>'Consolidated Forecast (A)'!P17</f>
        <v>-283399.99999999994</v>
      </c>
      <c r="L12" s="216">
        <f>'Consolidated Forecast (A)'!Q17</f>
        <v>-357399.99999999994</v>
      </c>
      <c r="M12" s="216">
        <f>'Consolidated Forecast (A)'!R17</f>
        <v>-417799.99999999988</v>
      </c>
      <c r="N12" s="216">
        <f>'Consolidated Forecast (A)'!S17</f>
        <v>-464399.99999999988</v>
      </c>
    </row>
    <row r="13" spans="3:15" ht="20.25" customHeight="1" x14ac:dyDescent="0.2">
      <c r="C13" s="217" t="s">
        <v>94</v>
      </c>
      <c r="D13" s="218">
        <f>SUBTOTAL(109,D10:D12)</f>
        <v>-8192.9836499999983</v>
      </c>
      <c r="E13" s="218">
        <f t="shared" ref="E13:N13" si="1">SUBTOTAL(109,E10:E12)</f>
        <v>-15293.785714285714</v>
      </c>
      <c r="F13" s="218">
        <f t="shared" si="1"/>
        <v>-9192.0782628487759</v>
      </c>
      <c r="G13" s="218">
        <f t="shared" si="1"/>
        <v>112899.88861606337</v>
      </c>
      <c r="H13" s="218">
        <f t="shared" si="1"/>
        <v>387380</v>
      </c>
      <c r="I13" s="218">
        <f t="shared" si="1"/>
        <v>501480</v>
      </c>
      <c r="J13" s="218">
        <f t="shared" si="1"/>
        <v>828000</v>
      </c>
      <c r="K13" s="218">
        <f t="shared" si="1"/>
        <v>1326300</v>
      </c>
      <c r="L13" s="218">
        <f t="shared" si="1"/>
        <v>1435300</v>
      </c>
      <c r="M13" s="218">
        <f t="shared" si="1"/>
        <v>1676900</v>
      </c>
      <c r="N13" s="218">
        <f t="shared" si="1"/>
        <v>1863300</v>
      </c>
    </row>
    <row r="14" spans="3:15" ht="20.25" customHeight="1" x14ac:dyDescent="0.2">
      <c r="C14" s="219" t="s">
        <v>95</v>
      </c>
      <c r="D14" s="220">
        <f>IF(D13&gt;0,D13/D11,0)</f>
        <v>0</v>
      </c>
      <c r="E14" s="220">
        <f t="shared" ref="E14:N14" si="2">IF(E13&gt;0,E13/E11,0)</f>
        <v>0</v>
      </c>
      <c r="F14" s="220">
        <f t="shared" si="2"/>
        <v>0</v>
      </c>
      <c r="G14" s="220">
        <f t="shared" si="2"/>
        <v>0.79350498043339446</v>
      </c>
      <c r="H14" s="220">
        <f t="shared" si="2"/>
        <v>0.82565326740270262</v>
      </c>
      <c r="I14" s="220">
        <f t="shared" si="2"/>
        <v>0.817968291250734</v>
      </c>
      <c r="J14" s="220">
        <f t="shared" si="2"/>
        <v>0.81608515671200477</v>
      </c>
      <c r="K14" s="220">
        <f t="shared" si="2"/>
        <v>0.82394234950611911</v>
      </c>
      <c r="L14" s="220">
        <f t="shared" si="2"/>
        <v>0.80063591231103926</v>
      </c>
      <c r="M14" s="220">
        <f t="shared" si="2"/>
        <v>0.80054423067742397</v>
      </c>
      <c r="N14" s="220">
        <f t="shared" si="2"/>
        <v>0.80048975383425702</v>
      </c>
    </row>
    <row r="15" spans="3:15" ht="20.25" customHeight="1" x14ac:dyDescent="0.2">
      <c r="C15" s="215" t="s">
        <v>96</v>
      </c>
      <c r="D15" s="216">
        <f>'Consolidated Forecast (A)'!I20</f>
        <v>-6626.7778899999994</v>
      </c>
      <c r="E15" s="216">
        <f>'Consolidated Forecast (A)'!J20</f>
        <v>-3721.9999999999995</v>
      </c>
      <c r="F15" s="216">
        <f>'Consolidated Forecast (A)'!K20</f>
        <v>-3994.7020913119072</v>
      </c>
      <c r="G15" s="216">
        <f>'Consolidated Forecast (A)'!L20</f>
        <v>-5184.9520698473425</v>
      </c>
      <c r="H15" s="216">
        <f>'Consolidated Forecast (A)'!M20</f>
        <v>-5703.4472768320775</v>
      </c>
      <c r="I15" s="216">
        <f>'Consolidated Forecast (A)'!N20</f>
        <v>-6273.792004515286</v>
      </c>
      <c r="J15" s="216">
        <f>'Consolidated Forecast (A)'!O20</f>
        <v>-6901.1712049668149</v>
      </c>
      <c r="K15" s="216">
        <f>'Consolidated Forecast (A)'!P20</f>
        <v>-7591.2883254634971</v>
      </c>
      <c r="L15" s="216">
        <f>'Consolidated Forecast (A)'!Q20</f>
        <v>-8350.4171580098482</v>
      </c>
      <c r="M15" s="216">
        <f>'Consolidated Forecast (A)'!R20</f>
        <v>-9185.4588738108341</v>
      </c>
      <c r="N15" s="216">
        <f>'Consolidated Forecast (A)'!S20</f>
        <v>-10104.004761191918</v>
      </c>
    </row>
    <row r="16" spans="3:15" ht="20.25" customHeight="1" x14ac:dyDescent="0.2">
      <c r="C16" s="221" t="s">
        <v>217</v>
      </c>
      <c r="D16" s="222">
        <f>SUM(D13,D15)</f>
        <v>-14819.761539999998</v>
      </c>
      <c r="E16" s="222">
        <f t="shared" ref="E16:N16" si="3">SUM(E13,E15)</f>
        <v>-19015.785714285714</v>
      </c>
      <c r="F16" s="222">
        <f t="shared" si="3"/>
        <v>-13186.780354160683</v>
      </c>
      <c r="G16" s="222">
        <f t="shared" si="3"/>
        <v>107714.93654621602</v>
      </c>
      <c r="H16" s="222">
        <f t="shared" si="3"/>
        <v>381676.55272316793</v>
      </c>
      <c r="I16" s="222">
        <f t="shared" si="3"/>
        <v>495206.2079954847</v>
      </c>
      <c r="J16" s="222">
        <f t="shared" si="3"/>
        <v>821098.82879503316</v>
      </c>
      <c r="K16" s="222">
        <f t="shared" si="3"/>
        <v>1318708.7116745366</v>
      </c>
      <c r="L16" s="222">
        <f t="shared" si="3"/>
        <v>1426949.58284199</v>
      </c>
      <c r="M16" s="222">
        <f t="shared" si="3"/>
        <v>1667714.5411261891</v>
      </c>
      <c r="N16" s="222">
        <f t="shared" si="3"/>
        <v>1853195.995238808</v>
      </c>
    </row>
    <row r="17" spans="3:14" ht="20.25" customHeight="1" x14ac:dyDescent="0.2">
      <c r="C17" s="219" t="s">
        <v>101</v>
      </c>
      <c r="D17" s="220">
        <f>IF(D16&gt;0,D16/D11,0)</f>
        <v>0</v>
      </c>
      <c r="E17" s="220">
        <f t="shared" ref="E17:N17" si="4">IF(E16&gt;0,E16/E11,0)</f>
        <v>0</v>
      </c>
      <c r="F17" s="220">
        <f t="shared" si="4"/>
        <v>0</v>
      </c>
      <c r="G17" s="220">
        <f t="shared" si="4"/>
        <v>0.75706309070998046</v>
      </c>
      <c r="H17" s="220">
        <f t="shared" si="4"/>
        <v>0.8134970645022549</v>
      </c>
      <c r="I17" s="220">
        <f t="shared" si="4"/>
        <v>0.80773505577654581</v>
      </c>
      <c r="J17" s="220">
        <f t="shared" si="4"/>
        <v>0.80928329272130217</v>
      </c>
      <c r="K17" s="220">
        <f t="shared" si="4"/>
        <v>0.81922638483850196</v>
      </c>
      <c r="L17" s="220">
        <f t="shared" si="4"/>
        <v>0.79597790084341502</v>
      </c>
      <c r="M17" s="220">
        <f t="shared" si="4"/>
        <v>0.79615913549729744</v>
      </c>
      <c r="N17" s="220">
        <f t="shared" si="4"/>
        <v>0.79614898622623531</v>
      </c>
    </row>
    <row r="18" spans="3:14" ht="25" customHeight="1" x14ac:dyDescent="0.2">
      <c r="C18" s="20" t="s">
        <v>663</v>
      </c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</row>
    <row r="19" spans="3:14" ht="20.25" customHeight="1" x14ac:dyDescent="0.2">
      <c r="C19" s="215" t="s">
        <v>99</v>
      </c>
      <c r="D19" s="216">
        <f>'Consolidated Forecast (A)'!I23</f>
        <v>-424.95500000000004</v>
      </c>
      <c r="E19" s="216">
        <f>'Consolidated Forecast (A)'!J23</f>
        <v>-4702.3333333333339</v>
      </c>
      <c r="F19" s="216">
        <f>'Consolidated Forecast (A)'!K23</f>
        <v>0</v>
      </c>
      <c r="G19" s="216">
        <f>'Consolidated Forecast (A)'!L23</f>
        <v>0</v>
      </c>
      <c r="H19" s="216">
        <f>'Consolidated Forecast (A)'!M23</f>
        <v>0</v>
      </c>
      <c r="I19" s="216">
        <f>'Consolidated Forecast (A)'!N23</f>
        <v>0</v>
      </c>
      <c r="J19" s="216">
        <f>'Consolidated Forecast (A)'!O23</f>
        <v>0</v>
      </c>
      <c r="K19" s="216">
        <f>'Consolidated Forecast (A)'!P23</f>
        <v>0</v>
      </c>
      <c r="L19" s="216">
        <f>'Consolidated Forecast (A)'!Q23</f>
        <v>0</v>
      </c>
      <c r="M19" s="216">
        <f>'Consolidated Forecast (A)'!R23</f>
        <v>0</v>
      </c>
      <c r="N19" s="216">
        <f>'Consolidated Forecast (A)'!S23</f>
        <v>0</v>
      </c>
    </row>
    <row r="20" spans="3:14" ht="20.25" customHeight="1" x14ac:dyDescent="0.2">
      <c r="C20" s="215" t="s">
        <v>664</v>
      </c>
      <c r="D20" s="216" t="e">
        <f>'Consolidated Forecast (A)'!#REF!</f>
        <v>#REF!</v>
      </c>
      <c r="E20" s="216" t="e">
        <f>'Consolidated Forecast (A)'!#REF!</f>
        <v>#REF!</v>
      </c>
      <c r="F20" s="216" t="e">
        <f>'Consolidated Forecast (A)'!#REF!</f>
        <v>#REF!</v>
      </c>
      <c r="G20" s="216" t="e">
        <f>'Consolidated Forecast (A)'!#REF!</f>
        <v>#REF!</v>
      </c>
      <c r="H20" s="216" t="e">
        <f>'Consolidated Forecast (A)'!#REF!</f>
        <v>#REF!</v>
      </c>
      <c r="I20" s="216" t="e">
        <f>'Consolidated Forecast (A)'!#REF!</f>
        <v>#REF!</v>
      </c>
      <c r="J20" s="216" t="e">
        <f>'Consolidated Forecast (A)'!#REF!</f>
        <v>#REF!</v>
      </c>
      <c r="K20" s="216" t="e">
        <f>'Consolidated Forecast (A)'!#REF!</f>
        <v>#REF!</v>
      </c>
      <c r="L20" s="216" t="e">
        <f>'Consolidated Forecast (A)'!#REF!</f>
        <v>#REF!</v>
      </c>
      <c r="M20" s="216" t="e">
        <f>'Consolidated Forecast (A)'!#REF!</f>
        <v>#REF!</v>
      </c>
      <c r="N20" s="216" t="e">
        <f>'Consolidated Forecast (A)'!#REF!</f>
        <v>#REF!</v>
      </c>
    </row>
    <row r="21" spans="3:14" ht="20.25" customHeight="1" x14ac:dyDescent="0.2">
      <c r="C21" s="215" t="s">
        <v>665</v>
      </c>
      <c r="D21" s="216" t="e">
        <f>'Consolidated Forecast (A)'!#REF!</f>
        <v>#REF!</v>
      </c>
      <c r="E21" s="216" t="e">
        <f>'Consolidated Forecast (A)'!#REF!</f>
        <v>#REF!</v>
      </c>
      <c r="F21" s="216" t="e">
        <f>'Consolidated Forecast (A)'!#REF!</f>
        <v>#REF!</v>
      </c>
      <c r="G21" s="216" t="e">
        <f>'Consolidated Forecast (A)'!#REF!</f>
        <v>#REF!</v>
      </c>
      <c r="H21" s="216" t="e">
        <f>'Consolidated Forecast (A)'!#REF!</f>
        <v>#REF!</v>
      </c>
      <c r="I21" s="216" t="e">
        <f>'Consolidated Forecast (A)'!#REF!</f>
        <v>#REF!</v>
      </c>
      <c r="J21" s="216" t="e">
        <f>'Consolidated Forecast (A)'!#REF!</f>
        <v>#REF!</v>
      </c>
      <c r="K21" s="216" t="e">
        <f>'Consolidated Forecast (A)'!#REF!</f>
        <v>#REF!</v>
      </c>
      <c r="L21" s="216" t="e">
        <f>'Consolidated Forecast (A)'!#REF!</f>
        <v>#REF!</v>
      </c>
      <c r="M21" s="216" t="e">
        <f>'Consolidated Forecast (A)'!#REF!</f>
        <v>#REF!</v>
      </c>
      <c r="N21" s="216" t="e">
        <f>'Consolidated Forecast (A)'!#REF!</f>
        <v>#REF!</v>
      </c>
    </row>
    <row r="22" spans="3:14" ht="20.25" customHeight="1" x14ac:dyDescent="0.2">
      <c r="C22" s="215" t="s">
        <v>666</v>
      </c>
      <c r="D22" s="216" t="e">
        <f>'Consolidated Forecast (A)'!#REF!</f>
        <v>#REF!</v>
      </c>
      <c r="E22" s="216" t="e">
        <f>'Consolidated Forecast (A)'!#REF!</f>
        <v>#REF!</v>
      </c>
      <c r="F22" s="216" t="e">
        <f>'Consolidated Forecast (A)'!#REF!</f>
        <v>#REF!</v>
      </c>
      <c r="G22" s="216" t="e">
        <f>'Consolidated Forecast (A)'!#REF!</f>
        <v>#REF!</v>
      </c>
      <c r="H22" s="216" t="e">
        <f>'Consolidated Forecast (A)'!#REF!</f>
        <v>#REF!</v>
      </c>
      <c r="I22" s="216" t="e">
        <f>'Consolidated Forecast (A)'!#REF!</f>
        <v>#REF!</v>
      </c>
      <c r="J22" s="216" t="e">
        <f>'Consolidated Forecast (A)'!#REF!</f>
        <v>#REF!</v>
      </c>
      <c r="K22" s="216" t="e">
        <f>'Consolidated Forecast (A)'!#REF!</f>
        <v>#REF!</v>
      </c>
      <c r="L22" s="216" t="e">
        <f>'Consolidated Forecast (A)'!#REF!</f>
        <v>#REF!</v>
      </c>
      <c r="M22" s="216" t="e">
        <f>'Consolidated Forecast (A)'!#REF!</f>
        <v>#REF!</v>
      </c>
      <c r="N22" s="216" t="e">
        <f>'Consolidated Forecast (A)'!#REF!</f>
        <v>#REF!</v>
      </c>
    </row>
    <row r="23" spans="3:14" ht="20.25" customHeight="1" x14ac:dyDescent="0.2">
      <c r="C23" s="217" t="s">
        <v>667</v>
      </c>
      <c r="D23" s="218" t="e">
        <f>SUM(D16,D19:D22)</f>
        <v>#REF!</v>
      </c>
      <c r="E23" s="218" t="e">
        <f t="shared" ref="E23:N23" si="5">SUM(E16,E19:E22)</f>
        <v>#REF!</v>
      </c>
      <c r="F23" s="218" t="e">
        <f t="shared" si="5"/>
        <v>#REF!</v>
      </c>
      <c r="G23" s="218" t="e">
        <f t="shared" si="5"/>
        <v>#REF!</v>
      </c>
      <c r="H23" s="218" t="e">
        <f t="shared" si="5"/>
        <v>#REF!</v>
      </c>
      <c r="I23" s="218" t="e">
        <f t="shared" si="5"/>
        <v>#REF!</v>
      </c>
      <c r="J23" s="218" t="e">
        <f t="shared" si="5"/>
        <v>#REF!</v>
      </c>
      <c r="K23" s="218" t="e">
        <f t="shared" si="5"/>
        <v>#REF!</v>
      </c>
      <c r="L23" s="218" t="e">
        <f t="shared" si="5"/>
        <v>#REF!</v>
      </c>
      <c r="M23" s="218" t="e">
        <f t="shared" si="5"/>
        <v>#REF!</v>
      </c>
      <c r="N23" s="218" t="e">
        <f t="shared" si="5"/>
        <v>#REF!</v>
      </c>
    </row>
    <row r="24" spans="3:14" ht="20.25" customHeight="1" x14ac:dyDescent="0.2">
      <c r="C24" s="215" t="s">
        <v>102</v>
      </c>
      <c r="D24" s="216">
        <f>'Consolidated Forecast (A)'!I26</f>
        <v>-212.35</v>
      </c>
      <c r="E24" s="216">
        <f>'Consolidated Forecast (A)'!J26</f>
        <v>-213.88889040000004</v>
      </c>
      <c r="F24" s="216">
        <f>'Consolidated Forecast (A)'!K26</f>
        <v>-120.55555920000006</v>
      </c>
      <c r="G24" s="216">
        <f>'Consolidated Forecast (A)'!L26</f>
        <v>-29.166670800000063</v>
      </c>
      <c r="H24" s="216">
        <f>'Consolidated Forecast (A)'!M26</f>
        <v>0</v>
      </c>
      <c r="I24" s="216">
        <f>'Consolidated Forecast (A)'!N26</f>
        <v>0</v>
      </c>
      <c r="J24" s="216">
        <f>'Consolidated Forecast (A)'!O26</f>
        <v>0</v>
      </c>
      <c r="K24" s="216">
        <f>'Consolidated Forecast (A)'!P26</f>
        <v>0</v>
      </c>
      <c r="L24" s="216">
        <f>'Consolidated Forecast (A)'!Q26</f>
        <v>0</v>
      </c>
      <c r="M24" s="216">
        <f>'Consolidated Forecast (A)'!R26</f>
        <v>0</v>
      </c>
      <c r="N24" s="216">
        <f>'Consolidated Forecast (A)'!S26</f>
        <v>0</v>
      </c>
    </row>
    <row r="25" spans="3:14" ht="20.25" customHeight="1" x14ac:dyDescent="0.2">
      <c r="C25" s="215" t="s">
        <v>103</v>
      </c>
      <c r="D25" s="216">
        <f>'Consolidated Forecast (A)'!I27</f>
        <v>3750</v>
      </c>
      <c r="E25" s="216">
        <f>'Consolidated Forecast (A)'!J27</f>
        <v>-1500</v>
      </c>
      <c r="F25" s="216">
        <f>'Consolidated Forecast (A)'!K27</f>
        <v>-1500</v>
      </c>
      <c r="G25" s="216">
        <f>'Consolidated Forecast (A)'!L27</f>
        <v>-750</v>
      </c>
      <c r="H25" s="216">
        <f>'Consolidated Forecast (A)'!M27</f>
        <v>0</v>
      </c>
      <c r="I25" s="216">
        <f>'Consolidated Forecast (A)'!N27</f>
        <v>0</v>
      </c>
      <c r="J25" s="216">
        <f>'Consolidated Forecast (A)'!O27</f>
        <v>0</v>
      </c>
      <c r="K25" s="216">
        <f>'Consolidated Forecast (A)'!P27</f>
        <v>0</v>
      </c>
      <c r="L25" s="216">
        <f>'Consolidated Forecast (A)'!Q27</f>
        <v>0</v>
      </c>
      <c r="M25" s="216">
        <f>'Consolidated Forecast (A)'!R27</f>
        <v>0</v>
      </c>
      <c r="N25" s="216">
        <f>'Consolidated Forecast (A)'!S27</f>
        <v>0</v>
      </c>
    </row>
    <row r="26" spans="3:14" ht="20.25" customHeight="1" x14ac:dyDescent="0.2">
      <c r="C26" s="221" t="s">
        <v>108</v>
      </c>
      <c r="D26" s="222" t="e">
        <f>SUM(D23:D25)</f>
        <v>#REF!</v>
      </c>
      <c r="E26" s="222" t="e">
        <f t="shared" ref="E26:N26" si="6">SUM(E23:E25)</f>
        <v>#REF!</v>
      </c>
      <c r="F26" s="222" t="e">
        <f t="shared" si="6"/>
        <v>#REF!</v>
      </c>
      <c r="G26" s="222" t="e">
        <f t="shared" si="6"/>
        <v>#REF!</v>
      </c>
      <c r="H26" s="222" t="e">
        <f t="shared" si="6"/>
        <v>#REF!</v>
      </c>
      <c r="I26" s="222" t="e">
        <f t="shared" si="6"/>
        <v>#REF!</v>
      </c>
      <c r="J26" s="222" t="e">
        <f t="shared" si="6"/>
        <v>#REF!</v>
      </c>
      <c r="K26" s="222" t="e">
        <f t="shared" si="6"/>
        <v>#REF!</v>
      </c>
      <c r="L26" s="222" t="e">
        <f t="shared" si="6"/>
        <v>#REF!</v>
      </c>
      <c r="M26" s="222" t="e">
        <f t="shared" si="6"/>
        <v>#REF!</v>
      </c>
      <c r="N26" s="222" t="e">
        <f t="shared" si="6"/>
        <v>#REF!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868B852181D345BB5755AC2F02F476" ma:contentTypeVersion="16" ma:contentTypeDescription="Create a new document." ma:contentTypeScope="" ma:versionID="0094de011128dbb155585dc86fd8c92a">
  <xsd:schema xmlns:xsd="http://www.w3.org/2001/XMLSchema" xmlns:xs="http://www.w3.org/2001/XMLSchema" xmlns:p="http://schemas.microsoft.com/office/2006/metadata/properties" xmlns:ns2="02509fd1-9aa6-4aa7-b45b-04ec6047cfa6" xmlns:ns3="0ef93d2a-92eb-47cb-86b7-9011e165bb7b" targetNamespace="http://schemas.microsoft.com/office/2006/metadata/properties" ma:root="true" ma:fieldsID="5a638b8bc80efd04e6b7bf8ec40f9047" ns2:_="" ns3:_="">
    <xsd:import namespace="02509fd1-9aa6-4aa7-b45b-04ec6047cfa6"/>
    <xsd:import namespace="0ef93d2a-92eb-47cb-86b7-9011e165bb7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509fd1-9aa6-4aa7-b45b-04ec6047cf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b7e3e8c-f643-4edd-8bdc-f0c9715e8439}" ma:internalName="TaxCatchAll" ma:showField="CatchAllData" ma:web="02509fd1-9aa6-4aa7-b45b-04ec6047cf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f93d2a-92eb-47cb-86b7-9011e165bb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6e181e3-8cb8-43d8-938f-495543e05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f93d2a-92eb-47cb-86b7-9011e165bb7b">
      <Terms xmlns="http://schemas.microsoft.com/office/infopath/2007/PartnerControls"/>
    </lcf76f155ced4ddcb4097134ff3c332f>
    <TaxCatchAll xmlns="02509fd1-9aa6-4aa7-b45b-04ec6047cfa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29C0B7-EF7E-403A-84B0-DB542DDDE3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509fd1-9aa6-4aa7-b45b-04ec6047cfa6"/>
    <ds:schemaRef ds:uri="0ef93d2a-92eb-47cb-86b7-9011e165bb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D16654-DF4B-4AFF-8329-570871547A5F}">
  <ds:schemaRefs>
    <ds:schemaRef ds:uri="http://schemas.microsoft.com/office/2006/metadata/properties"/>
    <ds:schemaRef ds:uri="http://schemas.microsoft.com/office/infopath/2007/PartnerControls"/>
    <ds:schemaRef ds:uri="0ef93d2a-92eb-47cb-86b7-9011e165bb7b"/>
    <ds:schemaRef ds:uri="02509fd1-9aa6-4aa7-b45b-04ec6047cfa6"/>
  </ds:schemaRefs>
</ds:datastoreItem>
</file>

<file path=customXml/itemProps3.xml><?xml version="1.0" encoding="utf-8"?>
<ds:datastoreItem xmlns:ds="http://schemas.openxmlformats.org/officeDocument/2006/customXml" ds:itemID="{7B0E2FEC-694D-4370-BDAC-37165A01C9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21</vt:i4>
      </vt:variant>
    </vt:vector>
  </HeadingPairs>
  <TitlesOfParts>
    <vt:vector size="33" baseType="lpstr">
      <vt:lpstr>Cover</vt:lpstr>
      <vt:lpstr>Intro</vt:lpstr>
      <vt:lpstr>Consolidated Model &gt;</vt:lpstr>
      <vt:lpstr>Inputs</vt:lpstr>
      <vt:lpstr>Consolidated Forecast (A)</vt:lpstr>
      <vt:lpstr>ST Forecast (M)</vt:lpstr>
      <vt:lpstr>Historical PnL (M)</vt:lpstr>
      <vt:lpstr>Historical FS Inputs&gt;</vt:lpstr>
      <vt:lpstr>Historical IS</vt:lpstr>
      <vt:lpstr>Historical CFS</vt:lpstr>
      <vt:lpstr>Historical BS</vt:lpstr>
      <vt:lpstr>Outputs</vt:lpstr>
      <vt:lpstr>'ST Forecast (M)'!_Growth_M_Data</vt:lpstr>
      <vt:lpstr>'ST Forecast (M)'!_Growth_M_Labels</vt:lpstr>
      <vt:lpstr>'ST Forecast (M)'!_Growth_M_MonthEnd</vt:lpstr>
      <vt:lpstr>'ST Forecast (M)'!_Growth_M_YearEnd</vt:lpstr>
      <vt:lpstr>_Hist_M_Data</vt:lpstr>
      <vt:lpstr>_Hist_M_Labels</vt:lpstr>
      <vt:lpstr>_Hist_M_MonthEnd</vt:lpstr>
      <vt:lpstr>_Hist_M_YearEnd</vt:lpstr>
      <vt:lpstr>_HistBS_M_Data</vt:lpstr>
      <vt:lpstr>_HistBS_M_Labels</vt:lpstr>
      <vt:lpstr>_HistBS_M_MonthEnd</vt:lpstr>
      <vt:lpstr>_HistCFS_M_Data</vt:lpstr>
      <vt:lpstr>_HistCFS_M_Labels</vt:lpstr>
      <vt:lpstr>_HistCFS_M_MonthEnd</vt:lpstr>
      <vt:lpstr>_HistIS_M_Data</vt:lpstr>
      <vt:lpstr>_HistIS_M_Labels</vt:lpstr>
      <vt:lpstr>_HistIS_M_MonthEnd</vt:lpstr>
      <vt:lpstr>_STForecast_M_Data</vt:lpstr>
      <vt:lpstr>_STForecast_M_Labels</vt:lpstr>
      <vt:lpstr>_STForecast_M_MonthEnd</vt:lpstr>
      <vt:lpstr>_STForecast_M_YearEnd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Sierra Fan</dc:creator>
  <cp:keywords/>
  <dc:description/>
  <cp:lastModifiedBy>Wyatt Zgabay (Student)</cp:lastModifiedBy>
  <cp:revision/>
  <dcterms:created xsi:type="dcterms:W3CDTF">2025-05-12T23:56:50Z</dcterms:created>
  <dcterms:modified xsi:type="dcterms:W3CDTF">2026-02-19T00:54:16Z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0x01010008868B852181D345BB5755AC2F02F476</vt:lpwstr>
  </property>
  <property fmtid="{D5CDD505-2E9C-101B-9397-08002B2CF9AE}" pid="3" name="MediaServiceImageTags">
    <vt:lpwstr/>
  </property>
</Properties>
</file>