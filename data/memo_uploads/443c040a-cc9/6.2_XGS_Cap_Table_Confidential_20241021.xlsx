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eothermicsolution.sharepoint.com/sites/XGSEnergy/Shared Documents/10 Working data room/200 WIP documents no share/"/>
    </mc:Choice>
  </mc:AlternateContent>
  <xr:revisionPtr revIDLastSave="1" documentId="11_666202980EFCDAD9055525BA30E2B576AD001564" xr6:coauthVersionLast="47" xr6:coauthVersionMax="47" xr10:uidLastSave="{BD12E9FF-35D4-4DC4-B60B-A92B2A7E1D57}"/>
  <bookViews>
    <workbookView xWindow="28680" yWindow="-120" windowWidth="29040" windowHeight="15990" activeTab="2" xr2:uid="{00000000-000D-0000-FFFF-FFFF00000000}"/>
  </bookViews>
  <sheets>
    <sheet name="Summary Cap Table" sheetId="1" r:id="rId1"/>
    <sheet name="Intermediate Cap Table" sheetId="2" r:id="rId2"/>
    <sheet name="Detailed Cap Table" sheetId="3" r:id="rId3"/>
  </sheets>
  <definedNames>
    <definedName name="DetailedCapTableTotalFullyDilutedShares">'Detailed Cap Table'!$J$96</definedName>
    <definedName name="DetailedCapTableTotalSharesOutstanding">'Detailed Cap Table'!$I$98</definedName>
    <definedName name="IntermediateCapTableTotalFullyDilutedShares">'Intermediate Cap Table'!$J$30</definedName>
    <definedName name="IntermediateCapTableTotalSharesOutstanding">'Intermediate Cap Table'!$I$32</definedName>
    <definedName name="SummaryCapTableFullyDilutedShares">'Summary Cap Table'!$D$28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3" l="1"/>
  <c r="D98" i="3"/>
  <c r="C98" i="3"/>
  <c r="I98" i="3" s="1"/>
  <c r="H96" i="3"/>
  <c r="G96" i="3"/>
  <c r="F96" i="3"/>
  <c r="D96" i="3"/>
  <c r="C96" i="3"/>
  <c r="J95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I32" i="2"/>
  <c r="K27" i="2" s="1"/>
  <c r="E32" i="2"/>
  <c r="D32" i="2"/>
  <c r="C32" i="2"/>
  <c r="C33" i="2" s="1"/>
  <c r="H30" i="2"/>
  <c r="G30" i="2"/>
  <c r="F30" i="2"/>
  <c r="D30" i="2"/>
  <c r="C30" i="2"/>
  <c r="J29" i="2"/>
  <c r="J27" i="2"/>
  <c r="I27" i="2"/>
  <c r="K26" i="2"/>
  <c r="J26" i="2"/>
  <c r="I26" i="2"/>
  <c r="J25" i="2"/>
  <c r="I25" i="2"/>
  <c r="K24" i="2"/>
  <c r="J24" i="2"/>
  <c r="I24" i="2"/>
  <c r="J23" i="2"/>
  <c r="I23" i="2"/>
  <c r="K22" i="2"/>
  <c r="J22" i="2"/>
  <c r="I22" i="2"/>
  <c r="J21" i="2"/>
  <c r="I21" i="2"/>
  <c r="K20" i="2"/>
  <c r="J20" i="2"/>
  <c r="I20" i="2"/>
  <c r="J19" i="2"/>
  <c r="I19" i="2"/>
  <c r="K18" i="2"/>
  <c r="J18" i="2"/>
  <c r="I18" i="2"/>
  <c r="J17" i="2"/>
  <c r="I17" i="2"/>
  <c r="K16" i="2"/>
  <c r="J16" i="2"/>
  <c r="I16" i="2"/>
  <c r="J15" i="2"/>
  <c r="I15" i="2"/>
  <c r="K14" i="2"/>
  <c r="J14" i="2"/>
  <c r="I14" i="2"/>
  <c r="J13" i="2"/>
  <c r="I13" i="2"/>
  <c r="K12" i="2"/>
  <c r="J12" i="2"/>
  <c r="I12" i="2"/>
  <c r="J11" i="2"/>
  <c r="I11" i="2"/>
  <c r="K10" i="2"/>
  <c r="J10" i="2"/>
  <c r="I10" i="2"/>
  <c r="J9" i="2"/>
  <c r="I9" i="2"/>
  <c r="K8" i="2"/>
  <c r="J8" i="2"/>
  <c r="I8" i="2"/>
  <c r="J7" i="2"/>
  <c r="I7" i="2"/>
  <c r="K6" i="2"/>
  <c r="J6" i="2"/>
  <c r="I6" i="2"/>
  <c r="J5" i="2"/>
  <c r="I5" i="2"/>
  <c r="F16" i="1"/>
  <c r="F12" i="1"/>
  <c r="F28" i="1" s="1"/>
  <c r="D12" i="1"/>
  <c r="F8" i="1"/>
  <c r="D8" i="1"/>
  <c r="K92" i="3" l="1"/>
  <c r="K90" i="3"/>
  <c r="K88" i="3"/>
  <c r="K86" i="3"/>
  <c r="K84" i="3"/>
  <c r="K82" i="3"/>
  <c r="K80" i="3"/>
  <c r="K78" i="3"/>
  <c r="K76" i="3"/>
  <c r="K74" i="3"/>
  <c r="K72" i="3"/>
  <c r="K70" i="3"/>
  <c r="K68" i="3"/>
  <c r="K66" i="3"/>
  <c r="K64" i="3"/>
  <c r="K62" i="3"/>
  <c r="K58" i="3"/>
  <c r="K54" i="3"/>
  <c r="K50" i="3"/>
  <c r="K48" i="3"/>
  <c r="K46" i="3"/>
  <c r="K44" i="3"/>
  <c r="K42" i="3"/>
  <c r="K40" i="3"/>
  <c r="K38" i="3"/>
  <c r="K36" i="3"/>
  <c r="K32" i="3"/>
  <c r="K28" i="3"/>
  <c r="K22" i="3"/>
  <c r="K18" i="3"/>
  <c r="K14" i="3"/>
  <c r="K6" i="3"/>
  <c r="K49" i="3"/>
  <c r="K33" i="3"/>
  <c r="K29" i="3"/>
  <c r="K25" i="3"/>
  <c r="K21" i="3"/>
  <c r="K17" i="3"/>
  <c r="K13" i="3"/>
  <c r="K9" i="3"/>
  <c r="K5" i="3"/>
  <c r="E99" i="3"/>
  <c r="K93" i="3"/>
  <c r="K91" i="3"/>
  <c r="K89" i="3"/>
  <c r="K87" i="3"/>
  <c r="K85" i="3"/>
  <c r="K83" i="3"/>
  <c r="K81" i="3"/>
  <c r="K79" i="3"/>
  <c r="K77" i="3"/>
  <c r="K75" i="3"/>
  <c r="K73" i="3"/>
  <c r="K71" i="3"/>
  <c r="K69" i="3"/>
  <c r="K67" i="3"/>
  <c r="K65" i="3"/>
  <c r="K63" i="3"/>
  <c r="K61" i="3"/>
  <c r="K59" i="3"/>
  <c r="K57" i="3"/>
  <c r="K55" i="3"/>
  <c r="K53" i="3"/>
  <c r="K51" i="3"/>
  <c r="K47" i="3"/>
  <c r="K45" i="3"/>
  <c r="K43" i="3"/>
  <c r="K41" i="3"/>
  <c r="K39" i="3"/>
  <c r="K37" i="3"/>
  <c r="K35" i="3"/>
  <c r="K31" i="3"/>
  <c r="K27" i="3"/>
  <c r="K23" i="3"/>
  <c r="K19" i="3"/>
  <c r="K15" i="3"/>
  <c r="K11" i="3"/>
  <c r="K7" i="3"/>
  <c r="D99" i="3"/>
  <c r="K60" i="3"/>
  <c r="K26" i="3"/>
  <c r="K10" i="3"/>
  <c r="K56" i="3"/>
  <c r="K34" i="3"/>
  <c r="K24" i="3"/>
  <c r="K16" i="3"/>
  <c r="K8" i="3"/>
  <c r="K52" i="3"/>
  <c r="K30" i="3"/>
  <c r="K20" i="3"/>
  <c r="K12" i="3"/>
  <c r="L30" i="3"/>
  <c r="L62" i="3"/>
  <c r="C97" i="3"/>
  <c r="K5" i="2"/>
  <c r="K11" i="2"/>
  <c r="K17" i="2"/>
  <c r="K23" i="2"/>
  <c r="E33" i="2"/>
  <c r="J30" i="2"/>
  <c r="G31" i="2" s="1"/>
  <c r="C99" i="3"/>
  <c r="K9" i="2"/>
  <c r="K15" i="2"/>
  <c r="K21" i="2"/>
  <c r="K25" i="2"/>
  <c r="D28" i="1"/>
  <c r="J96" i="3"/>
  <c r="L36" i="3" s="1"/>
  <c r="D33" i="2"/>
  <c r="I33" i="2" s="1"/>
  <c r="K7" i="2"/>
  <c r="K13" i="2"/>
  <c r="K19" i="2"/>
  <c r="L80" i="3" l="1"/>
  <c r="L90" i="3"/>
  <c r="L76" i="3"/>
  <c r="L40" i="3"/>
  <c r="E21" i="1"/>
  <c r="E20" i="1"/>
  <c r="E19" i="1"/>
  <c r="E7" i="1"/>
  <c r="E6" i="1"/>
  <c r="E24" i="1"/>
  <c r="E26" i="1"/>
  <c r="E25" i="1"/>
  <c r="E11" i="1"/>
  <c r="L22" i="3"/>
  <c r="K98" i="3"/>
  <c r="L72" i="3"/>
  <c r="F31" i="2"/>
  <c r="L26" i="2"/>
  <c r="L24" i="2"/>
  <c r="L22" i="2"/>
  <c r="L20" i="2"/>
  <c r="L18" i="2"/>
  <c r="L16" i="2"/>
  <c r="L14" i="2"/>
  <c r="L12" i="2"/>
  <c r="L10" i="2"/>
  <c r="L8" i="2"/>
  <c r="L6" i="2"/>
  <c r="D31" i="2"/>
  <c r="L13" i="2"/>
  <c r="L30" i="2"/>
  <c r="L27" i="2"/>
  <c r="L25" i="2"/>
  <c r="L21" i="2"/>
  <c r="L19" i="2"/>
  <c r="L17" i="2"/>
  <c r="L15" i="2"/>
  <c r="L9" i="2"/>
  <c r="L7" i="2"/>
  <c r="L23" i="2"/>
  <c r="L11" i="2"/>
  <c r="L5" i="2"/>
  <c r="D97" i="3"/>
  <c r="L95" i="3"/>
  <c r="L93" i="3"/>
  <c r="L91" i="3"/>
  <c r="L89" i="3"/>
  <c r="L87" i="3"/>
  <c r="L85" i="3"/>
  <c r="L83" i="3"/>
  <c r="L81" i="3"/>
  <c r="L79" i="3"/>
  <c r="L77" i="3"/>
  <c r="L75" i="3"/>
  <c r="L73" i="3"/>
  <c r="L71" i="3"/>
  <c r="L69" i="3"/>
  <c r="L67" i="3"/>
  <c r="L65" i="3"/>
  <c r="L63" i="3"/>
  <c r="L61" i="3"/>
  <c r="L59" i="3"/>
  <c r="L57" i="3"/>
  <c r="L55" i="3"/>
  <c r="L53" i="3"/>
  <c r="L51" i="3"/>
  <c r="L49" i="3"/>
  <c r="L47" i="3"/>
  <c r="L45" i="3"/>
  <c r="L43" i="3"/>
  <c r="L41" i="3"/>
  <c r="L39" i="3"/>
  <c r="L37" i="3"/>
  <c r="L35" i="3"/>
  <c r="L33" i="3"/>
  <c r="L31" i="3"/>
  <c r="L29" i="3"/>
  <c r="L27" i="3"/>
  <c r="L25" i="3"/>
  <c r="L23" i="3"/>
  <c r="L21" i="3"/>
  <c r="L19" i="3"/>
  <c r="L17" i="3"/>
  <c r="L15" i="3"/>
  <c r="L13" i="3"/>
  <c r="L11" i="3"/>
  <c r="L9" i="3"/>
  <c r="L7" i="3"/>
  <c r="L5" i="3"/>
  <c r="L96" i="3"/>
  <c r="L26" i="3"/>
  <c r="L86" i="3"/>
  <c r="L18" i="3"/>
  <c r="C31" i="2"/>
  <c r="J31" i="2" s="1"/>
  <c r="L68" i="3"/>
  <c r="L32" i="3"/>
  <c r="L14" i="3"/>
  <c r="H97" i="3"/>
  <c r="L64" i="3"/>
  <c r="L28" i="3"/>
  <c r="E12" i="1"/>
  <c r="L46" i="3"/>
  <c r="L20" i="3"/>
  <c r="K32" i="2"/>
  <c r="L74" i="3"/>
  <c r="L42" i="3"/>
  <c r="L10" i="3"/>
  <c r="L12" i="3"/>
  <c r="L92" i="3"/>
  <c r="L60" i="3"/>
  <c r="L24" i="3"/>
  <c r="L48" i="3"/>
  <c r="L58" i="3"/>
  <c r="L54" i="3"/>
  <c r="L82" i="3"/>
  <c r="L44" i="3"/>
  <c r="L70" i="3"/>
  <c r="G97" i="3"/>
  <c r="L88" i="3"/>
  <c r="L56" i="3"/>
  <c r="L16" i="3"/>
  <c r="E8" i="1"/>
  <c r="L50" i="3"/>
  <c r="L78" i="3"/>
  <c r="F97" i="3"/>
  <c r="J97" i="3" s="1"/>
  <c r="L38" i="3"/>
  <c r="L6" i="3"/>
  <c r="I99" i="3"/>
  <c r="L66" i="3"/>
  <c r="L34" i="3"/>
  <c r="H31" i="2"/>
  <c r="L29" i="2"/>
  <c r="L84" i="3"/>
  <c r="L52" i="3"/>
  <c r="L8" i="3"/>
  <c r="E28" i="1" l="1"/>
</calcChain>
</file>

<file path=xl/sharedStrings.xml><?xml version="1.0" encoding="utf-8"?>
<sst xmlns="http://schemas.openxmlformats.org/spreadsheetml/2006/main" count="291" uniqueCount="219">
  <si>
    <t>XGS Energy, Inc. Summary Cap Table</t>
  </si>
  <si>
    <t xml:space="preserve">As of 10/21/2024 • Generated by Paige Sun (psun@xgsenergy.com) at 10/21/2024 09:03:07 </t>
  </si>
  <si>
    <t>Shares Authorized</t>
  </si>
  <si>
    <t>Shares Issued
and Outstanding</t>
  </si>
  <si>
    <t>Fully Diluted Shares</t>
  </si>
  <si>
    <t>Fully Diluted
Ownership</t>
  </si>
  <si>
    <t>Cash Raised</t>
  </si>
  <si>
    <t>Common Stock classes</t>
  </si>
  <si>
    <t>Class A Common (CA) Stock</t>
  </si>
  <si>
    <t>Class B Common (CB) Stock</t>
  </si>
  <si>
    <t>Total Common Stock issued and outstanding</t>
  </si>
  <si>
    <t>Preferred Stock classes</t>
  </si>
  <si>
    <t>Series A Preferred (SA) Stock</t>
  </si>
  <si>
    <t>Total Preferred Stock issued and outstanding</t>
  </si>
  <si>
    <t>Convertibles</t>
  </si>
  <si>
    <t>2023 SAFE (SF)</t>
  </si>
  <si>
    <t>Total Convertibles issued</t>
  </si>
  <si>
    <t>2022 Equity Incentive Plan</t>
  </si>
  <si>
    <t>RSAs not purchased</t>
  </si>
  <si>
    <t>Options and RSUs issued and outstanding</t>
  </si>
  <si>
    <t>Shares available for issuance under the plan</t>
  </si>
  <si>
    <t>Non-Plan Option Grant</t>
  </si>
  <si>
    <t>Totals</t>
  </si>
  <si>
    <t>XGS Energy, Inc. Intermediate Cap Table</t>
  </si>
  <si>
    <t>Stakeholder ID</t>
  </si>
  <si>
    <t>Name</t>
  </si>
  <si>
    <t>Class A Common (CA)</t>
  </si>
  <si>
    <t>Class B Common (CB)</t>
  </si>
  <si>
    <t>Series A Preferred (SA)</t>
  </si>
  <si>
    <t>Series A Preferred (SA)
 1:1 Conversion Ratio</t>
  </si>
  <si>
    <t>Options and RSU's Outstanding Under 2022 Equity Incentive Plan</t>
  </si>
  <si>
    <t>Options and RSU's Outstanding Under Non-Plan Option Grant</t>
  </si>
  <si>
    <t>Outstanding Shares</t>
  </si>
  <si>
    <t>Outstanding
Ownership</t>
  </si>
  <si>
    <t>fe1640e1f6c702fca265ba5de4986a92</t>
  </si>
  <si>
    <t>AICP III L.P.</t>
  </si>
  <si>
    <t>1d97c2230000b99cd0fbeb4ee0ff9c9e</t>
  </si>
  <si>
    <t>Anzu Industrial Capital Partners III QP, L.P.</t>
  </si>
  <si>
    <t>7cb41bc7343d6c5ba5b718f79f77a140</t>
  </si>
  <si>
    <t>Anzu Industrial Capital Partners III, L.P.</t>
  </si>
  <si>
    <t>5bd6786cc5ea49ff3b03184fbffbf0f4</t>
  </si>
  <si>
    <t>B Current Impact Investment Fund V L.P.</t>
  </si>
  <si>
    <t>519185e3aa47467fa9a71a7f4f53e120</t>
  </si>
  <si>
    <t>B Current MStar Impact Investment Co., Ltd.</t>
  </si>
  <si>
    <t>3d5f3db4ce02a86baa56d55da206ee03</t>
  </si>
  <si>
    <t>BlueScopeX Pty Ltd</t>
  </si>
  <si>
    <t>051518ab4e4cccda9982e29077c4b10b</t>
  </si>
  <si>
    <t>Constellation Technology Ventures, LLC</t>
  </si>
  <si>
    <t>c0080b99391e0209ce3118243e50da4a</t>
  </si>
  <si>
    <t>Craig Barrett</t>
  </si>
  <si>
    <t>5f9d1459d9705c1b6d3d32f5a76529b0</t>
  </si>
  <si>
    <t>Fund I, a series of MIH Capital, LP</t>
  </si>
  <si>
    <t>0f1ea6e29e91c62d88a88427945770f7</t>
  </si>
  <si>
    <t>Khalid and Foziah Alsweilem</t>
  </si>
  <si>
    <t>0f217484b03ca5f52589cb622deb1cbe</t>
  </si>
  <si>
    <t>Martin Craighead</t>
  </si>
  <si>
    <t>77e90b0df85b4ca8eddf2750a9fbede0</t>
  </si>
  <si>
    <t>Naif Abdullah Alsuwailim</t>
  </si>
  <si>
    <t>85c1d392bddddf58fc405f67bbe13f2b</t>
  </si>
  <si>
    <t>NorthStar Clean Energy</t>
  </si>
  <si>
    <t>f3a7b1da4e38f647668cc518c711a35b</t>
  </si>
  <si>
    <t>Piotr Moncarz</t>
  </si>
  <si>
    <t>0a7b90b9829c349e91b39b796dc3caeb</t>
  </si>
  <si>
    <t>Saad Nasser Al Sheikh</t>
  </si>
  <si>
    <t>32a492092b3c8597b346597712f7bf15</t>
  </si>
  <si>
    <t>Thin Line Capital Fund I, LP</t>
  </si>
  <si>
    <t>d44cb3fe54712c4e52b35a252e0c3147</t>
  </si>
  <si>
    <t>Thin Line Capital Fund II, LP</t>
  </si>
  <si>
    <t>a58e43908aa186f57ee73ebafebd1ab8</t>
  </si>
  <si>
    <t>Thin Line Capital SPV6, LLC</t>
  </si>
  <si>
    <t>c9d987600b86f8866591c75273f9ee49</t>
  </si>
  <si>
    <t>TMI Shore Partnership, L.P.</t>
  </si>
  <si>
    <t>902ed044499ecb5aab44826ca4556db5</t>
  </si>
  <si>
    <t>Valo Ventures II L.P.</t>
  </si>
  <si>
    <t>1c127bc4e3086ec461e6e4e64cf427e5</t>
  </si>
  <si>
    <t>VoLo Earth Ventures Impact Fund II, L.P.</t>
  </si>
  <si>
    <t>5a2899bbb5278a9039d11071c7193d7a</t>
  </si>
  <si>
    <t>WS Investment Company, LLC (24A)</t>
  </si>
  <si>
    <t>Other common holders</t>
  </si>
  <si>
    <t>Options and RSU's issued and outstanding</t>
  </si>
  <si>
    <t>Fully diluted shares</t>
  </si>
  <si>
    <t>Fully diluted ownership</t>
  </si>
  <si>
    <t>Total Shares outstanding</t>
  </si>
  <si>
    <t>Percentage outstanding</t>
  </si>
  <si>
    <t>Price per share</t>
  </si>
  <si>
    <t>XGS Energy, Inc. Detailed Cap Table</t>
  </si>
  <si>
    <t>091f05a4265583408a74722c31600ccf</t>
  </si>
  <si>
    <t>Abdulaziz x Saud Al Blehed</t>
  </si>
  <si>
    <t>a208fa1d93d93420040991efbc4903f5</t>
  </si>
  <si>
    <t>Anne Stokes Hochberg</t>
  </si>
  <si>
    <t>5fe5bd5be94b33dea1edc140b95a35af</t>
  </si>
  <si>
    <t>Anthony Badalamenti</t>
  </si>
  <si>
    <t>bfd8c215db922d276e3a061e148078cd</t>
  </si>
  <si>
    <t>Axel Bois</t>
  </si>
  <si>
    <t>c2cd9e1bf2088c6cf77ce87423932335</t>
  </si>
  <si>
    <t>Axel-Pierre Bois</t>
  </si>
  <si>
    <t>05f031acc76a7af044cc99fb4209716e</t>
  </si>
  <si>
    <t>Basma Alsweilem</t>
  </si>
  <si>
    <t>95cf4a40ea08bf54484cafff389e1a26</t>
  </si>
  <si>
    <t>Benedict Schwegler</t>
  </si>
  <si>
    <t>d4d7200c8f5a4a96a9f0570dad4c0e6c</t>
  </si>
  <si>
    <t>Blade Energy Partners, Ltd.</t>
  </si>
  <si>
    <t>f20ce6092d6b7c30ac2f3970b1e86cfd</t>
  </si>
  <si>
    <t>Curistec SAS</t>
  </si>
  <si>
    <t>d51ac9e0e61fa2d6f7bddca2ae18e14e</t>
  </si>
  <si>
    <t>Dahi Consulting Services, LLC</t>
  </si>
  <si>
    <t>c59eb9d7037d392f37faf4df6cd22995</t>
  </si>
  <si>
    <t>Daniel Bour</t>
  </si>
  <si>
    <t>eaa9cb86dccb07e627fc23c75cccdd60</t>
  </si>
  <si>
    <t>David Seldin</t>
  </si>
  <si>
    <t>dbe17d109e2e58e2f1ce8fa108684891</t>
  </si>
  <si>
    <t>Denise Benoit</t>
  </si>
  <si>
    <t>fc1b8a80df7a48e265dbc9f317cccd59</t>
  </si>
  <si>
    <t>Edmund W Medley and Julie E Grau Rev Living Trust u/a 12/7/1996</t>
  </si>
  <si>
    <t>eaa9c88d5125feaca195fcae87e91033</t>
  </si>
  <si>
    <t>Elizabeth Douglas Gordon, Trustee of the Elizabeth Douglas Gordon Trust dated December 14, 2006</t>
  </si>
  <si>
    <t>a5647d15887052071c5c6d5ddb93ed8c</t>
  </si>
  <si>
    <t>Gerald Fuller</t>
  </si>
  <si>
    <t>e8e973f585b26e3b231aee669177fca2</t>
  </si>
  <si>
    <t>Ghazal Izadi</t>
  </si>
  <si>
    <t>96727fe4363fc82c745ce5bf310aaa34</t>
  </si>
  <si>
    <t>Hani Ibrahim</t>
  </si>
  <si>
    <t>b7d6e0407df87444719acd11282147bd</t>
  </si>
  <si>
    <t>Helmerich &amp; Payne Corporate Ventures, LLC</t>
  </si>
  <si>
    <t>aa4678e08f847e5a68c23da78ec8257e</t>
  </si>
  <si>
    <t>Hydrogen Systems LLC</t>
  </si>
  <si>
    <t>b31979d48e46ba21fad754af4c37ac43</t>
  </si>
  <si>
    <t>James Parkinson</t>
  </si>
  <si>
    <t>85076ea25a1fec1ac8ce41c7e0bb0ed5</t>
  </si>
  <si>
    <t>James Sweeney</t>
  </si>
  <si>
    <t>cfe1d92d41e72aa22a510228905d59d7</t>
  </si>
  <si>
    <t>Jerome Sfeir</t>
  </si>
  <si>
    <t>0bddb216cee47bf9b9148bc53377dd8f</t>
  </si>
  <si>
    <t>John Lunbeck</t>
  </si>
  <si>
    <t>b87123d25cf25f4455235f51f9c5568f</t>
  </si>
  <si>
    <t>John Townsend</t>
  </si>
  <si>
    <t>abaff5c337a4b52657d642a1ee0de863</t>
  </si>
  <si>
    <t>Joshua Prueher</t>
  </si>
  <si>
    <t>834e4246d94b72afcfd6b542a2059875</t>
  </si>
  <si>
    <t>Julio Ronderos</t>
  </si>
  <si>
    <t>79d7d44167360bcc3efeda583a810650</t>
  </si>
  <si>
    <t>Khalid Alsweilem</t>
  </si>
  <si>
    <t>82dd66abf77f9b03adb6c1944fb0e800</t>
  </si>
  <si>
    <t>Kirk Harrison</t>
  </si>
  <si>
    <t>6f84e7fff542ff8099cb62db50c41110</t>
  </si>
  <si>
    <t>Kyle Douglas</t>
  </si>
  <si>
    <t>1abe27689c539195e8fa655fe61e8f45</t>
  </si>
  <si>
    <t>Louis Capuano</t>
  </si>
  <si>
    <t>e746f9346ffa14d5c22710abb6d75c11</t>
  </si>
  <si>
    <t>Louis Capuano III</t>
  </si>
  <si>
    <t>619b256a6ab85e1dca4a343a79a3781c</t>
  </si>
  <si>
    <t>Louis Capuano Jr.</t>
  </si>
  <si>
    <t>5668bfca9fc04c6124335e6ecd9e1bf2</t>
  </si>
  <si>
    <t>Louis Capuano, Jr.</t>
  </si>
  <si>
    <t>6c5e27923b51349e7749bf0c3b258b18</t>
  </si>
  <si>
    <t>Lucy Darago</t>
  </si>
  <si>
    <t>0e91b5772191423564f4c58a13a1e9b0</t>
  </si>
  <si>
    <t>Marek Kozikowski</t>
  </si>
  <si>
    <t>33ef185f501bafd7b7a9b3e438ecd81a</t>
  </si>
  <si>
    <t>Mary Forrest</t>
  </si>
  <si>
    <t>a47c898f4b50d0d68f8ba990568f27bd</t>
  </si>
  <si>
    <t>d6803de5e8753736b1bddfaa623eb6d0</t>
  </si>
  <si>
    <t>MGMT. SYS Inc.</t>
  </si>
  <si>
    <t>4f115d93f97493a6d79d35ba7b06318e</t>
  </si>
  <si>
    <t>Michael Danaher</t>
  </si>
  <si>
    <t>bf767943d9cea2d4aa633cb8f68254bf</t>
  </si>
  <si>
    <t>Michael J. and Carol Lee Danaher, Trustees of the Danaher Family Trust dated June 29, 2004</t>
  </si>
  <si>
    <t>472281e30157e651ebc62ede7fb6076d</t>
  </si>
  <si>
    <t>Michael Lepech</t>
  </si>
  <si>
    <t>ebbc7b277194da77b6077f5ebdc10545</t>
  </si>
  <si>
    <t>Michael McCarthy</t>
  </si>
  <si>
    <t>78594df5a16ed2077ad5cb816393c625</t>
  </si>
  <si>
    <t>Paige Sun</t>
  </si>
  <si>
    <t>52a0958f7084d85b816156aadad000bf</t>
  </si>
  <si>
    <t>Paul Marca</t>
  </si>
  <si>
    <t>15300e57222c27066b614350babbf524</t>
  </si>
  <si>
    <t>Plastoline, LLC</t>
  </si>
  <si>
    <t>5ce9a4265faf685687a2aa385300a2c1</t>
  </si>
  <si>
    <t>Poodipeddi V. Suryanarayana</t>
  </si>
  <si>
    <t>5a830c7b5d437e0854d57e5f8c3a033d</t>
  </si>
  <si>
    <t>Prince Mishel Mosaed Al Saud</t>
  </si>
  <si>
    <t>fe4e7079f80f959481261a514963d569</t>
  </si>
  <si>
    <t>Princess Al Anoud Turki Al Saud</t>
  </si>
  <si>
    <t>223f15af3928a5a464242d993eadfe72</t>
  </si>
  <si>
    <t>Ray Mabus</t>
  </si>
  <si>
    <t>2c141c0056796445830365cff770f490</t>
  </si>
  <si>
    <t>Resource Tech, LLC</t>
  </si>
  <si>
    <t>1deebff7a5db5300f9b0dba98461ce7f</t>
  </si>
  <si>
    <t>Richard Maudslay</t>
  </si>
  <si>
    <t>f3e2f5820b8de261558ec76522741d08</t>
  </si>
  <si>
    <t>Roberto Wagner</t>
  </si>
  <si>
    <t>9989e36e35c277a064ab38704b7f0ec5</t>
  </si>
  <si>
    <t>Russ Strobel</t>
  </si>
  <si>
    <t>3c985c3365878957697e63e74f11cca0</t>
  </si>
  <si>
    <t>Themys Limited</t>
  </si>
  <si>
    <t>e28e16013624e4e6f49658bd1b777d78</t>
  </si>
  <si>
    <t>Tomasz Zawistowski</t>
  </si>
  <si>
    <t>52718759990ca57e201b03db70b03a4c</t>
  </si>
  <si>
    <t>Val Taft, Inc.</t>
  </si>
  <si>
    <t>da2b9488db00c1dc5c4621a242284807</t>
  </si>
  <si>
    <t>Vivienne Verdon-Roe</t>
  </si>
  <si>
    <t>e6aac610e3c536b09d0df0cfa585ef7b</t>
  </si>
  <si>
    <t>Walt Kolbe</t>
  </si>
  <si>
    <t>02c8d297a317b94c6687ae296122240d</t>
  </si>
  <si>
    <t>Walter Kolbe</t>
  </si>
  <si>
    <t>15d7175b926a1d821a16b8099cbb3073</t>
  </si>
  <si>
    <t>William Britton Stitt Jr.</t>
  </si>
  <si>
    <t>452a079f48ec9ad7abb3f3d40660efd1</t>
  </si>
  <si>
    <t>WS Investment Company, LLC (2013A)</t>
  </si>
  <si>
    <t>81d89f444e3552122a25425b6cdb7837</t>
  </si>
  <si>
    <t>WS Investment Company, LLC (2014A)</t>
  </si>
  <si>
    <t>662a3df277303832b3c499e05882c87b</t>
  </si>
  <si>
    <t>WS Investment Company, LLC (2020A)</t>
  </si>
  <si>
    <t>71d44b6338e819568ebc8254d7bdea6f</t>
  </si>
  <si>
    <t>WS Investment Company, LLC (21A)</t>
  </si>
  <si>
    <t>591d9e0d40ba745a87f3e24ae88aa657</t>
  </si>
  <si>
    <t>WS Investment Company, LLC (22A)</t>
  </si>
  <si>
    <t>ed79a42ff821cf9e472935a9f7d8c3e2</t>
  </si>
  <si>
    <t>Yang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</si>
</sst>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"/>
    <numFmt numFmtId="165" formatCode="#.000%"/>
    <numFmt numFmtId="166" formatCode="_-\$* #,##0.00_-;\-\$* #,##0.00_-;_-\$* &quot;0.00&quot;_-;* @"/>
    <numFmt numFmtId="167" formatCode="_-\$* #,##0.00_-;[Red]_-\$* \(#,##0.00\)_-;_-\$* &quot;0.00&quot;_-;* @"/>
  </numFmts>
  <fonts count="4" x14ac:knownFonts="1">
    <font>
      <sz val="11"/>
      <color theme="1"/>
      <name val="Calibri"/>
      <family val="2"/>
      <scheme val="minor"/>
    </font>
    <font>
      <sz val="12"/>
      <color rgb="FF1F1F1F"/>
      <name val="Arial"/>
    </font>
    <font>
      <b/>
      <sz val="14"/>
      <color rgb="FF1F1F1F"/>
      <name val="Arial"/>
    </font>
    <font>
      <b/>
      <sz val="12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rgb="FFC6EBF4"/>
      </patternFill>
    </fill>
    <fill>
      <patternFill patternType="solid">
        <fgColor rgb="FFEFEDF3"/>
      </patternFill>
    </fill>
    <fill>
      <patternFill patternType="solid">
        <fgColor rgb="FFD8D8D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888A85"/>
      </bottom>
      <diagonal/>
    </border>
    <border>
      <left/>
      <right/>
      <top style="thin">
        <color rgb="FFEEEEEC"/>
      </top>
      <bottom/>
      <diagonal/>
    </border>
    <border>
      <left/>
      <right/>
      <top style="thin">
        <color rgb="FF888A85"/>
      </top>
      <bottom/>
      <diagonal/>
    </border>
    <border>
      <left/>
      <right/>
      <top style="medium">
        <color rgb="FF888A85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167" fontId="3" fillId="2" borderId="2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 wrapText="1"/>
    </xf>
    <xf numFmtId="165" fontId="3" fillId="0" borderId="1" xfId="0" applyNumberFormat="1" applyFont="1" applyBorder="1" applyAlignment="1">
      <alignment horizontal="right" wrapText="1"/>
    </xf>
    <xf numFmtId="167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horizontal="right" wrapText="1"/>
    </xf>
    <xf numFmtId="167" fontId="1" fillId="0" borderId="1" xfId="0" applyNumberFormat="1" applyFont="1" applyBorder="1" applyAlignment="1">
      <alignment horizontal="left" wrapText="1"/>
    </xf>
    <xf numFmtId="0" fontId="3" fillId="3" borderId="4" xfId="0" applyFont="1" applyFill="1" applyBorder="1" applyAlignment="1">
      <alignment horizontal="left"/>
    </xf>
    <xf numFmtId="164" fontId="1" fillId="3" borderId="4" xfId="0" applyNumberFormat="1" applyFont="1" applyFill="1" applyBorder="1" applyAlignment="1">
      <alignment horizontal="right" wrapText="1"/>
    </xf>
    <xf numFmtId="165" fontId="1" fillId="3" borderId="4" xfId="0" applyNumberFormat="1" applyFont="1" applyFill="1" applyBorder="1" applyAlignment="1">
      <alignment horizontal="right" wrapText="1"/>
    </xf>
    <xf numFmtId="167" fontId="1" fillId="3" borderId="4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 wrapText="1"/>
    </xf>
    <xf numFmtId="165" fontId="1" fillId="3" borderId="1" xfId="0" applyNumberFormat="1" applyFont="1" applyFill="1" applyBorder="1" applyAlignment="1">
      <alignment horizontal="right" wrapText="1"/>
    </xf>
    <xf numFmtId="167" fontId="1" fillId="3" borderId="1" xfId="0" applyNumberFormat="1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/>
    </xf>
    <xf numFmtId="164" fontId="3" fillId="4" borderId="5" xfId="0" applyNumberFormat="1" applyFont="1" applyFill="1" applyBorder="1" applyAlignment="1">
      <alignment horizontal="right" wrapText="1"/>
    </xf>
    <xf numFmtId="165" fontId="3" fillId="4" borderId="5" xfId="0" applyNumberFormat="1" applyFont="1" applyFill="1" applyBorder="1" applyAlignment="1">
      <alignment horizontal="right" wrapText="1"/>
    </xf>
    <xf numFmtId="167" fontId="3" fillId="4" borderId="5" xfId="0" applyNumberFormat="1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right" wrapText="1"/>
    </xf>
    <xf numFmtId="164" fontId="1" fillId="3" borderId="3" xfId="0" applyNumberFormat="1" applyFont="1" applyFill="1" applyBorder="1" applyAlignment="1">
      <alignment horizontal="right"/>
    </xf>
    <xf numFmtId="165" fontId="1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 wrapText="1"/>
    </xf>
    <xf numFmtId="164" fontId="1" fillId="3" borderId="4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 wrapText="1"/>
    </xf>
    <xf numFmtId="166" fontId="3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9525" cy="9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9525" cy="9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9525" cy="9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0" customWidth="1"/>
    <col min="2" max="6" width="20" customWidth="1"/>
  </cols>
  <sheetData>
    <row r="1" spans="1:6" ht="20" customHeight="1" x14ac:dyDescent="0.4">
      <c r="A1" s="1" t="s">
        <v>0</v>
      </c>
      <c r="B1" s="2"/>
      <c r="C1" s="2"/>
      <c r="D1" s="2"/>
      <c r="E1" s="2"/>
      <c r="F1" s="2"/>
    </row>
    <row r="2" spans="1:6" ht="20" customHeight="1" x14ac:dyDescent="0.35">
      <c r="A2" s="3" t="s">
        <v>1</v>
      </c>
      <c r="B2" s="3"/>
      <c r="C2" s="3"/>
      <c r="D2" s="3"/>
      <c r="E2" s="3"/>
      <c r="F2" s="3"/>
    </row>
    <row r="3" spans="1:6" ht="15.5" x14ac:dyDescent="0.35">
      <c r="A3" s="2"/>
      <c r="B3" s="2"/>
      <c r="C3" s="2"/>
      <c r="D3" s="2"/>
      <c r="E3" s="2"/>
      <c r="F3" s="2"/>
    </row>
    <row r="4" spans="1:6" ht="31" x14ac:dyDescent="0.35">
      <c r="A4" s="4"/>
      <c r="B4" s="5" t="s">
        <v>2</v>
      </c>
      <c r="C4" s="5" t="s">
        <v>3</v>
      </c>
      <c r="D4" s="5" t="s">
        <v>4</v>
      </c>
      <c r="E4" s="6" t="s">
        <v>5</v>
      </c>
      <c r="F4" s="7" t="s">
        <v>6</v>
      </c>
    </row>
    <row r="5" spans="1:6" ht="20" customHeight="1" x14ac:dyDescent="0.35">
      <c r="A5" s="8" t="s">
        <v>7</v>
      </c>
      <c r="B5" s="9"/>
      <c r="C5" s="9"/>
      <c r="D5" s="9"/>
      <c r="E5" s="10"/>
      <c r="F5" s="11"/>
    </row>
    <row r="6" spans="1:6" ht="20" customHeight="1" x14ac:dyDescent="0.35">
      <c r="A6" s="12" t="s">
        <v>8</v>
      </c>
      <c r="B6" s="13">
        <v>39100000</v>
      </c>
      <c r="C6" s="13">
        <v>6360464</v>
      </c>
      <c r="D6" s="13">
        <v>6360464</v>
      </c>
      <c r="E6" s="14">
        <f>IFERROR(D6 / SummaryCapTableFullyDilutedShares, 0)</f>
        <v>0.16732657628814437</v>
      </c>
      <c r="F6" s="15">
        <v>9872192.8000000007</v>
      </c>
    </row>
    <row r="7" spans="1:6" ht="20" customHeight="1" x14ac:dyDescent="0.35">
      <c r="A7" s="12" t="s">
        <v>9</v>
      </c>
      <c r="B7" s="13">
        <v>1214697</v>
      </c>
      <c r="C7" s="13">
        <v>1214697</v>
      </c>
      <c r="D7" s="13">
        <v>1214697</v>
      </c>
      <c r="E7" s="14">
        <f>IFERROR(D7 / SummaryCapTableFullyDilutedShares, 0)</f>
        <v>3.1955387254370138E-2</v>
      </c>
      <c r="F7" s="15">
        <v>0</v>
      </c>
    </row>
    <row r="8" spans="1:6" ht="20" customHeight="1" x14ac:dyDescent="0.35">
      <c r="A8" s="16" t="s">
        <v>10</v>
      </c>
      <c r="B8" s="17"/>
      <c r="C8" s="17"/>
      <c r="D8" s="17">
        <f>SUM(D6:D7)</f>
        <v>7575161</v>
      </c>
      <c r="E8" s="18">
        <f>IFERROR(D8 / SummaryCapTableFullyDilutedShares, 0)</f>
        <v>0.19928196354251454</v>
      </c>
      <c r="F8" s="19">
        <f>SUM(F6:F7)</f>
        <v>9872192.8000000007</v>
      </c>
    </row>
    <row r="9" spans="1:6" ht="20" customHeight="1" x14ac:dyDescent="0.35">
      <c r="A9" s="12"/>
      <c r="B9" s="13"/>
      <c r="C9" s="13"/>
      <c r="D9" s="13"/>
      <c r="E9" s="14"/>
      <c r="F9" s="15"/>
    </row>
    <row r="10" spans="1:6" ht="20" customHeight="1" x14ac:dyDescent="0.35">
      <c r="A10" s="8" t="s">
        <v>11</v>
      </c>
      <c r="B10" s="9"/>
      <c r="C10" s="9"/>
      <c r="D10" s="9"/>
      <c r="E10" s="10"/>
      <c r="F10" s="11"/>
    </row>
    <row r="11" spans="1:6" ht="20" customHeight="1" x14ac:dyDescent="0.35">
      <c r="A11" s="12" t="s">
        <v>12</v>
      </c>
      <c r="B11" s="13">
        <v>21511708</v>
      </c>
      <c r="C11" s="13">
        <v>21511695</v>
      </c>
      <c r="D11" s="13">
        <v>21511695</v>
      </c>
      <c r="E11" s="14">
        <f>IFERROR(D11 / SummaryCapTableFullyDilutedShares, 0)</f>
        <v>0.56591441670054166</v>
      </c>
      <c r="F11" s="15">
        <v>34299982.850000001</v>
      </c>
    </row>
    <row r="12" spans="1:6" ht="20" customHeight="1" x14ac:dyDescent="0.35">
      <c r="A12" s="16" t="s">
        <v>13</v>
      </c>
      <c r="B12" s="17"/>
      <c r="C12" s="17"/>
      <c r="D12" s="17">
        <f>SUM(D11:D11)</f>
        <v>21511695</v>
      </c>
      <c r="E12" s="18">
        <f>IFERROR(D12 / SummaryCapTableFullyDilutedShares, 0)</f>
        <v>0.56591441670054166</v>
      </c>
      <c r="F12" s="19">
        <f>SUM(F11:F11)</f>
        <v>34299982.850000001</v>
      </c>
    </row>
    <row r="13" spans="1:6" ht="20" customHeight="1" x14ac:dyDescent="0.35">
      <c r="A13" s="12"/>
      <c r="B13" s="13"/>
      <c r="C13" s="13"/>
      <c r="D13" s="13"/>
      <c r="E13" s="14"/>
      <c r="F13" s="15"/>
    </row>
    <row r="14" spans="1:6" ht="20" customHeight="1" x14ac:dyDescent="0.35">
      <c r="A14" s="8" t="s">
        <v>14</v>
      </c>
      <c r="B14" s="9"/>
      <c r="C14" s="9"/>
      <c r="D14" s="9"/>
      <c r="E14" s="10"/>
      <c r="F14" s="11"/>
    </row>
    <row r="15" spans="1:6" ht="20" customHeight="1" x14ac:dyDescent="0.35">
      <c r="A15" s="12" t="s">
        <v>15</v>
      </c>
      <c r="B15" s="13"/>
      <c r="C15" s="13"/>
      <c r="D15" s="13"/>
      <c r="E15" s="14"/>
      <c r="F15" s="15">
        <v>300000</v>
      </c>
    </row>
    <row r="16" spans="1:6" ht="20" customHeight="1" x14ac:dyDescent="0.35">
      <c r="A16" s="16" t="s">
        <v>16</v>
      </c>
      <c r="B16" s="17"/>
      <c r="C16" s="17"/>
      <c r="D16" s="17"/>
      <c r="E16" s="18"/>
      <c r="F16" s="19">
        <f>SUM(F15:F15)</f>
        <v>300000</v>
      </c>
    </row>
    <row r="17" spans="1:6" ht="20" customHeight="1" x14ac:dyDescent="0.35">
      <c r="A17" s="12"/>
      <c r="B17" s="13"/>
      <c r="C17" s="13"/>
      <c r="D17" s="13"/>
      <c r="E17" s="14"/>
      <c r="F17" s="15"/>
    </row>
    <row r="18" spans="1:6" ht="20" customHeight="1" x14ac:dyDescent="0.35">
      <c r="A18" s="8" t="s">
        <v>17</v>
      </c>
      <c r="B18" s="9">
        <v>8925420</v>
      </c>
      <c r="C18" s="9"/>
      <c r="D18" s="9"/>
      <c r="E18" s="10"/>
      <c r="F18" s="11"/>
    </row>
    <row r="19" spans="1:6" ht="20" customHeight="1" x14ac:dyDescent="0.35">
      <c r="A19" s="16" t="s">
        <v>18</v>
      </c>
      <c r="B19" s="17"/>
      <c r="C19" s="17"/>
      <c r="D19" s="17">
        <v>0</v>
      </c>
      <c r="E19" s="18">
        <f>IFERROR(D19 / SummaryCapTableFullyDilutedShares, 0)</f>
        <v>0</v>
      </c>
      <c r="F19" s="19"/>
    </row>
    <row r="20" spans="1:6" ht="20" customHeight="1" x14ac:dyDescent="0.35">
      <c r="A20" s="20" t="s">
        <v>19</v>
      </c>
      <c r="B20" s="21"/>
      <c r="C20" s="21"/>
      <c r="D20" s="21">
        <v>5549956</v>
      </c>
      <c r="E20" s="22">
        <f>IFERROR(D20 / SummaryCapTableFullyDilutedShares, 0)</f>
        <v>0.14600430660873873</v>
      </c>
      <c r="F20" s="23"/>
    </row>
    <row r="21" spans="1:6" ht="20" customHeight="1" x14ac:dyDescent="0.35">
      <c r="A21" s="20" t="s">
        <v>20</v>
      </c>
      <c r="B21" s="21"/>
      <c r="C21" s="21"/>
      <c r="D21" s="21">
        <v>3375464</v>
      </c>
      <c r="E21" s="22">
        <f>IFERROR(D21 / SummaryCapTableFullyDilutedShares, 0)</f>
        <v>8.8799313148205064E-2</v>
      </c>
      <c r="F21" s="23"/>
    </row>
    <row r="22" spans="1:6" ht="20" customHeight="1" x14ac:dyDescent="0.35">
      <c r="A22" s="12"/>
      <c r="B22" s="13"/>
      <c r="C22" s="13"/>
      <c r="D22" s="13"/>
      <c r="E22" s="14"/>
      <c r="F22" s="15"/>
    </row>
    <row r="23" spans="1:6" ht="20" customHeight="1" x14ac:dyDescent="0.35">
      <c r="A23" s="8" t="s">
        <v>21</v>
      </c>
      <c r="B23" s="9">
        <v>0</v>
      </c>
      <c r="C23" s="9"/>
      <c r="D23" s="9"/>
      <c r="E23" s="10"/>
      <c r="F23" s="11"/>
    </row>
    <row r="24" spans="1:6" ht="20" customHeight="1" x14ac:dyDescent="0.35">
      <c r="A24" s="16" t="s">
        <v>18</v>
      </c>
      <c r="B24" s="17"/>
      <c r="C24" s="17"/>
      <c r="D24" s="17">
        <v>0</v>
      </c>
      <c r="E24" s="18">
        <f>IFERROR(D24 / SummaryCapTableFullyDilutedShares, 0)</f>
        <v>0</v>
      </c>
      <c r="F24" s="19"/>
    </row>
    <row r="25" spans="1:6" ht="20" customHeight="1" x14ac:dyDescent="0.35">
      <c r="A25" s="20" t="s">
        <v>19</v>
      </c>
      <c r="B25" s="21"/>
      <c r="C25" s="21"/>
      <c r="D25" s="21">
        <v>0</v>
      </c>
      <c r="E25" s="22">
        <f>IFERROR(D25 / SummaryCapTableFullyDilutedShares, 0)</f>
        <v>0</v>
      </c>
      <c r="F25" s="23"/>
    </row>
    <row r="26" spans="1:6" ht="20" customHeight="1" x14ac:dyDescent="0.35">
      <c r="A26" s="20" t="s">
        <v>20</v>
      </c>
      <c r="B26" s="21"/>
      <c r="C26" s="21"/>
      <c r="D26" s="21">
        <v>0</v>
      </c>
      <c r="E26" s="22">
        <f>IFERROR(D26 / SummaryCapTableFullyDilutedShares, 0)</f>
        <v>0</v>
      </c>
      <c r="F26" s="23"/>
    </row>
    <row r="27" spans="1:6" ht="20" customHeight="1" x14ac:dyDescent="0.35">
      <c r="A27" s="12"/>
      <c r="B27" s="13"/>
      <c r="C27" s="13"/>
      <c r="D27" s="13"/>
      <c r="E27" s="14"/>
      <c r="F27" s="15"/>
    </row>
    <row r="28" spans="1:6" ht="20" customHeight="1" x14ac:dyDescent="0.35">
      <c r="A28" s="24" t="s">
        <v>22</v>
      </c>
      <c r="B28" s="25"/>
      <c r="C28" s="25"/>
      <c r="D28" s="25">
        <f>SUM(D8,D12,D16,D19,D20,D21,D24,D25,D26,)</f>
        <v>38012276</v>
      </c>
      <c r="E28" s="26">
        <f>SUM(E8,E12,E16,E19,E20,E21,E24,E25,E26,)</f>
        <v>1</v>
      </c>
      <c r="F28" s="27">
        <f>SUM(F8,F12,F16,F19,F20,F21,F24,F25,F26,)</f>
        <v>44472175.650000006</v>
      </c>
    </row>
  </sheetData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5" customWidth="1"/>
    <col min="2" max="2" width="45" customWidth="1"/>
    <col min="3" max="8" width="20" customWidth="1"/>
    <col min="9" max="10" width="30" customWidth="1"/>
    <col min="11" max="12" width="20" customWidth="1"/>
  </cols>
  <sheetData>
    <row r="1" spans="1:12" ht="20" customHeight="1" x14ac:dyDescent="0.4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0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93" x14ac:dyDescent="0.35">
      <c r="A4" s="4" t="s">
        <v>24</v>
      </c>
      <c r="B4" s="4" t="s">
        <v>25</v>
      </c>
      <c r="C4" s="28" t="s">
        <v>26</v>
      </c>
      <c r="D4" s="28" t="s">
        <v>27</v>
      </c>
      <c r="E4" s="28" t="s">
        <v>28</v>
      </c>
      <c r="F4" s="28" t="s">
        <v>29</v>
      </c>
      <c r="G4" s="5" t="s">
        <v>30</v>
      </c>
      <c r="H4" s="5" t="s">
        <v>31</v>
      </c>
      <c r="I4" s="29" t="s">
        <v>32</v>
      </c>
      <c r="J4" s="29" t="s">
        <v>4</v>
      </c>
      <c r="K4" s="6" t="s">
        <v>33</v>
      </c>
      <c r="L4" s="6" t="s">
        <v>5</v>
      </c>
    </row>
    <row r="5" spans="1:12" ht="20" customHeight="1" x14ac:dyDescent="0.35">
      <c r="A5" s="30" t="s">
        <v>34</v>
      </c>
      <c r="B5" s="30" t="s">
        <v>35</v>
      </c>
      <c r="C5" s="31">
        <v>0</v>
      </c>
      <c r="D5" s="31">
        <v>0</v>
      </c>
      <c r="E5" s="31">
        <v>1949880</v>
      </c>
      <c r="F5" s="31">
        <v>1949880</v>
      </c>
      <c r="G5" s="31">
        <v>0</v>
      </c>
      <c r="H5" s="31">
        <v>0</v>
      </c>
      <c r="I5" s="32">
        <f t="shared" ref="I5:I27" si="0">SUM(C5,D5,E5,)</f>
        <v>1949880</v>
      </c>
      <c r="J5" s="32">
        <f t="shared" ref="J5:J27" si="1">SUM(C5,D5,F5,G5,H5,)</f>
        <v>1949880</v>
      </c>
      <c r="K5" s="33">
        <f t="shared" ref="K5:K27" si="2">IFERROR(I5 / IntermediateCapTableTotalSharesOutstanding, 0)</f>
        <v>6.7036464855465994E-2</v>
      </c>
      <c r="L5" s="33">
        <f t="shared" ref="L5:L27" si="3">IFERROR(J5 / IntermediateCapTableTotalFullyDilutedShares, 0)</f>
        <v>5.1296060251693427E-2</v>
      </c>
    </row>
    <row r="6" spans="1:12" ht="20" customHeight="1" x14ac:dyDescent="0.35">
      <c r="A6" s="30" t="s">
        <v>36</v>
      </c>
      <c r="B6" s="30" t="s">
        <v>37</v>
      </c>
      <c r="C6" s="31">
        <v>0</v>
      </c>
      <c r="D6" s="31">
        <v>0</v>
      </c>
      <c r="E6" s="31">
        <v>5881819</v>
      </c>
      <c r="F6" s="31">
        <v>5881819</v>
      </c>
      <c r="G6" s="31">
        <v>0</v>
      </c>
      <c r="H6" s="31">
        <v>0</v>
      </c>
      <c r="I6" s="32">
        <f t="shared" si="0"/>
        <v>5881819</v>
      </c>
      <c r="J6" s="32">
        <f t="shared" si="1"/>
        <v>5881819</v>
      </c>
      <c r="K6" s="33">
        <f t="shared" si="2"/>
        <v>0.20221570182765713</v>
      </c>
      <c r="L6" s="33">
        <f t="shared" si="3"/>
        <v>0.15473472306683242</v>
      </c>
    </row>
    <row r="7" spans="1:12" ht="20" customHeight="1" x14ac:dyDescent="0.35">
      <c r="A7" s="30" t="s">
        <v>38</v>
      </c>
      <c r="B7" s="30" t="s">
        <v>39</v>
      </c>
      <c r="C7" s="31">
        <v>0</v>
      </c>
      <c r="D7" s="31">
        <v>0</v>
      </c>
      <c r="E7" s="31">
        <v>635004</v>
      </c>
      <c r="F7" s="31">
        <v>635004</v>
      </c>
      <c r="G7" s="31">
        <v>0</v>
      </c>
      <c r="H7" s="31">
        <v>0</v>
      </c>
      <c r="I7" s="32">
        <f t="shared" si="0"/>
        <v>635004</v>
      </c>
      <c r="J7" s="32">
        <f t="shared" si="1"/>
        <v>635004</v>
      </c>
      <c r="K7" s="33">
        <f t="shared" si="2"/>
        <v>2.1831304146450205E-2</v>
      </c>
      <c r="L7" s="33">
        <f t="shared" si="3"/>
        <v>1.6705234908848919E-2</v>
      </c>
    </row>
    <row r="8" spans="1:12" ht="20" customHeight="1" x14ac:dyDescent="0.35">
      <c r="A8" s="30" t="s">
        <v>40</v>
      </c>
      <c r="B8" s="30" t="s">
        <v>41</v>
      </c>
      <c r="C8" s="31">
        <v>0</v>
      </c>
      <c r="D8" s="31">
        <v>0</v>
      </c>
      <c r="E8" s="31">
        <v>219507</v>
      </c>
      <c r="F8" s="31">
        <v>219507</v>
      </c>
      <c r="G8" s="31">
        <v>0</v>
      </c>
      <c r="H8" s="31">
        <v>0</v>
      </c>
      <c r="I8" s="32">
        <f t="shared" si="0"/>
        <v>219507</v>
      </c>
      <c r="J8" s="32">
        <f t="shared" si="1"/>
        <v>219507</v>
      </c>
      <c r="K8" s="33">
        <f t="shared" si="2"/>
        <v>7.5466045556797203E-3</v>
      </c>
      <c r="L8" s="33">
        <f t="shared" si="3"/>
        <v>5.7746344891318798E-3</v>
      </c>
    </row>
    <row r="9" spans="1:12" ht="20" customHeight="1" x14ac:dyDescent="0.35">
      <c r="A9" s="30" t="s">
        <v>42</v>
      </c>
      <c r="B9" s="30" t="s">
        <v>43</v>
      </c>
      <c r="C9" s="31">
        <v>0</v>
      </c>
      <c r="D9" s="31">
        <v>0</v>
      </c>
      <c r="E9" s="31">
        <v>94074</v>
      </c>
      <c r="F9" s="31">
        <v>94074</v>
      </c>
      <c r="G9" s="31">
        <v>0</v>
      </c>
      <c r="H9" s="31">
        <v>0</v>
      </c>
      <c r="I9" s="32">
        <f t="shared" si="0"/>
        <v>94074</v>
      </c>
      <c r="J9" s="32">
        <f t="shared" si="1"/>
        <v>94074</v>
      </c>
      <c r="K9" s="33">
        <f t="shared" si="2"/>
        <v>3.2342443610956098E-3</v>
      </c>
      <c r="L9" s="33">
        <f t="shared" si="3"/>
        <v>2.4748320779318764E-3</v>
      </c>
    </row>
    <row r="10" spans="1:12" ht="20" customHeight="1" x14ac:dyDescent="0.35">
      <c r="A10" s="30" t="s">
        <v>44</v>
      </c>
      <c r="B10" s="30" t="s">
        <v>45</v>
      </c>
      <c r="C10" s="31">
        <v>0</v>
      </c>
      <c r="D10" s="31">
        <v>0</v>
      </c>
      <c r="E10" s="31">
        <v>627163</v>
      </c>
      <c r="F10" s="31">
        <v>627163</v>
      </c>
      <c r="G10" s="31">
        <v>0</v>
      </c>
      <c r="H10" s="31">
        <v>0</v>
      </c>
      <c r="I10" s="32">
        <f t="shared" si="0"/>
        <v>627163</v>
      </c>
      <c r="J10" s="32">
        <f t="shared" si="1"/>
        <v>627163</v>
      </c>
      <c r="K10" s="33">
        <f t="shared" si="2"/>
        <v>2.1561732213340623E-2</v>
      </c>
      <c r="L10" s="33">
        <f t="shared" si="3"/>
        <v>1.6498959441418347E-2</v>
      </c>
    </row>
    <row r="11" spans="1:12" ht="20" customHeight="1" x14ac:dyDescent="0.35">
      <c r="A11" s="30" t="s">
        <v>46</v>
      </c>
      <c r="B11" s="30" t="s">
        <v>47</v>
      </c>
      <c r="C11" s="31">
        <v>0</v>
      </c>
      <c r="D11" s="31">
        <v>0</v>
      </c>
      <c r="E11" s="31">
        <v>2508654</v>
      </c>
      <c r="F11" s="31">
        <v>2508654</v>
      </c>
      <c r="G11" s="31">
        <v>0</v>
      </c>
      <c r="H11" s="31">
        <v>0</v>
      </c>
      <c r="I11" s="32">
        <f t="shared" si="0"/>
        <v>2508654</v>
      </c>
      <c r="J11" s="32">
        <f t="shared" si="1"/>
        <v>2508654</v>
      </c>
      <c r="K11" s="33">
        <f t="shared" si="2"/>
        <v>8.6246997612942425E-2</v>
      </c>
      <c r="L11" s="33">
        <f t="shared" si="3"/>
        <v>6.5995890380255051E-2</v>
      </c>
    </row>
    <row r="12" spans="1:12" ht="20" customHeight="1" x14ac:dyDescent="0.35">
      <c r="A12" s="30" t="s">
        <v>48</v>
      </c>
      <c r="B12" s="30" t="s">
        <v>49</v>
      </c>
      <c r="C12" s="31">
        <v>236872</v>
      </c>
      <c r="D12" s="31">
        <v>20000</v>
      </c>
      <c r="E12" s="31">
        <v>1254327</v>
      </c>
      <c r="F12" s="31">
        <v>1254327</v>
      </c>
      <c r="G12" s="31">
        <v>126114</v>
      </c>
      <c r="H12" s="31">
        <v>0</v>
      </c>
      <c r="I12" s="32">
        <f t="shared" si="0"/>
        <v>1511199</v>
      </c>
      <c r="J12" s="32">
        <f t="shared" si="1"/>
        <v>1637313</v>
      </c>
      <c r="K12" s="33">
        <f t="shared" si="2"/>
        <v>5.1954704214164642E-2</v>
      </c>
      <c r="L12" s="33">
        <f t="shared" si="3"/>
        <v>4.3073269277535499E-2</v>
      </c>
    </row>
    <row r="13" spans="1:12" ht="20" customHeight="1" x14ac:dyDescent="0.35">
      <c r="A13" s="30" t="s">
        <v>50</v>
      </c>
      <c r="B13" s="30" t="s">
        <v>51</v>
      </c>
      <c r="C13" s="31">
        <v>0</v>
      </c>
      <c r="D13" s="31">
        <v>0</v>
      </c>
      <c r="E13" s="31">
        <v>156790</v>
      </c>
      <c r="F13" s="31">
        <v>156790</v>
      </c>
      <c r="G13" s="31">
        <v>0</v>
      </c>
      <c r="H13" s="31">
        <v>0</v>
      </c>
      <c r="I13" s="32">
        <f t="shared" si="0"/>
        <v>156790</v>
      </c>
      <c r="J13" s="32">
        <f t="shared" si="1"/>
        <v>156790</v>
      </c>
      <c r="K13" s="33">
        <f t="shared" si="2"/>
        <v>5.3904072684926828E-3</v>
      </c>
      <c r="L13" s="33">
        <f t="shared" si="3"/>
        <v>4.1247201298864611E-3</v>
      </c>
    </row>
    <row r="14" spans="1:12" ht="20" customHeight="1" x14ac:dyDescent="0.35">
      <c r="A14" s="30" t="s">
        <v>52</v>
      </c>
      <c r="B14" s="30" t="s">
        <v>53</v>
      </c>
      <c r="C14" s="31">
        <v>36496</v>
      </c>
      <c r="D14" s="31">
        <v>0</v>
      </c>
      <c r="E14" s="31">
        <v>376297</v>
      </c>
      <c r="F14" s="31">
        <v>376297</v>
      </c>
      <c r="G14" s="31">
        <v>0</v>
      </c>
      <c r="H14" s="31">
        <v>0</v>
      </c>
      <c r="I14" s="32">
        <f t="shared" si="0"/>
        <v>412793</v>
      </c>
      <c r="J14" s="32">
        <f t="shared" si="1"/>
        <v>412793</v>
      </c>
      <c r="K14" s="33">
        <f t="shared" si="2"/>
        <v>1.4191736638707188E-2</v>
      </c>
      <c r="L14" s="33">
        <f t="shared" si="3"/>
        <v>1.0859465505301497E-2</v>
      </c>
    </row>
    <row r="15" spans="1:12" ht="20" customHeight="1" x14ac:dyDescent="0.35">
      <c r="A15" s="30" t="s">
        <v>54</v>
      </c>
      <c r="B15" s="30" t="s">
        <v>55</v>
      </c>
      <c r="C15" s="31">
        <v>0</v>
      </c>
      <c r="D15" s="31">
        <v>0</v>
      </c>
      <c r="E15" s="31">
        <v>156790</v>
      </c>
      <c r="F15" s="31">
        <v>156790</v>
      </c>
      <c r="G15" s="31">
        <v>126114</v>
      </c>
      <c r="H15" s="31">
        <v>0</v>
      </c>
      <c r="I15" s="32">
        <f t="shared" si="0"/>
        <v>156790</v>
      </c>
      <c r="J15" s="32">
        <f t="shared" si="1"/>
        <v>282904</v>
      </c>
      <c r="K15" s="33">
        <f t="shared" si="2"/>
        <v>5.3904072684926828E-3</v>
      </c>
      <c r="L15" s="33">
        <f t="shared" si="3"/>
        <v>7.4424378061445206E-3</v>
      </c>
    </row>
    <row r="16" spans="1:12" ht="20" customHeight="1" x14ac:dyDescent="0.35">
      <c r="A16" s="30" t="s">
        <v>56</v>
      </c>
      <c r="B16" s="30" t="s">
        <v>57</v>
      </c>
      <c r="C16" s="31">
        <v>0</v>
      </c>
      <c r="D16" s="31">
        <v>0</v>
      </c>
      <c r="E16" s="31">
        <v>188149</v>
      </c>
      <c r="F16" s="31">
        <v>188149</v>
      </c>
      <c r="G16" s="31">
        <v>0</v>
      </c>
      <c r="H16" s="31">
        <v>0</v>
      </c>
      <c r="I16" s="32">
        <f t="shared" si="0"/>
        <v>188149</v>
      </c>
      <c r="J16" s="32">
        <f t="shared" si="1"/>
        <v>188149</v>
      </c>
      <c r="K16" s="33">
        <f t="shared" si="2"/>
        <v>6.4685231019811834E-3</v>
      </c>
      <c r="L16" s="33">
        <f t="shared" si="3"/>
        <v>4.9496904631545872E-3</v>
      </c>
    </row>
    <row r="17" spans="1:12" ht="20" customHeight="1" x14ac:dyDescent="0.35">
      <c r="A17" s="30" t="s">
        <v>58</v>
      </c>
      <c r="B17" s="30" t="s">
        <v>59</v>
      </c>
      <c r="C17" s="31">
        <v>0</v>
      </c>
      <c r="D17" s="31">
        <v>0</v>
      </c>
      <c r="E17" s="31">
        <v>627163</v>
      </c>
      <c r="F17" s="31">
        <v>627163</v>
      </c>
      <c r="G17" s="31">
        <v>0</v>
      </c>
      <c r="H17" s="31">
        <v>0</v>
      </c>
      <c r="I17" s="32">
        <f t="shared" si="0"/>
        <v>627163</v>
      </c>
      <c r="J17" s="32">
        <f t="shared" si="1"/>
        <v>627163</v>
      </c>
      <c r="K17" s="33">
        <f t="shared" si="2"/>
        <v>2.1561732213340623E-2</v>
      </c>
      <c r="L17" s="33">
        <f t="shared" si="3"/>
        <v>1.6498959441418347E-2</v>
      </c>
    </row>
    <row r="18" spans="1:12" ht="20" customHeight="1" x14ac:dyDescent="0.35">
      <c r="A18" s="30" t="s">
        <v>60</v>
      </c>
      <c r="B18" s="30" t="s">
        <v>61</v>
      </c>
      <c r="C18" s="31">
        <v>2522810</v>
      </c>
      <c r="D18" s="31">
        <v>7941</v>
      </c>
      <c r="E18" s="31">
        <v>125432</v>
      </c>
      <c r="F18" s="31">
        <v>125432</v>
      </c>
      <c r="G18" s="31">
        <v>0</v>
      </c>
      <c r="H18" s="31">
        <v>0</v>
      </c>
      <c r="I18" s="32">
        <f t="shared" si="0"/>
        <v>2656183</v>
      </c>
      <c r="J18" s="32">
        <f t="shared" si="1"/>
        <v>2656183</v>
      </c>
      <c r="K18" s="33">
        <f t="shared" si="2"/>
        <v>9.1319013646576311E-2</v>
      </c>
      <c r="L18" s="33">
        <f t="shared" si="3"/>
        <v>6.9876978689726449E-2</v>
      </c>
    </row>
    <row r="19" spans="1:12" ht="20" customHeight="1" x14ac:dyDescent="0.35">
      <c r="A19" s="30" t="s">
        <v>62</v>
      </c>
      <c r="B19" s="30" t="s">
        <v>63</v>
      </c>
      <c r="C19" s="31">
        <v>36496</v>
      </c>
      <c r="D19" s="31">
        <v>0</v>
      </c>
      <c r="E19" s="31">
        <v>125432</v>
      </c>
      <c r="F19" s="31">
        <v>125432</v>
      </c>
      <c r="G19" s="31">
        <v>0</v>
      </c>
      <c r="H19" s="31">
        <v>0</v>
      </c>
      <c r="I19" s="32">
        <f t="shared" si="0"/>
        <v>161928</v>
      </c>
      <c r="J19" s="32">
        <f t="shared" si="1"/>
        <v>161928</v>
      </c>
      <c r="K19" s="33">
        <f t="shared" si="2"/>
        <v>5.5670506293289315E-3</v>
      </c>
      <c r="L19" s="33">
        <f t="shared" si="3"/>
        <v>4.2598869901923266E-3</v>
      </c>
    </row>
    <row r="20" spans="1:12" ht="20" customHeight="1" x14ac:dyDescent="0.35">
      <c r="A20" s="30" t="s">
        <v>64</v>
      </c>
      <c r="B20" s="30" t="s">
        <v>65</v>
      </c>
      <c r="C20" s="31">
        <v>0</v>
      </c>
      <c r="D20" s="31">
        <v>0</v>
      </c>
      <c r="E20" s="31">
        <v>439014</v>
      </c>
      <c r="F20" s="31">
        <v>439014</v>
      </c>
      <c r="G20" s="31">
        <v>0</v>
      </c>
      <c r="H20" s="31">
        <v>0</v>
      </c>
      <c r="I20" s="32">
        <f t="shared" si="0"/>
        <v>439014</v>
      </c>
      <c r="J20" s="32">
        <f t="shared" si="1"/>
        <v>439014</v>
      </c>
      <c r="K20" s="33">
        <f t="shared" si="2"/>
        <v>1.5093209111359441E-2</v>
      </c>
      <c r="L20" s="33">
        <f t="shared" si="3"/>
        <v>1.154926897826376E-2</v>
      </c>
    </row>
    <row r="21" spans="1:12" ht="20" customHeight="1" x14ac:dyDescent="0.35">
      <c r="A21" s="30" t="s">
        <v>66</v>
      </c>
      <c r="B21" s="30" t="s">
        <v>67</v>
      </c>
      <c r="C21" s="31">
        <v>0</v>
      </c>
      <c r="D21" s="31">
        <v>0</v>
      </c>
      <c r="E21" s="31">
        <v>439014</v>
      </c>
      <c r="F21" s="31">
        <v>439014</v>
      </c>
      <c r="G21" s="31">
        <v>0</v>
      </c>
      <c r="H21" s="31">
        <v>0</v>
      </c>
      <c r="I21" s="32">
        <f t="shared" si="0"/>
        <v>439014</v>
      </c>
      <c r="J21" s="32">
        <f t="shared" si="1"/>
        <v>439014</v>
      </c>
      <c r="K21" s="33">
        <f t="shared" si="2"/>
        <v>1.5093209111359441E-2</v>
      </c>
      <c r="L21" s="33">
        <f t="shared" si="3"/>
        <v>1.154926897826376E-2</v>
      </c>
    </row>
    <row r="22" spans="1:12" ht="20" customHeight="1" x14ac:dyDescent="0.35">
      <c r="A22" s="30" t="s">
        <v>68</v>
      </c>
      <c r="B22" s="30" t="s">
        <v>69</v>
      </c>
      <c r="C22" s="31">
        <v>0</v>
      </c>
      <c r="D22" s="31">
        <v>0</v>
      </c>
      <c r="E22" s="31">
        <v>783954</v>
      </c>
      <c r="F22" s="31">
        <v>783954</v>
      </c>
      <c r="G22" s="31">
        <v>0</v>
      </c>
      <c r="H22" s="31">
        <v>0</v>
      </c>
      <c r="I22" s="32">
        <f t="shared" si="0"/>
        <v>783954</v>
      </c>
      <c r="J22" s="32">
        <f t="shared" si="1"/>
        <v>783954</v>
      </c>
      <c r="K22" s="33">
        <f t="shared" si="2"/>
        <v>2.6952173861623272E-2</v>
      </c>
      <c r="L22" s="33">
        <f t="shared" si="3"/>
        <v>2.062370587859564E-2</v>
      </c>
    </row>
    <row r="23" spans="1:12" ht="20" customHeight="1" x14ac:dyDescent="0.35">
      <c r="A23" s="30" t="s">
        <v>70</v>
      </c>
      <c r="B23" s="30" t="s">
        <v>71</v>
      </c>
      <c r="C23" s="31">
        <v>0</v>
      </c>
      <c r="D23" s="31">
        <v>0</v>
      </c>
      <c r="E23" s="31">
        <v>94074</v>
      </c>
      <c r="F23" s="31">
        <v>94074</v>
      </c>
      <c r="G23" s="31">
        <v>0</v>
      </c>
      <c r="H23" s="31">
        <v>0</v>
      </c>
      <c r="I23" s="32">
        <f t="shared" si="0"/>
        <v>94074</v>
      </c>
      <c r="J23" s="32">
        <f t="shared" si="1"/>
        <v>94074</v>
      </c>
      <c r="K23" s="33">
        <f t="shared" si="2"/>
        <v>3.2342443610956098E-3</v>
      </c>
      <c r="L23" s="33">
        <f t="shared" si="3"/>
        <v>2.4748320779318764E-3</v>
      </c>
    </row>
    <row r="24" spans="1:12" ht="20" customHeight="1" x14ac:dyDescent="0.35">
      <c r="A24" s="30" t="s">
        <v>72</v>
      </c>
      <c r="B24" s="30" t="s">
        <v>73</v>
      </c>
      <c r="C24" s="31">
        <v>0</v>
      </c>
      <c r="D24" s="31">
        <v>0</v>
      </c>
      <c r="E24" s="31">
        <v>2508654</v>
      </c>
      <c r="F24" s="31">
        <v>2508654</v>
      </c>
      <c r="G24" s="31">
        <v>0</v>
      </c>
      <c r="H24" s="31">
        <v>0</v>
      </c>
      <c r="I24" s="32">
        <f t="shared" si="0"/>
        <v>2508654</v>
      </c>
      <c r="J24" s="32">
        <f t="shared" si="1"/>
        <v>2508654</v>
      </c>
      <c r="K24" s="33">
        <f t="shared" si="2"/>
        <v>8.6246997612942425E-2</v>
      </c>
      <c r="L24" s="33">
        <f t="shared" si="3"/>
        <v>6.5995890380255051E-2</v>
      </c>
    </row>
    <row r="25" spans="1:12" ht="20" customHeight="1" x14ac:dyDescent="0.35">
      <c r="A25" s="30" t="s">
        <v>74</v>
      </c>
      <c r="B25" s="30" t="s">
        <v>75</v>
      </c>
      <c r="C25" s="31">
        <v>0</v>
      </c>
      <c r="D25" s="31">
        <v>0</v>
      </c>
      <c r="E25" s="31">
        <v>2195072</v>
      </c>
      <c r="F25" s="31">
        <v>2195072</v>
      </c>
      <c r="G25" s="31">
        <v>126114</v>
      </c>
      <c r="H25" s="31">
        <v>0</v>
      </c>
      <c r="I25" s="32">
        <f t="shared" si="0"/>
        <v>2195072</v>
      </c>
      <c r="J25" s="32">
        <f t="shared" si="1"/>
        <v>2321186</v>
      </c>
      <c r="K25" s="33">
        <f t="shared" si="2"/>
        <v>7.5466114316377134E-2</v>
      </c>
      <c r="L25" s="33">
        <f t="shared" si="3"/>
        <v>6.106411518215852E-2</v>
      </c>
    </row>
    <row r="26" spans="1:12" ht="20" customHeight="1" x14ac:dyDescent="0.35">
      <c r="A26" s="30" t="s">
        <v>76</v>
      </c>
      <c r="B26" s="30" t="s">
        <v>77</v>
      </c>
      <c r="C26" s="31">
        <v>0</v>
      </c>
      <c r="D26" s="31">
        <v>0</v>
      </c>
      <c r="E26" s="31">
        <v>125432</v>
      </c>
      <c r="F26" s="31">
        <v>125432</v>
      </c>
      <c r="G26" s="31">
        <v>0</v>
      </c>
      <c r="H26" s="31">
        <v>0</v>
      </c>
      <c r="I26" s="32">
        <f t="shared" si="0"/>
        <v>125432</v>
      </c>
      <c r="J26" s="32">
        <f t="shared" si="1"/>
        <v>125432</v>
      </c>
      <c r="K26" s="33">
        <f t="shared" si="2"/>
        <v>4.3123258147941459E-3</v>
      </c>
      <c r="L26" s="33">
        <f t="shared" si="3"/>
        <v>3.2997761039091685E-3</v>
      </c>
    </row>
    <row r="27" spans="1:12" ht="20" customHeight="1" x14ac:dyDescent="0.35">
      <c r="A27" s="34"/>
      <c r="B27" s="34" t="s">
        <v>78</v>
      </c>
      <c r="C27" s="35">
        <v>3527790</v>
      </c>
      <c r="D27" s="35">
        <v>1186756</v>
      </c>
      <c r="E27" s="35">
        <v>0</v>
      </c>
      <c r="F27" s="35">
        <v>0</v>
      </c>
      <c r="G27" s="35">
        <v>5171614</v>
      </c>
      <c r="H27" s="35">
        <v>0</v>
      </c>
      <c r="I27" s="36">
        <f t="shared" si="0"/>
        <v>4714546</v>
      </c>
      <c r="J27" s="36">
        <f t="shared" si="1"/>
        <v>9886160</v>
      </c>
      <c r="K27" s="18">
        <f t="shared" si="2"/>
        <v>0.16208510125673259</v>
      </c>
      <c r="L27" s="18">
        <f t="shared" si="3"/>
        <v>0.26007808635294555</v>
      </c>
    </row>
    <row r="28" spans="1:12" ht="20" customHeight="1" x14ac:dyDescent="0.35">
      <c r="A28" s="16"/>
      <c r="B28" s="37" t="s">
        <v>79</v>
      </c>
      <c r="C28" s="38"/>
      <c r="D28" s="38"/>
      <c r="E28" s="38"/>
      <c r="F28" s="38"/>
      <c r="G28" s="17">
        <v>5549956</v>
      </c>
      <c r="H28" s="17">
        <v>0</v>
      </c>
      <c r="I28" s="36"/>
      <c r="J28" s="36"/>
      <c r="K28" s="18"/>
      <c r="L28" s="18"/>
    </row>
    <row r="29" spans="1:12" ht="20" customHeight="1" x14ac:dyDescent="0.35">
      <c r="A29" s="20"/>
      <c r="B29" s="39" t="s">
        <v>20</v>
      </c>
      <c r="C29" s="40"/>
      <c r="D29" s="40"/>
      <c r="E29" s="40"/>
      <c r="F29" s="40"/>
      <c r="G29" s="21">
        <v>3375464</v>
      </c>
      <c r="H29" s="21">
        <v>0</v>
      </c>
      <c r="I29" s="41"/>
      <c r="J29" s="41">
        <f>SUM(C29,D29,F29,G29,H29,)</f>
        <v>3375464</v>
      </c>
      <c r="K29" s="22"/>
      <c r="L29" s="22">
        <f>IFERROR(J29 / IntermediateCapTableTotalFullyDilutedShares, 0)</f>
        <v>8.8799313148205064E-2</v>
      </c>
    </row>
    <row r="30" spans="1:12" ht="20" customHeight="1" x14ac:dyDescent="0.35">
      <c r="A30" s="24"/>
      <c r="B30" s="24" t="s">
        <v>80</v>
      </c>
      <c r="C30" s="42">
        <f>SUM(C5:C27)</f>
        <v>6360464</v>
      </c>
      <c r="D30" s="42">
        <f>SUM(D5:D27)</f>
        <v>1214697</v>
      </c>
      <c r="E30" s="42"/>
      <c r="F30" s="42">
        <f>SUM(F5:F27)</f>
        <v>21511695</v>
      </c>
      <c r="G30" s="25">
        <f>SUM(G28:G29)</f>
        <v>8925420</v>
      </c>
      <c r="H30" s="25">
        <f>SUM(H28:H29)</f>
        <v>0</v>
      </c>
      <c r="I30" s="43"/>
      <c r="J30" s="43">
        <f>SUM(C30,D30,F30,G30,H30,)</f>
        <v>38012276</v>
      </c>
      <c r="K30" s="26"/>
      <c r="L30" s="26">
        <f>IFERROR(SUM(C30,D30,F30,G30,H30,)/IntermediateCapTableTotalFullyDilutedShares,0)</f>
        <v>1</v>
      </c>
    </row>
    <row r="31" spans="1:12" ht="20" customHeight="1" x14ac:dyDescent="0.35">
      <c r="A31" s="44"/>
      <c r="B31" s="44" t="s">
        <v>81</v>
      </c>
      <c r="C31" s="45">
        <f>IFERROR(C30 / IntermediateCapTableTotalFullyDilutedShares, 0)</f>
        <v>0.16732657628814437</v>
      </c>
      <c r="D31" s="45">
        <f>IFERROR(D30 / IntermediateCapTableTotalFullyDilutedShares, 0)</f>
        <v>3.1955387254370138E-2</v>
      </c>
      <c r="E31" s="46"/>
      <c r="F31" s="45">
        <f>IFERROR(F30 / IntermediateCapTableTotalFullyDilutedShares, 0)</f>
        <v>0.56591441670054166</v>
      </c>
      <c r="G31" s="45">
        <f>IFERROR(G30 / IntermediateCapTableTotalFullyDilutedShares, 0)</f>
        <v>0.23480361975694378</v>
      </c>
      <c r="H31" s="45">
        <f>IFERROR(H30 / IntermediateCapTableTotalFullyDilutedShares, 0)</f>
        <v>0</v>
      </c>
      <c r="I31" s="47"/>
      <c r="J31" s="48">
        <f>SUM(C31,D31,F31,G31,H31,)</f>
        <v>0.99999999999999989</v>
      </c>
      <c r="K31" s="45"/>
      <c r="L31" s="45"/>
    </row>
    <row r="32" spans="1:12" ht="20" customHeight="1" x14ac:dyDescent="0.35">
      <c r="A32" s="24"/>
      <c r="B32" s="24" t="s">
        <v>82</v>
      </c>
      <c r="C32" s="42">
        <f>SUM(C5:C27)</f>
        <v>6360464</v>
      </c>
      <c r="D32" s="42">
        <f>SUM(D5:D27)</f>
        <v>1214697</v>
      </c>
      <c r="E32" s="42">
        <f>SUM(E5:E27)</f>
        <v>21511695</v>
      </c>
      <c r="F32" s="42"/>
      <c r="G32" s="25"/>
      <c r="H32" s="25"/>
      <c r="I32" s="43">
        <f>SUM(C32,D32,E32,)</f>
        <v>29086856</v>
      </c>
      <c r="J32" s="43"/>
      <c r="K32" s="26">
        <f>SUM(K5:K27)</f>
        <v>1.0000000000000002</v>
      </c>
      <c r="L32" s="26"/>
    </row>
    <row r="33" spans="1:12" ht="20" customHeight="1" x14ac:dyDescent="0.35">
      <c r="A33" s="44"/>
      <c r="B33" s="44" t="s">
        <v>83</v>
      </c>
      <c r="C33" s="45">
        <f>IFERROR(C32 / IntermediateCapTableTotalSharesOutstanding, 0)</f>
        <v>0.21867141639508925</v>
      </c>
      <c r="D33" s="45">
        <f>IFERROR(D32 / IntermediateCapTableTotalSharesOutstanding, 0)</f>
        <v>4.1761027730188506E-2</v>
      </c>
      <c r="E33" s="45">
        <f>IFERROR(E32 / IntermediateCapTableTotalSharesOutstanding, 0)</f>
        <v>0.73956755587472223</v>
      </c>
      <c r="F33" s="46"/>
      <c r="G33" s="49"/>
      <c r="H33" s="49"/>
      <c r="I33" s="48">
        <f>SUM(C33,D33,E33,)</f>
        <v>1</v>
      </c>
      <c r="J33" s="47"/>
      <c r="K33" s="45"/>
      <c r="L33" s="45"/>
    </row>
    <row r="34" spans="1:12" ht="20" customHeight="1" x14ac:dyDescent="0.35">
      <c r="A34" s="44"/>
      <c r="B34" s="44" t="s">
        <v>84</v>
      </c>
      <c r="C34" s="46"/>
      <c r="D34" s="46"/>
      <c r="E34" s="50">
        <v>1.5944799999999999</v>
      </c>
      <c r="F34" s="50">
        <v>1.5944799999999999</v>
      </c>
      <c r="G34" s="49"/>
      <c r="H34" s="49"/>
      <c r="I34" s="47"/>
      <c r="J34" s="47"/>
      <c r="K34" s="45"/>
      <c r="L34" s="45"/>
    </row>
  </sheetData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5" customWidth="1"/>
    <col min="2" max="2" width="45" customWidth="1"/>
    <col min="3" max="8" width="20" customWidth="1"/>
    <col min="9" max="10" width="30" customWidth="1"/>
    <col min="11" max="12" width="20" customWidth="1"/>
  </cols>
  <sheetData>
    <row r="1" spans="1:12" ht="20" customHeight="1" x14ac:dyDescent="0.4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0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93" x14ac:dyDescent="0.35">
      <c r="A4" s="4" t="s">
        <v>24</v>
      </c>
      <c r="B4" s="4" t="s">
        <v>25</v>
      </c>
      <c r="C4" s="28" t="s">
        <v>26</v>
      </c>
      <c r="D4" s="28" t="s">
        <v>27</v>
      </c>
      <c r="E4" s="28" t="s">
        <v>28</v>
      </c>
      <c r="F4" s="28" t="s">
        <v>29</v>
      </c>
      <c r="G4" s="5" t="s">
        <v>30</v>
      </c>
      <c r="H4" s="5" t="s">
        <v>31</v>
      </c>
      <c r="I4" s="29" t="s">
        <v>32</v>
      </c>
      <c r="J4" s="29" t="s">
        <v>4</v>
      </c>
      <c r="K4" s="6" t="s">
        <v>33</v>
      </c>
      <c r="L4" s="6" t="s">
        <v>5</v>
      </c>
    </row>
    <row r="5" spans="1:12" ht="20" customHeight="1" x14ac:dyDescent="0.35">
      <c r="A5" s="30" t="s">
        <v>86</v>
      </c>
      <c r="B5" s="30" t="s">
        <v>87</v>
      </c>
      <c r="C5" s="31">
        <v>45620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>
        <f t="shared" ref="I5:I36" si="0">SUM(C5,D5,E5,)</f>
        <v>45620</v>
      </c>
      <c r="J5" s="32">
        <f t="shared" ref="J5:J36" si="1">SUM(C5,D5,F5,G5,H5,)</f>
        <v>45620</v>
      </c>
      <c r="K5" s="33">
        <f t="shared" ref="K5:K36" si="2">IFERROR(I5 / DetailedCapTableTotalSharesOutstanding, 0)</f>
        <v>1.5684060181684813E-3</v>
      </c>
      <c r="L5" s="33">
        <f t="shared" ref="L5:L36" si="3">IFERROR(J5 / DetailedCapTableTotalFullyDilutedShares, 0)</f>
        <v>1.200138607853947E-3</v>
      </c>
    </row>
    <row r="6" spans="1:12" ht="20" customHeight="1" x14ac:dyDescent="0.35">
      <c r="A6" s="30" t="s">
        <v>34</v>
      </c>
      <c r="B6" s="30" t="s">
        <v>35</v>
      </c>
      <c r="C6" s="31">
        <v>0</v>
      </c>
      <c r="D6" s="31">
        <v>0</v>
      </c>
      <c r="E6" s="31">
        <v>1949880</v>
      </c>
      <c r="F6" s="31">
        <v>1949880</v>
      </c>
      <c r="G6" s="31">
        <v>0</v>
      </c>
      <c r="H6" s="31">
        <v>0</v>
      </c>
      <c r="I6" s="32">
        <f t="shared" si="0"/>
        <v>1949880</v>
      </c>
      <c r="J6" s="32">
        <f t="shared" si="1"/>
        <v>1949880</v>
      </c>
      <c r="K6" s="33">
        <f t="shared" si="2"/>
        <v>6.7036464855465994E-2</v>
      </c>
      <c r="L6" s="33">
        <f t="shared" si="3"/>
        <v>5.1296060251693427E-2</v>
      </c>
    </row>
    <row r="7" spans="1:12" ht="20" customHeight="1" x14ac:dyDescent="0.35">
      <c r="A7" s="30" t="s">
        <v>88</v>
      </c>
      <c r="B7" s="30" t="s">
        <v>89</v>
      </c>
      <c r="C7" s="31">
        <v>10684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2">
        <f t="shared" si="0"/>
        <v>10684</v>
      </c>
      <c r="J7" s="32">
        <f t="shared" si="1"/>
        <v>10684</v>
      </c>
      <c r="K7" s="33">
        <f t="shared" si="2"/>
        <v>3.6731367597790562E-4</v>
      </c>
      <c r="L7" s="33">
        <f t="shared" si="3"/>
        <v>2.8106709527206419E-4</v>
      </c>
    </row>
    <row r="8" spans="1:12" ht="20" customHeight="1" x14ac:dyDescent="0.35">
      <c r="A8" s="30" t="s">
        <v>90</v>
      </c>
      <c r="B8" s="30" t="s">
        <v>91</v>
      </c>
      <c r="C8" s="31">
        <v>0</v>
      </c>
      <c r="D8" s="31">
        <v>0</v>
      </c>
      <c r="E8" s="31">
        <v>0</v>
      </c>
      <c r="F8" s="31">
        <v>0</v>
      </c>
      <c r="G8" s="31">
        <v>5649</v>
      </c>
      <c r="H8" s="31">
        <v>0</v>
      </c>
      <c r="I8" s="32">
        <f t="shared" si="0"/>
        <v>0</v>
      </c>
      <c r="J8" s="32">
        <f t="shared" si="1"/>
        <v>5649</v>
      </c>
      <c r="K8" s="33">
        <f t="shared" si="2"/>
        <v>0</v>
      </c>
      <c r="L8" s="33">
        <f t="shared" si="3"/>
        <v>1.4860988592211631E-4</v>
      </c>
    </row>
    <row r="9" spans="1:12" ht="20" customHeight="1" x14ac:dyDescent="0.35">
      <c r="A9" s="30" t="s">
        <v>36</v>
      </c>
      <c r="B9" s="30" t="s">
        <v>37</v>
      </c>
      <c r="C9" s="31">
        <v>0</v>
      </c>
      <c r="D9" s="31">
        <v>0</v>
      </c>
      <c r="E9" s="31">
        <v>5881819</v>
      </c>
      <c r="F9" s="31">
        <v>5881819</v>
      </c>
      <c r="G9" s="31">
        <v>0</v>
      </c>
      <c r="H9" s="31">
        <v>0</v>
      </c>
      <c r="I9" s="32">
        <f t="shared" si="0"/>
        <v>5881819</v>
      </c>
      <c r="J9" s="32">
        <f t="shared" si="1"/>
        <v>5881819</v>
      </c>
      <c r="K9" s="33">
        <f t="shared" si="2"/>
        <v>0.20221570182765713</v>
      </c>
      <c r="L9" s="33">
        <f t="shared" si="3"/>
        <v>0.15473472306683242</v>
      </c>
    </row>
    <row r="10" spans="1:12" ht="20" customHeight="1" x14ac:dyDescent="0.35">
      <c r="A10" s="30" t="s">
        <v>38</v>
      </c>
      <c r="B10" s="30" t="s">
        <v>39</v>
      </c>
      <c r="C10" s="31">
        <v>0</v>
      </c>
      <c r="D10" s="31">
        <v>0</v>
      </c>
      <c r="E10" s="31">
        <v>635004</v>
      </c>
      <c r="F10" s="31">
        <v>635004</v>
      </c>
      <c r="G10" s="31">
        <v>0</v>
      </c>
      <c r="H10" s="31">
        <v>0</v>
      </c>
      <c r="I10" s="32">
        <f t="shared" si="0"/>
        <v>635004</v>
      </c>
      <c r="J10" s="32">
        <f t="shared" si="1"/>
        <v>635004</v>
      </c>
      <c r="K10" s="33">
        <f t="shared" si="2"/>
        <v>2.1831304146450205E-2</v>
      </c>
      <c r="L10" s="33">
        <f t="shared" si="3"/>
        <v>1.6705234908848919E-2</v>
      </c>
    </row>
    <row r="11" spans="1:12" ht="20" customHeight="1" x14ac:dyDescent="0.35">
      <c r="A11" s="30" t="s">
        <v>92</v>
      </c>
      <c r="B11" s="30" t="s">
        <v>93</v>
      </c>
      <c r="C11" s="31">
        <v>0</v>
      </c>
      <c r="D11" s="31">
        <v>0</v>
      </c>
      <c r="E11" s="31">
        <v>0</v>
      </c>
      <c r="F11" s="31">
        <v>0</v>
      </c>
      <c r="G11" s="31">
        <v>482117</v>
      </c>
      <c r="H11" s="31">
        <v>0</v>
      </c>
      <c r="I11" s="32">
        <f t="shared" si="0"/>
        <v>0</v>
      </c>
      <c r="J11" s="32">
        <f t="shared" si="1"/>
        <v>482117</v>
      </c>
      <c r="K11" s="33">
        <f t="shared" si="2"/>
        <v>0</v>
      </c>
      <c r="L11" s="33">
        <f t="shared" si="3"/>
        <v>1.2683192135088148E-2</v>
      </c>
    </row>
    <row r="12" spans="1:12" ht="20" customHeight="1" x14ac:dyDescent="0.35">
      <c r="A12" s="30" t="s">
        <v>94</v>
      </c>
      <c r="B12" s="30" t="s">
        <v>95</v>
      </c>
      <c r="C12" s="31">
        <v>0</v>
      </c>
      <c r="D12" s="31">
        <v>20000</v>
      </c>
      <c r="E12" s="31">
        <v>0</v>
      </c>
      <c r="F12" s="31">
        <v>0</v>
      </c>
      <c r="G12" s="31">
        <v>101053</v>
      </c>
      <c r="H12" s="31">
        <v>0</v>
      </c>
      <c r="I12" s="32">
        <f t="shared" si="0"/>
        <v>20000</v>
      </c>
      <c r="J12" s="32">
        <f t="shared" si="1"/>
        <v>121053</v>
      </c>
      <c r="K12" s="33">
        <f t="shared" si="2"/>
        <v>6.8759579928473534E-4</v>
      </c>
      <c r="L12" s="33">
        <f t="shared" si="3"/>
        <v>3.1845764773464234E-3</v>
      </c>
    </row>
    <row r="13" spans="1:12" ht="20" customHeight="1" x14ac:dyDescent="0.35">
      <c r="A13" s="30" t="s">
        <v>40</v>
      </c>
      <c r="B13" s="30" t="s">
        <v>41</v>
      </c>
      <c r="C13" s="31">
        <v>0</v>
      </c>
      <c r="D13" s="31">
        <v>0</v>
      </c>
      <c r="E13" s="31">
        <v>219507</v>
      </c>
      <c r="F13" s="31">
        <v>219507</v>
      </c>
      <c r="G13" s="31">
        <v>0</v>
      </c>
      <c r="H13" s="31">
        <v>0</v>
      </c>
      <c r="I13" s="32">
        <f t="shared" si="0"/>
        <v>219507</v>
      </c>
      <c r="J13" s="32">
        <f t="shared" si="1"/>
        <v>219507</v>
      </c>
      <c r="K13" s="33">
        <f t="shared" si="2"/>
        <v>7.5466045556797203E-3</v>
      </c>
      <c r="L13" s="33">
        <f t="shared" si="3"/>
        <v>5.7746344891318798E-3</v>
      </c>
    </row>
    <row r="14" spans="1:12" ht="20" customHeight="1" x14ac:dyDescent="0.35">
      <c r="A14" s="30" t="s">
        <v>42</v>
      </c>
      <c r="B14" s="30" t="s">
        <v>43</v>
      </c>
      <c r="C14" s="31">
        <v>0</v>
      </c>
      <c r="D14" s="31">
        <v>0</v>
      </c>
      <c r="E14" s="31">
        <v>94074</v>
      </c>
      <c r="F14" s="31">
        <v>94074</v>
      </c>
      <c r="G14" s="31">
        <v>0</v>
      </c>
      <c r="H14" s="31">
        <v>0</v>
      </c>
      <c r="I14" s="32">
        <f t="shared" si="0"/>
        <v>94074</v>
      </c>
      <c r="J14" s="32">
        <f t="shared" si="1"/>
        <v>94074</v>
      </c>
      <c r="K14" s="33">
        <f t="shared" si="2"/>
        <v>3.2342443610956098E-3</v>
      </c>
      <c r="L14" s="33">
        <f t="shared" si="3"/>
        <v>2.4748320779318764E-3</v>
      </c>
    </row>
    <row r="15" spans="1:12" ht="20" customHeight="1" x14ac:dyDescent="0.35">
      <c r="A15" s="30" t="s">
        <v>96</v>
      </c>
      <c r="B15" s="30" t="s">
        <v>97</v>
      </c>
      <c r="C15" s="31">
        <v>18248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2">
        <f t="shared" si="0"/>
        <v>18248</v>
      </c>
      <c r="J15" s="32">
        <f t="shared" si="1"/>
        <v>18248</v>
      </c>
      <c r="K15" s="33">
        <f t="shared" si="2"/>
        <v>6.2736240726739257E-4</v>
      </c>
      <c r="L15" s="33">
        <f t="shared" si="3"/>
        <v>4.8005544314157878E-4</v>
      </c>
    </row>
    <row r="16" spans="1:12" ht="20" customHeight="1" x14ac:dyDescent="0.35">
      <c r="A16" s="30" t="s">
        <v>98</v>
      </c>
      <c r="B16" s="30" t="s">
        <v>99</v>
      </c>
      <c r="C16" s="31">
        <v>18248</v>
      </c>
      <c r="D16" s="31">
        <v>5000</v>
      </c>
      <c r="E16" s="31">
        <v>0</v>
      </c>
      <c r="F16" s="31">
        <v>0</v>
      </c>
      <c r="G16" s="31">
        <v>0</v>
      </c>
      <c r="H16" s="31">
        <v>0</v>
      </c>
      <c r="I16" s="32">
        <f t="shared" si="0"/>
        <v>23248</v>
      </c>
      <c r="J16" s="32">
        <f t="shared" si="1"/>
        <v>23248</v>
      </c>
      <c r="K16" s="33">
        <f t="shared" si="2"/>
        <v>7.9926135708857638E-4</v>
      </c>
      <c r="L16" s="33">
        <f t="shared" si="3"/>
        <v>6.1159189731233141E-4</v>
      </c>
    </row>
    <row r="17" spans="1:12" ht="20" customHeight="1" x14ac:dyDescent="0.35">
      <c r="A17" s="30" t="s">
        <v>100</v>
      </c>
      <c r="B17" s="30" t="s">
        <v>101</v>
      </c>
      <c r="C17" s="31">
        <v>77933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2">
        <f t="shared" si="0"/>
        <v>77933</v>
      </c>
      <c r="J17" s="32">
        <f t="shared" si="1"/>
        <v>77933</v>
      </c>
      <c r="K17" s="33">
        <f t="shared" si="2"/>
        <v>2.679320171282864E-3</v>
      </c>
      <c r="L17" s="33">
        <f t="shared" si="3"/>
        <v>2.0502060965778531E-3</v>
      </c>
    </row>
    <row r="18" spans="1:12" ht="20" customHeight="1" x14ac:dyDescent="0.35">
      <c r="A18" s="30" t="s">
        <v>44</v>
      </c>
      <c r="B18" s="30" t="s">
        <v>45</v>
      </c>
      <c r="C18" s="31">
        <v>0</v>
      </c>
      <c r="D18" s="31">
        <v>0</v>
      </c>
      <c r="E18" s="31">
        <v>627163</v>
      </c>
      <c r="F18" s="31">
        <v>627163</v>
      </c>
      <c r="G18" s="31">
        <v>0</v>
      </c>
      <c r="H18" s="31">
        <v>0</v>
      </c>
      <c r="I18" s="32">
        <f t="shared" si="0"/>
        <v>627163</v>
      </c>
      <c r="J18" s="32">
        <f t="shared" si="1"/>
        <v>627163</v>
      </c>
      <c r="K18" s="33">
        <f t="shared" si="2"/>
        <v>2.1561732213340623E-2</v>
      </c>
      <c r="L18" s="33">
        <f t="shared" si="3"/>
        <v>1.6498959441418347E-2</v>
      </c>
    </row>
    <row r="19" spans="1:12" ht="20" customHeight="1" x14ac:dyDescent="0.35">
      <c r="A19" s="30" t="s">
        <v>46</v>
      </c>
      <c r="B19" s="30" t="s">
        <v>47</v>
      </c>
      <c r="C19" s="31">
        <v>0</v>
      </c>
      <c r="D19" s="31">
        <v>0</v>
      </c>
      <c r="E19" s="31">
        <v>2508654</v>
      </c>
      <c r="F19" s="31">
        <v>2508654</v>
      </c>
      <c r="G19" s="31">
        <v>0</v>
      </c>
      <c r="H19" s="31">
        <v>0</v>
      </c>
      <c r="I19" s="32">
        <f t="shared" si="0"/>
        <v>2508654</v>
      </c>
      <c r="J19" s="32">
        <f t="shared" si="1"/>
        <v>2508654</v>
      </c>
      <c r="K19" s="33">
        <f t="shared" si="2"/>
        <v>8.6246997612942425E-2</v>
      </c>
      <c r="L19" s="33">
        <f t="shared" si="3"/>
        <v>6.5995890380255051E-2</v>
      </c>
    </row>
    <row r="20" spans="1:12" ht="20" customHeight="1" x14ac:dyDescent="0.35">
      <c r="A20" s="30" t="s">
        <v>48</v>
      </c>
      <c r="B20" s="30" t="s">
        <v>49</v>
      </c>
      <c r="C20" s="31">
        <v>236872</v>
      </c>
      <c r="D20" s="31">
        <v>20000</v>
      </c>
      <c r="E20" s="31">
        <v>1254327</v>
      </c>
      <c r="F20" s="31">
        <v>1254327</v>
      </c>
      <c r="G20" s="31">
        <v>126114</v>
      </c>
      <c r="H20" s="31">
        <v>0</v>
      </c>
      <c r="I20" s="32">
        <f t="shared" si="0"/>
        <v>1511199</v>
      </c>
      <c r="J20" s="32">
        <f t="shared" si="1"/>
        <v>1637313</v>
      </c>
      <c r="K20" s="33">
        <f t="shared" si="2"/>
        <v>5.1954704214164642E-2</v>
      </c>
      <c r="L20" s="33">
        <f t="shared" si="3"/>
        <v>4.3073269277535499E-2</v>
      </c>
    </row>
    <row r="21" spans="1:12" ht="20" customHeight="1" x14ac:dyDescent="0.35">
      <c r="A21" s="30" t="s">
        <v>102</v>
      </c>
      <c r="B21" s="30" t="s">
        <v>103</v>
      </c>
      <c r="C21" s="31">
        <v>7956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2">
        <f t="shared" si="0"/>
        <v>7956</v>
      </c>
      <c r="J21" s="32">
        <f t="shared" si="1"/>
        <v>7956</v>
      </c>
      <c r="K21" s="33">
        <f t="shared" si="2"/>
        <v>2.735256089554677E-4</v>
      </c>
      <c r="L21" s="33">
        <f t="shared" si="3"/>
        <v>2.0930080587650159E-4</v>
      </c>
    </row>
    <row r="22" spans="1:12" ht="20" customHeight="1" x14ac:dyDescent="0.35">
      <c r="A22" s="30" t="s">
        <v>104</v>
      </c>
      <c r="B22" s="30" t="s">
        <v>105</v>
      </c>
      <c r="C22" s="31">
        <v>0</v>
      </c>
      <c r="D22" s="31">
        <v>85426</v>
      </c>
      <c r="E22" s="31">
        <v>0</v>
      </c>
      <c r="F22" s="31">
        <v>0</v>
      </c>
      <c r="G22" s="31">
        <v>0</v>
      </c>
      <c r="H22" s="31">
        <v>0</v>
      </c>
      <c r="I22" s="32">
        <f t="shared" si="0"/>
        <v>85426</v>
      </c>
      <c r="J22" s="32">
        <f t="shared" si="1"/>
        <v>85426</v>
      </c>
      <c r="K22" s="33">
        <f t="shared" si="2"/>
        <v>2.9369279374848903E-3</v>
      </c>
      <c r="L22" s="33">
        <f t="shared" si="3"/>
        <v>2.2473266267981429E-3</v>
      </c>
    </row>
    <row r="23" spans="1:12" ht="20" customHeight="1" x14ac:dyDescent="0.35">
      <c r="A23" s="30" t="s">
        <v>106</v>
      </c>
      <c r="B23" s="30" t="s">
        <v>107</v>
      </c>
      <c r="C23" s="31">
        <v>0</v>
      </c>
      <c r="D23" s="31">
        <v>25000</v>
      </c>
      <c r="E23" s="31">
        <v>0</v>
      </c>
      <c r="F23" s="31">
        <v>0</v>
      </c>
      <c r="G23" s="31">
        <v>0</v>
      </c>
      <c r="H23" s="31">
        <v>0</v>
      </c>
      <c r="I23" s="32">
        <f t="shared" si="0"/>
        <v>25000</v>
      </c>
      <c r="J23" s="32">
        <f t="shared" si="1"/>
        <v>25000</v>
      </c>
      <c r="K23" s="33">
        <f t="shared" si="2"/>
        <v>8.5949474910591915E-4</v>
      </c>
      <c r="L23" s="33">
        <f t="shared" si="3"/>
        <v>6.5768227085376317E-4</v>
      </c>
    </row>
    <row r="24" spans="1:12" ht="20" customHeight="1" x14ac:dyDescent="0.35">
      <c r="A24" s="30" t="s">
        <v>108</v>
      </c>
      <c r="B24" s="30" t="s">
        <v>109</v>
      </c>
      <c r="C24" s="31">
        <v>0</v>
      </c>
      <c r="D24" s="31">
        <v>0</v>
      </c>
      <c r="E24" s="31">
        <v>0</v>
      </c>
      <c r="F24" s="31">
        <v>0</v>
      </c>
      <c r="G24" s="31">
        <v>126114</v>
      </c>
      <c r="H24" s="31">
        <v>0</v>
      </c>
      <c r="I24" s="32">
        <f t="shared" si="0"/>
        <v>0</v>
      </c>
      <c r="J24" s="32">
        <f t="shared" si="1"/>
        <v>126114</v>
      </c>
      <c r="K24" s="33">
        <f t="shared" si="2"/>
        <v>0</v>
      </c>
      <c r="L24" s="33">
        <f t="shared" si="3"/>
        <v>3.3177176762580595E-3</v>
      </c>
    </row>
    <row r="25" spans="1:12" ht="20" customHeight="1" x14ac:dyDescent="0.35">
      <c r="A25" s="30" t="s">
        <v>110</v>
      </c>
      <c r="B25" s="30" t="s">
        <v>111</v>
      </c>
      <c r="C25" s="31">
        <v>0</v>
      </c>
      <c r="D25" s="31">
        <v>0</v>
      </c>
      <c r="E25" s="31">
        <v>0</v>
      </c>
      <c r="F25" s="31">
        <v>0</v>
      </c>
      <c r="G25" s="31">
        <v>152049</v>
      </c>
      <c r="H25" s="31">
        <v>0</v>
      </c>
      <c r="I25" s="32">
        <f t="shared" si="0"/>
        <v>0</v>
      </c>
      <c r="J25" s="32">
        <f t="shared" si="1"/>
        <v>152049</v>
      </c>
      <c r="K25" s="33">
        <f t="shared" si="2"/>
        <v>0</v>
      </c>
      <c r="L25" s="33">
        <f t="shared" si="3"/>
        <v>3.9999972640417537E-3</v>
      </c>
    </row>
    <row r="26" spans="1:12" ht="20" customHeight="1" x14ac:dyDescent="0.35">
      <c r="A26" s="30" t="s">
        <v>112</v>
      </c>
      <c r="B26" s="30" t="s">
        <v>113</v>
      </c>
      <c r="C26" s="31">
        <v>85469</v>
      </c>
      <c r="D26" s="31">
        <v>17830</v>
      </c>
      <c r="E26" s="31">
        <v>0</v>
      </c>
      <c r="F26" s="31">
        <v>0</v>
      </c>
      <c r="G26" s="31">
        <v>0</v>
      </c>
      <c r="H26" s="31">
        <v>0</v>
      </c>
      <c r="I26" s="32">
        <f t="shared" si="0"/>
        <v>103299</v>
      </c>
      <c r="J26" s="32">
        <f t="shared" si="1"/>
        <v>103299</v>
      </c>
      <c r="K26" s="33">
        <f t="shared" si="2"/>
        <v>3.551397923515694E-3</v>
      </c>
      <c r="L26" s="33">
        <f t="shared" si="3"/>
        <v>2.7175168358769151E-3</v>
      </c>
    </row>
    <row r="27" spans="1:12" ht="20" customHeight="1" x14ac:dyDescent="0.35">
      <c r="A27" s="30" t="s">
        <v>114</v>
      </c>
      <c r="B27" s="30" t="s">
        <v>115</v>
      </c>
      <c r="C27" s="31">
        <v>85470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2">
        <f t="shared" si="0"/>
        <v>85470</v>
      </c>
      <c r="J27" s="32">
        <f t="shared" si="1"/>
        <v>85470</v>
      </c>
      <c r="K27" s="33">
        <f t="shared" si="2"/>
        <v>2.9384406482433163E-3</v>
      </c>
      <c r="L27" s="33">
        <f t="shared" si="3"/>
        <v>2.2484841475948454E-3</v>
      </c>
    </row>
    <row r="28" spans="1:12" ht="20" customHeight="1" x14ac:dyDescent="0.35">
      <c r="A28" s="30" t="s">
        <v>50</v>
      </c>
      <c r="B28" s="30" t="s">
        <v>51</v>
      </c>
      <c r="C28" s="31">
        <v>0</v>
      </c>
      <c r="D28" s="31">
        <v>0</v>
      </c>
      <c r="E28" s="31">
        <v>156790</v>
      </c>
      <c r="F28" s="31">
        <v>156790</v>
      </c>
      <c r="G28" s="31">
        <v>0</v>
      </c>
      <c r="H28" s="31">
        <v>0</v>
      </c>
      <c r="I28" s="32">
        <f t="shared" si="0"/>
        <v>156790</v>
      </c>
      <c r="J28" s="32">
        <f t="shared" si="1"/>
        <v>156790</v>
      </c>
      <c r="K28" s="33">
        <f t="shared" si="2"/>
        <v>5.3904072684926828E-3</v>
      </c>
      <c r="L28" s="33">
        <f t="shared" si="3"/>
        <v>4.1247201298864611E-3</v>
      </c>
    </row>
    <row r="29" spans="1:12" ht="20" customHeight="1" x14ac:dyDescent="0.35">
      <c r="A29" s="30" t="s">
        <v>116</v>
      </c>
      <c r="B29" s="30" t="s">
        <v>117</v>
      </c>
      <c r="C29" s="31">
        <v>0</v>
      </c>
      <c r="D29" s="31">
        <v>15000</v>
      </c>
      <c r="E29" s="31">
        <v>0</v>
      </c>
      <c r="F29" s="31">
        <v>0</v>
      </c>
      <c r="G29" s="31">
        <v>0</v>
      </c>
      <c r="H29" s="31">
        <v>0</v>
      </c>
      <c r="I29" s="32">
        <f t="shared" si="0"/>
        <v>15000</v>
      </c>
      <c r="J29" s="32">
        <f t="shared" si="1"/>
        <v>15000</v>
      </c>
      <c r="K29" s="33">
        <f t="shared" si="2"/>
        <v>5.1569684946355153E-4</v>
      </c>
      <c r="L29" s="33">
        <f t="shared" si="3"/>
        <v>3.9460936251225787E-4</v>
      </c>
    </row>
    <row r="30" spans="1:12" ht="20" customHeight="1" x14ac:dyDescent="0.35">
      <c r="A30" s="30" t="s">
        <v>118</v>
      </c>
      <c r="B30" s="30" t="s">
        <v>119</v>
      </c>
      <c r="C30" s="31">
        <v>0</v>
      </c>
      <c r="D30" s="31">
        <v>40000</v>
      </c>
      <c r="E30" s="31">
        <v>0</v>
      </c>
      <c r="F30" s="31">
        <v>0</v>
      </c>
      <c r="G30" s="31">
        <v>1140368</v>
      </c>
      <c r="H30" s="31">
        <v>0</v>
      </c>
      <c r="I30" s="32">
        <f t="shared" si="0"/>
        <v>40000</v>
      </c>
      <c r="J30" s="32">
        <f t="shared" si="1"/>
        <v>1180368</v>
      </c>
      <c r="K30" s="33">
        <f t="shared" si="2"/>
        <v>1.3751915985694707E-3</v>
      </c>
      <c r="L30" s="33">
        <f t="shared" si="3"/>
        <v>3.1052284267324589E-2</v>
      </c>
    </row>
    <row r="31" spans="1:12" ht="20" customHeight="1" x14ac:dyDescent="0.35">
      <c r="A31" s="30" t="s">
        <v>120</v>
      </c>
      <c r="B31" s="30" t="s">
        <v>121</v>
      </c>
      <c r="C31" s="31">
        <v>0</v>
      </c>
      <c r="D31" s="31">
        <v>20000</v>
      </c>
      <c r="E31" s="31">
        <v>0</v>
      </c>
      <c r="F31" s="31">
        <v>0</v>
      </c>
      <c r="G31" s="31">
        <v>0</v>
      </c>
      <c r="H31" s="31">
        <v>0</v>
      </c>
      <c r="I31" s="32">
        <f t="shared" si="0"/>
        <v>20000</v>
      </c>
      <c r="J31" s="32">
        <f t="shared" si="1"/>
        <v>20000</v>
      </c>
      <c r="K31" s="33">
        <f t="shared" si="2"/>
        <v>6.8759579928473534E-4</v>
      </c>
      <c r="L31" s="33">
        <f t="shared" si="3"/>
        <v>5.261458166830105E-4</v>
      </c>
    </row>
    <row r="32" spans="1:12" ht="20" customHeight="1" x14ac:dyDescent="0.35">
      <c r="A32" s="30" t="s">
        <v>122</v>
      </c>
      <c r="B32" s="30" t="s">
        <v>123</v>
      </c>
      <c r="C32" s="31">
        <v>340431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2">
        <f t="shared" si="0"/>
        <v>340431</v>
      </c>
      <c r="J32" s="32">
        <f t="shared" si="1"/>
        <v>340431</v>
      </c>
      <c r="K32" s="33">
        <f t="shared" si="2"/>
        <v>1.1703946277315087E-2</v>
      </c>
      <c r="L32" s="33">
        <f t="shared" si="3"/>
        <v>8.9558173259606973E-3</v>
      </c>
    </row>
    <row r="33" spans="1:12" ht="20" customHeight="1" x14ac:dyDescent="0.35">
      <c r="A33" s="30" t="s">
        <v>124</v>
      </c>
      <c r="B33" s="30" t="s">
        <v>125</v>
      </c>
      <c r="C33" s="31">
        <v>54744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>
        <f t="shared" si="0"/>
        <v>54744</v>
      </c>
      <c r="J33" s="32">
        <f t="shared" si="1"/>
        <v>54744</v>
      </c>
      <c r="K33" s="33">
        <f t="shared" si="2"/>
        <v>1.8820872218021775E-3</v>
      </c>
      <c r="L33" s="33">
        <f t="shared" si="3"/>
        <v>1.4401663294247363E-3</v>
      </c>
    </row>
    <row r="34" spans="1:12" ht="20" customHeight="1" x14ac:dyDescent="0.35">
      <c r="A34" s="30" t="s">
        <v>126</v>
      </c>
      <c r="B34" s="30" t="s">
        <v>127</v>
      </c>
      <c r="C34" s="31">
        <v>145046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>
        <f t="shared" si="0"/>
        <v>145046</v>
      </c>
      <c r="J34" s="32">
        <f t="shared" si="1"/>
        <v>145046</v>
      </c>
      <c r="K34" s="33">
        <f t="shared" si="2"/>
        <v>4.9866510151526863E-3</v>
      </c>
      <c r="L34" s="33">
        <f t="shared" si="3"/>
        <v>3.8157673063301972E-3</v>
      </c>
    </row>
    <row r="35" spans="1:12" ht="20" customHeight="1" x14ac:dyDescent="0.35">
      <c r="A35" s="30" t="s">
        <v>128</v>
      </c>
      <c r="B35" s="30" t="s">
        <v>129</v>
      </c>
      <c r="C35" s="31">
        <v>0</v>
      </c>
      <c r="D35" s="31">
        <v>5000</v>
      </c>
      <c r="E35" s="31">
        <v>0</v>
      </c>
      <c r="F35" s="31">
        <v>0</v>
      </c>
      <c r="G35" s="31">
        <v>0</v>
      </c>
      <c r="H35" s="31">
        <v>0</v>
      </c>
      <c r="I35" s="32">
        <f t="shared" si="0"/>
        <v>5000</v>
      </c>
      <c r="J35" s="32">
        <f t="shared" si="1"/>
        <v>5000</v>
      </c>
      <c r="K35" s="33">
        <f t="shared" si="2"/>
        <v>1.7189894982118384E-4</v>
      </c>
      <c r="L35" s="33">
        <f t="shared" si="3"/>
        <v>1.3153645417075262E-4</v>
      </c>
    </row>
    <row r="36" spans="1:12" ht="20" customHeight="1" x14ac:dyDescent="0.35">
      <c r="A36" s="30" t="s">
        <v>130</v>
      </c>
      <c r="B36" s="30" t="s">
        <v>131</v>
      </c>
      <c r="C36" s="31">
        <v>0</v>
      </c>
      <c r="D36" s="31">
        <v>0</v>
      </c>
      <c r="E36" s="31">
        <v>0</v>
      </c>
      <c r="F36" s="31">
        <v>0</v>
      </c>
      <c r="G36" s="31">
        <v>62202</v>
      </c>
      <c r="H36" s="31">
        <v>0</v>
      </c>
      <c r="I36" s="32">
        <f t="shared" si="0"/>
        <v>0</v>
      </c>
      <c r="J36" s="32">
        <f t="shared" si="1"/>
        <v>62202</v>
      </c>
      <c r="K36" s="33">
        <f t="shared" si="2"/>
        <v>0</v>
      </c>
      <c r="L36" s="33">
        <f t="shared" si="3"/>
        <v>1.6363661044658309E-3</v>
      </c>
    </row>
    <row r="37" spans="1:12" ht="20" customHeight="1" x14ac:dyDescent="0.35">
      <c r="A37" s="30" t="s">
        <v>132</v>
      </c>
      <c r="B37" s="30" t="s">
        <v>133</v>
      </c>
      <c r="C37" s="31">
        <v>0</v>
      </c>
      <c r="D37" s="31">
        <v>80765</v>
      </c>
      <c r="E37" s="31">
        <v>0</v>
      </c>
      <c r="F37" s="31">
        <v>0</v>
      </c>
      <c r="G37" s="31">
        <v>0</v>
      </c>
      <c r="H37" s="31">
        <v>0</v>
      </c>
      <c r="I37" s="32">
        <f t="shared" ref="I37:I68" si="4">SUM(C37,D37,E37,)</f>
        <v>80765</v>
      </c>
      <c r="J37" s="32">
        <f t="shared" ref="J37:J68" si="5">SUM(C37,D37,F37,G37,H37,)</f>
        <v>80765</v>
      </c>
      <c r="K37" s="33">
        <f t="shared" ref="K37:K68" si="6">IFERROR(I37 / DetailedCapTableTotalSharesOutstanding, 0)</f>
        <v>2.7766837364615825E-3</v>
      </c>
      <c r="L37" s="33">
        <f t="shared" ref="L37:L68" si="7">IFERROR(J37 / DetailedCapTableTotalFullyDilutedShares, 0)</f>
        <v>2.124708344220167E-3</v>
      </c>
    </row>
    <row r="38" spans="1:12" ht="20" customHeight="1" x14ac:dyDescent="0.35">
      <c r="A38" s="30" t="s">
        <v>134</v>
      </c>
      <c r="B38" s="30" t="s">
        <v>135</v>
      </c>
      <c r="C38" s="31">
        <v>42735</v>
      </c>
      <c r="D38" s="31">
        <v>2000</v>
      </c>
      <c r="E38" s="31">
        <v>0</v>
      </c>
      <c r="F38" s="31">
        <v>0</v>
      </c>
      <c r="G38" s="31">
        <v>0</v>
      </c>
      <c r="H38" s="31">
        <v>0</v>
      </c>
      <c r="I38" s="32">
        <f t="shared" si="4"/>
        <v>44735</v>
      </c>
      <c r="J38" s="32">
        <f t="shared" si="5"/>
        <v>44735</v>
      </c>
      <c r="K38" s="33">
        <f t="shared" si="6"/>
        <v>1.5379799040501317E-3</v>
      </c>
      <c r="L38" s="33">
        <f t="shared" si="7"/>
        <v>1.1768566554657238E-3</v>
      </c>
    </row>
    <row r="39" spans="1:12" ht="20" customHeight="1" x14ac:dyDescent="0.35">
      <c r="A39" s="30" t="s">
        <v>136</v>
      </c>
      <c r="B39" s="30" t="s">
        <v>137</v>
      </c>
      <c r="C39" s="31">
        <v>0</v>
      </c>
      <c r="D39" s="31">
        <v>0</v>
      </c>
      <c r="E39" s="31">
        <v>0</v>
      </c>
      <c r="F39" s="31">
        <v>0</v>
      </c>
      <c r="G39" s="31">
        <v>882800</v>
      </c>
      <c r="H39" s="31">
        <v>0</v>
      </c>
      <c r="I39" s="32">
        <f t="shared" si="4"/>
        <v>0</v>
      </c>
      <c r="J39" s="32">
        <f t="shared" si="5"/>
        <v>882800</v>
      </c>
      <c r="K39" s="33">
        <f t="shared" si="6"/>
        <v>0</v>
      </c>
      <c r="L39" s="33">
        <f t="shared" si="7"/>
        <v>2.3224076348388085E-2</v>
      </c>
    </row>
    <row r="40" spans="1:12" ht="20" customHeight="1" x14ac:dyDescent="0.35">
      <c r="A40" s="30" t="s">
        <v>138</v>
      </c>
      <c r="B40" s="30" t="s">
        <v>139</v>
      </c>
      <c r="C40" s="31">
        <v>0</v>
      </c>
      <c r="D40" s="31">
        <v>0</v>
      </c>
      <c r="E40" s="31">
        <v>0</v>
      </c>
      <c r="F40" s="31">
        <v>0</v>
      </c>
      <c r="G40" s="31">
        <v>152049</v>
      </c>
      <c r="H40" s="31">
        <v>0</v>
      </c>
      <c r="I40" s="32">
        <f t="shared" si="4"/>
        <v>0</v>
      </c>
      <c r="J40" s="32">
        <f t="shared" si="5"/>
        <v>152049</v>
      </c>
      <c r="K40" s="33">
        <f t="shared" si="6"/>
        <v>0</v>
      </c>
      <c r="L40" s="33">
        <f t="shared" si="7"/>
        <v>3.9999972640417537E-3</v>
      </c>
    </row>
    <row r="41" spans="1:12" ht="20" customHeight="1" x14ac:dyDescent="0.35">
      <c r="A41" s="30" t="s">
        <v>140</v>
      </c>
      <c r="B41" s="30" t="s">
        <v>141</v>
      </c>
      <c r="C41" s="31">
        <v>0</v>
      </c>
      <c r="D41" s="31">
        <v>100000</v>
      </c>
      <c r="E41" s="31">
        <v>0</v>
      </c>
      <c r="F41" s="31">
        <v>0</v>
      </c>
      <c r="G41" s="31">
        <v>126114</v>
      </c>
      <c r="H41" s="31">
        <v>0</v>
      </c>
      <c r="I41" s="32">
        <f t="shared" si="4"/>
        <v>100000</v>
      </c>
      <c r="J41" s="32">
        <f t="shared" si="5"/>
        <v>226114</v>
      </c>
      <c r="K41" s="33">
        <f t="shared" si="6"/>
        <v>3.4379789964236766E-3</v>
      </c>
      <c r="L41" s="33">
        <f t="shared" si="7"/>
        <v>5.9484467596731122E-3</v>
      </c>
    </row>
    <row r="42" spans="1:12" ht="20" customHeight="1" x14ac:dyDescent="0.35">
      <c r="A42" s="30" t="s">
        <v>52</v>
      </c>
      <c r="B42" s="30" t="s">
        <v>53</v>
      </c>
      <c r="C42" s="31">
        <v>36496</v>
      </c>
      <c r="D42" s="31">
        <v>0</v>
      </c>
      <c r="E42" s="31">
        <v>376297</v>
      </c>
      <c r="F42" s="31">
        <v>376297</v>
      </c>
      <c r="G42" s="31">
        <v>0</v>
      </c>
      <c r="H42" s="31">
        <v>0</v>
      </c>
      <c r="I42" s="32">
        <f t="shared" si="4"/>
        <v>412793</v>
      </c>
      <c r="J42" s="32">
        <f t="shared" si="5"/>
        <v>412793</v>
      </c>
      <c r="K42" s="33">
        <f t="shared" si="6"/>
        <v>1.4191736638707188E-2</v>
      </c>
      <c r="L42" s="33">
        <f t="shared" si="7"/>
        <v>1.0859465505301497E-2</v>
      </c>
    </row>
    <row r="43" spans="1:12" ht="20" customHeight="1" x14ac:dyDescent="0.35">
      <c r="A43" s="30" t="s">
        <v>142</v>
      </c>
      <c r="B43" s="30" t="s">
        <v>143</v>
      </c>
      <c r="C43" s="31">
        <v>602473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>
        <f t="shared" si="4"/>
        <v>602473</v>
      </c>
      <c r="J43" s="32">
        <f t="shared" si="5"/>
        <v>602473</v>
      </c>
      <c r="K43" s="33">
        <f t="shared" si="6"/>
        <v>2.0712895199123619E-2</v>
      </c>
      <c r="L43" s="33">
        <f t="shared" si="7"/>
        <v>1.5849432430723169E-2</v>
      </c>
    </row>
    <row r="44" spans="1:12" ht="20" customHeight="1" x14ac:dyDescent="0.35">
      <c r="A44" s="30" t="s">
        <v>144</v>
      </c>
      <c r="B44" s="30" t="s">
        <v>145</v>
      </c>
      <c r="C44" s="31">
        <v>0</v>
      </c>
      <c r="D44" s="31">
        <v>2500</v>
      </c>
      <c r="E44" s="31">
        <v>0</v>
      </c>
      <c r="F44" s="31">
        <v>0</v>
      </c>
      <c r="G44" s="31">
        <v>0</v>
      </c>
      <c r="H44" s="31">
        <v>0</v>
      </c>
      <c r="I44" s="32">
        <f t="shared" si="4"/>
        <v>2500</v>
      </c>
      <c r="J44" s="32">
        <f t="shared" si="5"/>
        <v>2500</v>
      </c>
      <c r="K44" s="33">
        <f t="shared" si="6"/>
        <v>8.5949474910591918E-5</v>
      </c>
      <c r="L44" s="33">
        <f t="shared" si="7"/>
        <v>6.5768227085376312E-5</v>
      </c>
    </row>
    <row r="45" spans="1:12" ht="20" customHeight="1" x14ac:dyDescent="0.35">
      <c r="A45" s="30" t="s">
        <v>146</v>
      </c>
      <c r="B45" s="30" t="s">
        <v>147</v>
      </c>
      <c r="C45" s="31">
        <v>0</v>
      </c>
      <c r="D45" s="31">
        <v>20000</v>
      </c>
      <c r="E45" s="31">
        <v>0</v>
      </c>
      <c r="F45" s="31">
        <v>0</v>
      </c>
      <c r="G45" s="31">
        <v>0</v>
      </c>
      <c r="H45" s="31">
        <v>0</v>
      </c>
      <c r="I45" s="32">
        <f t="shared" si="4"/>
        <v>20000</v>
      </c>
      <c r="J45" s="32">
        <f t="shared" si="5"/>
        <v>20000</v>
      </c>
      <c r="K45" s="33">
        <f t="shared" si="6"/>
        <v>6.8759579928473534E-4</v>
      </c>
      <c r="L45" s="33">
        <f t="shared" si="7"/>
        <v>5.261458166830105E-4</v>
      </c>
    </row>
    <row r="46" spans="1:12" ht="20" customHeight="1" x14ac:dyDescent="0.35">
      <c r="A46" s="30" t="s">
        <v>148</v>
      </c>
      <c r="B46" s="30" t="s">
        <v>149</v>
      </c>
      <c r="C46" s="31">
        <v>0</v>
      </c>
      <c r="D46" s="31">
        <v>0</v>
      </c>
      <c r="E46" s="31">
        <v>0</v>
      </c>
      <c r="F46" s="31">
        <v>0</v>
      </c>
      <c r="G46" s="31">
        <v>10000</v>
      </c>
      <c r="H46" s="31">
        <v>0</v>
      </c>
      <c r="I46" s="32">
        <f t="shared" si="4"/>
        <v>0</v>
      </c>
      <c r="J46" s="32">
        <f t="shared" si="5"/>
        <v>10000</v>
      </c>
      <c r="K46" s="33">
        <f t="shared" si="6"/>
        <v>0</v>
      </c>
      <c r="L46" s="33">
        <f t="shared" si="7"/>
        <v>2.6307290834150525E-4</v>
      </c>
    </row>
    <row r="47" spans="1:12" ht="20" customHeight="1" x14ac:dyDescent="0.35">
      <c r="A47" s="30" t="s">
        <v>150</v>
      </c>
      <c r="B47" s="30" t="s">
        <v>151</v>
      </c>
      <c r="C47" s="31">
        <v>0</v>
      </c>
      <c r="D47" s="31">
        <v>0</v>
      </c>
      <c r="E47" s="31">
        <v>0</v>
      </c>
      <c r="F47" s="31">
        <v>0</v>
      </c>
      <c r="G47" s="31">
        <v>784634</v>
      </c>
      <c r="H47" s="31">
        <v>0</v>
      </c>
      <c r="I47" s="32">
        <f t="shared" si="4"/>
        <v>0</v>
      </c>
      <c r="J47" s="32">
        <f t="shared" si="5"/>
        <v>784634</v>
      </c>
      <c r="K47" s="33">
        <f t="shared" si="6"/>
        <v>0</v>
      </c>
      <c r="L47" s="33">
        <f t="shared" si="7"/>
        <v>2.0641594836362864E-2</v>
      </c>
    </row>
    <row r="48" spans="1:12" ht="20" customHeight="1" x14ac:dyDescent="0.35">
      <c r="A48" s="30" t="s">
        <v>152</v>
      </c>
      <c r="B48" s="30" t="s">
        <v>153</v>
      </c>
      <c r="C48" s="31">
        <v>0</v>
      </c>
      <c r="D48" s="31">
        <v>0</v>
      </c>
      <c r="E48" s="31">
        <v>0</v>
      </c>
      <c r="F48" s="31">
        <v>0</v>
      </c>
      <c r="G48" s="31">
        <v>10000</v>
      </c>
      <c r="H48" s="31">
        <v>0</v>
      </c>
      <c r="I48" s="32">
        <f t="shared" si="4"/>
        <v>0</v>
      </c>
      <c r="J48" s="32">
        <f t="shared" si="5"/>
        <v>10000</v>
      </c>
      <c r="K48" s="33">
        <f t="shared" si="6"/>
        <v>0</v>
      </c>
      <c r="L48" s="33">
        <f t="shared" si="7"/>
        <v>2.6307290834150525E-4</v>
      </c>
    </row>
    <row r="49" spans="1:12" ht="20" customHeight="1" x14ac:dyDescent="0.35">
      <c r="A49" s="30" t="s">
        <v>154</v>
      </c>
      <c r="B49" s="30" t="s">
        <v>155</v>
      </c>
      <c r="C49" s="31">
        <v>0</v>
      </c>
      <c r="D49" s="31">
        <v>0</v>
      </c>
      <c r="E49" s="31">
        <v>0</v>
      </c>
      <c r="F49" s="31">
        <v>0</v>
      </c>
      <c r="G49" s="31">
        <v>570184</v>
      </c>
      <c r="H49" s="31">
        <v>0</v>
      </c>
      <c r="I49" s="32">
        <f t="shared" si="4"/>
        <v>0</v>
      </c>
      <c r="J49" s="32">
        <f t="shared" si="5"/>
        <v>570184</v>
      </c>
      <c r="K49" s="33">
        <f t="shared" si="6"/>
        <v>0</v>
      </c>
      <c r="L49" s="33">
        <f t="shared" si="7"/>
        <v>1.4999996316979283E-2</v>
      </c>
    </row>
    <row r="50" spans="1:12" ht="20" customHeight="1" x14ac:dyDescent="0.35">
      <c r="A50" s="30" t="s">
        <v>156</v>
      </c>
      <c r="B50" s="30" t="s">
        <v>157</v>
      </c>
      <c r="C50" s="31">
        <v>0</v>
      </c>
      <c r="D50" s="31">
        <v>0</v>
      </c>
      <c r="E50" s="31">
        <v>0</v>
      </c>
      <c r="F50" s="31">
        <v>0</v>
      </c>
      <c r="G50" s="31">
        <v>152049</v>
      </c>
      <c r="H50" s="31">
        <v>0</v>
      </c>
      <c r="I50" s="32">
        <f t="shared" si="4"/>
        <v>0</v>
      </c>
      <c r="J50" s="32">
        <f t="shared" si="5"/>
        <v>152049</v>
      </c>
      <c r="K50" s="33">
        <f t="shared" si="6"/>
        <v>0</v>
      </c>
      <c r="L50" s="33">
        <f t="shared" si="7"/>
        <v>3.9999972640417537E-3</v>
      </c>
    </row>
    <row r="51" spans="1:12" ht="20" customHeight="1" x14ac:dyDescent="0.35">
      <c r="A51" s="30" t="s">
        <v>54</v>
      </c>
      <c r="B51" s="30" t="s">
        <v>55</v>
      </c>
      <c r="C51" s="31">
        <v>0</v>
      </c>
      <c r="D51" s="31">
        <v>0</v>
      </c>
      <c r="E51" s="31">
        <v>156790</v>
      </c>
      <c r="F51" s="31">
        <v>156790</v>
      </c>
      <c r="G51" s="31">
        <v>126114</v>
      </c>
      <c r="H51" s="31">
        <v>0</v>
      </c>
      <c r="I51" s="32">
        <f t="shared" si="4"/>
        <v>156790</v>
      </c>
      <c r="J51" s="32">
        <f t="shared" si="5"/>
        <v>282904</v>
      </c>
      <c r="K51" s="33">
        <f t="shared" si="6"/>
        <v>5.3904072684926828E-3</v>
      </c>
      <c r="L51" s="33">
        <f t="shared" si="7"/>
        <v>7.4424378061445206E-3</v>
      </c>
    </row>
    <row r="52" spans="1:12" ht="20" customHeight="1" x14ac:dyDescent="0.35">
      <c r="A52" s="30" t="s">
        <v>158</v>
      </c>
      <c r="B52" s="30" t="s">
        <v>159</v>
      </c>
      <c r="C52" s="31">
        <v>0</v>
      </c>
      <c r="D52" s="31">
        <v>15000</v>
      </c>
      <c r="E52" s="31">
        <v>0</v>
      </c>
      <c r="F52" s="31">
        <v>0</v>
      </c>
      <c r="G52" s="31">
        <v>31101</v>
      </c>
      <c r="H52" s="31">
        <v>0</v>
      </c>
      <c r="I52" s="32">
        <f t="shared" si="4"/>
        <v>15000</v>
      </c>
      <c r="J52" s="32">
        <f t="shared" si="5"/>
        <v>46101</v>
      </c>
      <c r="K52" s="33">
        <f t="shared" si="6"/>
        <v>5.1569684946355153E-4</v>
      </c>
      <c r="L52" s="33">
        <f t="shared" si="7"/>
        <v>1.2127924147451734E-3</v>
      </c>
    </row>
    <row r="53" spans="1:12" ht="20" customHeight="1" x14ac:dyDescent="0.35">
      <c r="A53" s="30" t="s">
        <v>160</v>
      </c>
      <c r="B53" s="30" t="s">
        <v>159</v>
      </c>
      <c r="C53" s="31">
        <v>0</v>
      </c>
      <c r="D53" s="31">
        <v>0</v>
      </c>
      <c r="E53" s="31">
        <v>0</v>
      </c>
      <c r="F53" s="31">
        <v>0</v>
      </c>
      <c r="G53" s="31">
        <v>6911</v>
      </c>
      <c r="H53" s="31">
        <v>0</v>
      </c>
      <c r="I53" s="32">
        <f t="shared" si="4"/>
        <v>0</v>
      </c>
      <c r="J53" s="32">
        <f t="shared" si="5"/>
        <v>6911</v>
      </c>
      <c r="K53" s="33">
        <f t="shared" si="6"/>
        <v>0</v>
      </c>
      <c r="L53" s="33">
        <f t="shared" si="7"/>
        <v>1.8180968695481427E-4</v>
      </c>
    </row>
    <row r="54" spans="1:12" ht="20" customHeight="1" x14ac:dyDescent="0.35">
      <c r="A54" s="30" t="s">
        <v>161</v>
      </c>
      <c r="B54" s="30" t="s">
        <v>162</v>
      </c>
      <c r="C54" s="31">
        <v>419024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2">
        <f t="shared" si="4"/>
        <v>419024</v>
      </c>
      <c r="J54" s="32">
        <f t="shared" si="5"/>
        <v>419024</v>
      </c>
      <c r="K54" s="33">
        <f t="shared" si="6"/>
        <v>1.4405957109974348E-2</v>
      </c>
      <c r="L54" s="33">
        <f t="shared" si="7"/>
        <v>1.1023386234489089E-2</v>
      </c>
    </row>
    <row r="55" spans="1:12" ht="20" customHeight="1" x14ac:dyDescent="0.35">
      <c r="A55" s="30" t="s">
        <v>163</v>
      </c>
      <c r="B55" s="30" t="s">
        <v>164</v>
      </c>
      <c r="C55" s="31">
        <v>21368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2">
        <f t="shared" si="4"/>
        <v>21368</v>
      </c>
      <c r="J55" s="32">
        <f t="shared" si="5"/>
        <v>21368</v>
      </c>
      <c r="K55" s="33">
        <f t="shared" si="6"/>
        <v>7.3462735195581124E-4</v>
      </c>
      <c r="L55" s="33">
        <f t="shared" si="7"/>
        <v>5.6213419054412838E-4</v>
      </c>
    </row>
    <row r="56" spans="1:12" ht="20" customHeight="1" x14ac:dyDescent="0.35">
      <c r="A56" s="30" t="s">
        <v>165</v>
      </c>
      <c r="B56" s="30" t="s">
        <v>166</v>
      </c>
      <c r="C56" s="31">
        <v>9124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>
        <f t="shared" si="4"/>
        <v>9124</v>
      </c>
      <c r="J56" s="32">
        <f t="shared" si="5"/>
        <v>9124</v>
      </c>
      <c r="K56" s="33">
        <f t="shared" si="6"/>
        <v>3.1368120363369628E-4</v>
      </c>
      <c r="L56" s="33">
        <f t="shared" si="7"/>
        <v>2.4002772157078939E-4</v>
      </c>
    </row>
    <row r="57" spans="1:12" ht="20" customHeight="1" x14ac:dyDescent="0.35">
      <c r="A57" s="30" t="s">
        <v>167</v>
      </c>
      <c r="B57" s="30" t="s">
        <v>168</v>
      </c>
      <c r="C57" s="31">
        <v>0</v>
      </c>
      <c r="D57" s="31">
        <v>76000</v>
      </c>
      <c r="E57" s="31">
        <v>0</v>
      </c>
      <c r="F57" s="31">
        <v>0</v>
      </c>
      <c r="G57" s="31">
        <v>0</v>
      </c>
      <c r="H57" s="31">
        <v>0</v>
      </c>
      <c r="I57" s="32">
        <f t="shared" si="4"/>
        <v>76000</v>
      </c>
      <c r="J57" s="32">
        <f t="shared" si="5"/>
        <v>76000</v>
      </c>
      <c r="K57" s="33">
        <f t="shared" si="6"/>
        <v>2.6128640372819942E-3</v>
      </c>
      <c r="L57" s="33">
        <f t="shared" si="7"/>
        <v>1.9993541033954398E-3</v>
      </c>
    </row>
    <row r="58" spans="1:12" ht="20" customHeight="1" x14ac:dyDescent="0.35">
      <c r="A58" s="30" t="s">
        <v>169</v>
      </c>
      <c r="B58" s="30" t="s">
        <v>170</v>
      </c>
      <c r="C58" s="31">
        <v>18248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2">
        <f t="shared" si="4"/>
        <v>18248</v>
      </c>
      <c r="J58" s="32">
        <f t="shared" si="5"/>
        <v>18248</v>
      </c>
      <c r="K58" s="33">
        <f t="shared" si="6"/>
        <v>6.2736240726739257E-4</v>
      </c>
      <c r="L58" s="33">
        <f t="shared" si="7"/>
        <v>4.8005544314157878E-4</v>
      </c>
    </row>
    <row r="59" spans="1:12" ht="20" customHeight="1" x14ac:dyDescent="0.35">
      <c r="A59" s="30" t="s">
        <v>56</v>
      </c>
      <c r="B59" s="30" t="s">
        <v>57</v>
      </c>
      <c r="C59" s="31">
        <v>0</v>
      </c>
      <c r="D59" s="31">
        <v>0</v>
      </c>
      <c r="E59" s="31">
        <v>188149</v>
      </c>
      <c r="F59" s="31">
        <v>188149</v>
      </c>
      <c r="G59" s="31">
        <v>0</v>
      </c>
      <c r="H59" s="31">
        <v>0</v>
      </c>
      <c r="I59" s="32">
        <f t="shared" si="4"/>
        <v>188149</v>
      </c>
      <c r="J59" s="32">
        <f t="shared" si="5"/>
        <v>188149</v>
      </c>
      <c r="K59" s="33">
        <f t="shared" si="6"/>
        <v>6.4685231019811834E-3</v>
      </c>
      <c r="L59" s="33">
        <f t="shared" si="7"/>
        <v>4.9496904631545872E-3</v>
      </c>
    </row>
    <row r="60" spans="1:12" ht="20" customHeight="1" x14ac:dyDescent="0.35">
      <c r="A60" s="30" t="s">
        <v>58</v>
      </c>
      <c r="B60" s="30" t="s">
        <v>59</v>
      </c>
      <c r="C60" s="31">
        <v>0</v>
      </c>
      <c r="D60" s="31">
        <v>0</v>
      </c>
      <c r="E60" s="31">
        <v>627163</v>
      </c>
      <c r="F60" s="31">
        <v>627163</v>
      </c>
      <c r="G60" s="31">
        <v>0</v>
      </c>
      <c r="H60" s="31">
        <v>0</v>
      </c>
      <c r="I60" s="32">
        <f t="shared" si="4"/>
        <v>627163</v>
      </c>
      <c r="J60" s="32">
        <f t="shared" si="5"/>
        <v>627163</v>
      </c>
      <c r="K60" s="33">
        <f t="shared" si="6"/>
        <v>2.1561732213340623E-2</v>
      </c>
      <c r="L60" s="33">
        <f t="shared" si="7"/>
        <v>1.6498959441418347E-2</v>
      </c>
    </row>
    <row r="61" spans="1:12" ht="20" customHeight="1" x14ac:dyDescent="0.35">
      <c r="A61" s="30" t="s">
        <v>171</v>
      </c>
      <c r="B61" s="30" t="s">
        <v>172</v>
      </c>
      <c r="C61" s="31">
        <v>0</v>
      </c>
      <c r="D61" s="31">
        <v>0</v>
      </c>
      <c r="E61" s="31">
        <v>0</v>
      </c>
      <c r="F61" s="31">
        <v>0</v>
      </c>
      <c r="G61" s="31">
        <v>122049</v>
      </c>
      <c r="H61" s="31">
        <v>0</v>
      </c>
      <c r="I61" s="32">
        <f t="shared" si="4"/>
        <v>0</v>
      </c>
      <c r="J61" s="32">
        <f t="shared" si="5"/>
        <v>122049</v>
      </c>
      <c r="K61" s="33">
        <f t="shared" si="6"/>
        <v>0</v>
      </c>
      <c r="L61" s="33">
        <f t="shared" si="7"/>
        <v>3.2107785390172376E-3</v>
      </c>
    </row>
    <row r="62" spans="1:12" ht="20" customHeight="1" x14ac:dyDescent="0.35">
      <c r="A62" s="30" t="s">
        <v>173</v>
      </c>
      <c r="B62" s="30" t="s">
        <v>174</v>
      </c>
      <c r="C62" s="31">
        <v>0</v>
      </c>
      <c r="D62" s="31">
        <v>20000</v>
      </c>
      <c r="E62" s="31">
        <v>0</v>
      </c>
      <c r="F62" s="31">
        <v>0</v>
      </c>
      <c r="G62" s="31">
        <v>0</v>
      </c>
      <c r="H62" s="31">
        <v>0</v>
      </c>
      <c r="I62" s="32">
        <f t="shared" si="4"/>
        <v>20000</v>
      </c>
      <c r="J62" s="32">
        <f t="shared" si="5"/>
        <v>20000</v>
      </c>
      <c r="K62" s="33">
        <f t="shared" si="6"/>
        <v>6.8759579928473534E-4</v>
      </c>
      <c r="L62" s="33">
        <f t="shared" si="7"/>
        <v>5.261458166830105E-4</v>
      </c>
    </row>
    <row r="63" spans="1:12" ht="20" customHeight="1" x14ac:dyDescent="0.35">
      <c r="A63" s="30" t="s">
        <v>60</v>
      </c>
      <c r="B63" s="30" t="s">
        <v>61</v>
      </c>
      <c r="C63" s="31">
        <v>2522810</v>
      </c>
      <c r="D63" s="31">
        <v>7941</v>
      </c>
      <c r="E63" s="31">
        <v>125432</v>
      </c>
      <c r="F63" s="31">
        <v>125432</v>
      </c>
      <c r="G63" s="31">
        <v>0</v>
      </c>
      <c r="H63" s="31">
        <v>0</v>
      </c>
      <c r="I63" s="32">
        <f t="shared" si="4"/>
        <v>2656183</v>
      </c>
      <c r="J63" s="32">
        <f t="shared" si="5"/>
        <v>2656183</v>
      </c>
      <c r="K63" s="33">
        <f t="shared" si="6"/>
        <v>9.1319013646576311E-2</v>
      </c>
      <c r="L63" s="33">
        <f t="shared" si="7"/>
        <v>6.9876978689726449E-2</v>
      </c>
    </row>
    <row r="64" spans="1:12" ht="20" customHeight="1" x14ac:dyDescent="0.35">
      <c r="A64" s="30" t="s">
        <v>175</v>
      </c>
      <c r="B64" s="30" t="s">
        <v>176</v>
      </c>
      <c r="C64" s="31">
        <v>129543</v>
      </c>
      <c r="D64" s="31">
        <v>30000</v>
      </c>
      <c r="E64" s="31">
        <v>0</v>
      </c>
      <c r="F64" s="31">
        <v>0</v>
      </c>
      <c r="G64" s="31">
        <v>0</v>
      </c>
      <c r="H64" s="31">
        <v>0</v>
      </c>
      <c r="I64" s="32">
        <f t="shared" si="4"/>
        <v>159543</v>
      </c>
      <c r="J64" s="32">
        <f t="shared" si="5"/>
        <v>159543</v>
      </c>
      <c r="K64" s="33">
        <f t="shared" si="6"/>
        <v>5.4850548302642268E-3</v>
      </c>
      <c r="L64" s="33">
        <f t="shared" si="7"/>
        <v>4.1971441015528771E-3</v>
      </c>
    </row>
    <row r="65" spans="1:12" ht="20" customHeight="1" x14ac:dyDescent="0.35">
      <c r="A65" s="30" t="s">
        <v>177</v>
      </c>
      <c r="B65" s="30" t="s">
        <v>178</v>
      </c>
      <c r="C65" s="31">
        <v>0</v>
      </c>
      <c r="D65" s="31">
        <v>20000</v>
      </c>
      <c r="E65" s="31">
        <v>0</v>
      </c>
      <c r="F65" s="31">
        <v>0</v>
      </c>
      <c r="G65" s="31">
        <v>0</v>
      </c>
      <c r="H65" s="31">
        <v>0</v>
      </c>
      <c r="I65" s="32">
        <f t="shared" si="4"/>
        <v>20000</v>
      </c>
      <c r="J65" s="32">
        <f t="shared" si="5"/>
        <v>20000</v>
      </c>
      <c r="K65" s="33">
        <f t="shared" si="6"/>
        <v>6.8759579928473534E-4</v>
      </c>
      <c r="L65" s="33">
        <f t="shared" si="7"/>
        <v>5.261458166830105E-4</v>
      </c>
    </row>
    <row r="66" spans="1:12" ht="20" customHeight="1" x14ac:dyDescent="0.35">
      <c r="A66" s="30" t="s">
        <v>179</v>
      </c>
      <c r="B66" s="30" t="s">
        <v>180</v>
      </c>
      <c r="C66" s="31">
        <v>91241</v>
      </c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>
        <f t="shared" si="4"/>
        <v>91241</v>
      </c>
      <c r="J66" s="32">
        <f t="shared" si="5"/>
        <v>91241</v>
      </c>
      <c r="K66" s="33">
        <f t="shared" si="6"/>
        <v>3.1368464161269267E-3</v>
      </c>
      <c r="L66" s="33">
        <f t="shared" si="7"/>
        <v>2.400303522998728E-3</v>
      </c>
    </row>
    <row r="67" spans="1:12" ht="20" customHeight="1" x14ac:dyDescent="0.35">
      <c r="A67" s="30" t="s">
        <v>181</v>
      </c>
      <c r="B67" s="30" t="s">
        <v>182</v>
      </c>
      <c r="C67" s="31">
        <v>91241</v>
      </c>
      <c r="D67" s="31">
        <v>0</v>
      </c>
      <c r="E67" s="31">
        <v>0</v>
      </c>
      <c r="F67" s="31">
        <v>0</v>
      </c>
      <c r="G67" s="31">
        <v>0</v>
      </c>
      <c r="H67" s="31">
        <v>0</v>
      </c>
      <c r="I67" s="32">
        <f t="shared" si="4"/>
        <v>91241</v>
      </c>
      <c r="J67" s="32">
        <f t="shared" si="5"/>
        <v>91241</v>
      </c>
      <c r="K67" s="33">
        <f t="shared" si="6"/>
        <v>3.1368464161269267E-3</v>
      </c>
      <c r="L67" s="33">
        <f t="shared" si="7"/>
        <v>2.400303522998728E-3</v>
      </c>
    </row>
    <row r="68" spans="1:12" ht="20" customHeight="1" x14ac:dyDescent="0.35">
      <c r="A68" s="30" t="s">
        <v>183</v>
      </c>
      <c r="B68" s="30" t="s">
        <v>184</v>
      </c>
      <c r="C68" s="31">
        <v>0</v>
      </c>
      <c r="D68" s="31">
        <v>0</v>
      </c>
      <c r="E68" s="31">
        <v>0</v>
      </c>
      <c r="F68" s="31">
        <v>0</v>
      </c>
      <c r="G68" s="31">
        <v>126114</v>
      </c>
      <c r="H68" s="31">
        <v>0</v>
      </c>
      <c r="I68" s="32">
        <f t="shared" si="4"/>
        <v>0</v>
      </c>
      <c r="J68" s="32">
        <f t="shared" si="5"/>
        <v>126114</v>
      </c>
      <c r="K68" s="33">
        <f t="shared" si="6"/>
        <v>0</v>
      </c>
      <c r="L68" s="33">
        <f t="shared" si="7"/>
        <v>3.3177176762580595E-3</v>
      </c>
    </row>
    <row r="69" spans="1:12" ht="20" customHeight="1" x14ac:dyDescent="0.35">
      <c r="A69" s="30" t="s">
        <v>185</v>
      </c>
      <c r="B69" s="30" t="s">
        <v>186</v>
      </c>
      <c r="C69" s="31">
        <v>360646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2">
        <f t="shared" ref="I69:I93" si="8">SUM(C69,D69,E69,)</f>
        <v>360646</v>
      </c>
      <c r="J69" s="32">
        <f t="shared" ref="J69:J93" si="9">SUM(C69,D69,F69,G69,H69,)</f>
        <v>360646</v>
      </c>
      <c r="K69" s="33">
        <f t="shared" ref="K69:K93" si="10">IFERROR(I69 / DetailedCapTableTotalSharesOutstanding, 0)</f>
        <v>1.2398933731442133E-2</v>
      </c>
      <c r="L69" s="33">
        <f t="shared" ref="L69:L93" si="11">IFERROR(J69 / DetailedCapTableTotalFullyDilutedShares, 0)</f>
        <v>9.4876192101730501E-3</v>
      </c>
    </row>
    <row r="70" spans="1:12" ht="20" customHeight="1" x14ac:dyDescent="0.35">
      <c r="A70" s="30" t="s">
        <v>187</v>
      </c>
      <c r="B70" s="30" t="s">
        <v>188</v>
      </c>
      <c r="C70" s="31">
        <v>0</v>
      </c>
      <c r="D70" s="31">
        <v>5000</v>
      </c>
      <c r="E70" s="31">
        <v>0</v>
      </c>
      <c r="F70" s="31">
        <v>0</v>
      </c>
      <c r="G70" s="31">
        <v>0</v>
      </c>
      <c r="H70" s="31">
        <v>0</v>
      </c>
      <c r="I70" s="32">
        <f t="shared" si="8"/>
        <v>5000</v>
      </c>
      <c r="J70" s="32">
        <f t="shared" si="9"/>
        <v>5000</v>
      </c>
      <c r="K70" s="33">
        <f t="shared" si="10"/>
        <v>1.7189894982118384E-4</v>
      </c>
      <c r="L70" s="33">
        <f t="shared" si="11"/>
        <v>1.3153645417075262E-4</v>
      </c>
    </row>
    <row r="71" spans="1:12" ht="20" customHeight="1" x14ac:dyDescent="0.35">
      <c r="A71" s="30" t="s">
        <v>189</v>
      </c>
      <c r="B71" s="30" t="s">
        <v>190</v>
      </c>
      <c r="C71" s="31">
        <v>0</v>
      </c>
      <c r="D71" s="31">
        <v>0</v>
      </c>
      <c r="E71" s="31">
        <v>0</v>
      </c>
      <c r="F71" s="31">
        <v>0</v>
      </c>
      <c r="G71" s="31">
        <v>35000</v>
      </c>
      <c r="H71" s="31">
        <v>0</v>
      </c>
      <c r="I71" s="32">
        <f t="shared" si="8"/>
        <v>0</v>
      </c>
      <c r="J71" s="32">
        <f t="shared" si="9"/>
        <v>35000</v>
      </c>
      <c r="K71" s="33">
        <f t="shared" si="10"/>
        <v>0</v>
      </c>
      <c r="L71" s="33">
        <f t="shared" si="11"/>
        <v>9.2075517919526842E-4</v>
      </c>
    </row>
    <row r="72" spans="1:12" ht="20" customHeight="1" x14ac:dyDescent="0.35">
      <c r="A72" s="30" t="s">
        <v>191</v>
      </c>
      <c r="B72" s="30" t="s">
        <v>192</v>
      </c>
      <c r="C72" s="31">
        <v>115385</v>
      </c>
      <c r="D72" s="31">
        <v>5000</v>
      </c>
      <c r="E72" s="31">
        <v>0</v>
      </c>
      <c r="F72" s="31">
        <v>0</v>
      </c>
      <c r="G72" s="31">
        <v>0</v>
      </c>
      <c r="H72" s="31">
        <v>0</v>
      </c>
      <c r="I72" s="32">
        <f t="shared" si="8"/>
        <v>120385</v>
      </c>
      <c r="J72" s="32">
        <f t="shared" si="9"/>
        <v>120385</v>
      </c>
      <c r="K72" s="33">
        <f t="shared" si="10"/>
        <v>4.1388110148446429E-3</v>
      </c>
      <c r="L72" s="33">
        <f t="shared" si="11"/>
        <v>3.167003207069211E-3</v>
      </c>
    </row>
    <row r="73" spans="1:12" ht="20" customHeight="1" x14ac:dyDescent="0.35">
      <c r="A73" s="30" t="s">
        <v>62</v>
      </c>
      <c r="B73" s="30" t="s">
        <v>63</v>
      </c>
      <c r="C73" s="31">
        <v>36496</v>
      </c>
      <c r="D73" s="31">
        <v>0</v>
      </c>
      <c r="E73" s="31">
        <v>125432</v>
      </c>
      <c r="F73" s="31">
        <v>125432</v>
      </c>
      <c r="G73" s="31">
        <v>0</v>
      </c>
      <c r="H73" s="31">
        <v>0</v>
      </c>
      <c r="I73" s="32">
        <f t="shared" si="8"/>
        <v>161928</v>
      </c>
      <c r="J73" s="32">
        <f t="shared" si="9"/>
        <v>161928</v>
      </c>
      <c r="K73" s="33">
        <f t="shared" si="10"/>
        <v>5.5670506293289315E-3</v>
      </c>
      <c r="L73" s="33">
        <f t="shared" si="11"/>
        <v>4.2598869901923266E-3</v>
      </c>
    </row>
    <row r="74" spans="1:12" ht="20" customHeight="1" x14ac:dyDescent="0.35">
      <c r="A74" s="30" t="s">
        <v>193</v>
      </c>
      <c r="B74" s="30" t="s">
        <v>194</v>
      </c>
      <c r="C74" s="31">
        <v>547446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2">
        <f t="shared" si="8"/>
        <v>547446</v>
      </c>
      <c r="J74" s="32">
        <f t="shared" si="9"/>
        <v>547446</v>
      </c>
      <c r="K74" s="33">
        <f t="shared" si="10"/>
        <v>1.882107849676156E-2</v>
      </c>
      <c r="L74" s="33">
        <f t="shared" si="11"/>
        <v>1.4401821137992368E-2</v>
      </c>
    </row>
    <row r="75" spans="1:12" ht="20" customHeight="1" x14ac:dyDescent="0.35">
      <c r="A75" s="30" t="s">
        <v>64</v>
      </c>
      <c r="B75" s="30" t="s">
        <v>65</v>
      </c>
      <c r="C75" s="31">
        <v>0</v>
      </c>
      <c r="D75" s="31">
        <v>0</v>
      </c>
      <c r="E75" s="31">
        <v>439014</v>
      </c>
      <c r="F75" s="31">
        <v>439014</v>
      </c>
      <c r="G75" s="31">
        <v>0</v>
      </c>
      <c r="H75" s="31">
        <v>0</v>
      </c>
      <c r="I75" s="32">
        <f t="shared" si="8"/>
        <v>439014</v>
      </c>
      <c r="J75" s="32">
        <f t="shared" si="9"/>
        <v>439014</v>
      </c>
      <c r="K75" s="33">
        <f t="shared" si="10"/>
        <v>1.5093209111359441E-2</v>
      </c>
      <c r="L75" s="33">
        <f t="shared" si="11"/>
        <v>1.154926897826376E-2</v>
      </c>
    </row>
    <row r="76" spans="1:12" ht="20" customHeight="1" x14ac:dyDescent="0.35">
      <c r="A76" s="30" t="s">
        <v>66</v>
      </c>
      <c r="B76" s="30" t="s">
        <v>67</v>
      </c>
      <c r="C76" s="31">
        <v>0</v>
      </c>
      <c r="D76" s="31">
        <v>0</v>
      </c>
      <c r="E76" s="31">
        <v>439014</v>
      </c>
      <c r="F76" s="31">
        <v>439014</v>
      </c>
      <c r="G76" s="31">
        <v>0</v>
      </c>
      <c r="H76" s="31">
        <v>0</v>
      </c>
      <c r="I76" s="32">
        <f t="shared" si="8"/>
        <v>439014</v>
      </c>
      <c r="J76" s="32">
        <f t="shared" si="9"/>
        <v>439014</v>
      </c>
      <c r="K76" s="33">
        <f t="shared" si="10"/>
        <v>1.5093209111359441E-2</v>
      </c>
      <c r="L76" s="33">
        <f t="shared" si="11"/>
        <v>1.154926897826376E-2</v>
      </c>
    </row>
    <row r="77" spans="1:12" ht="20" customHeight="1" x14ac:dyDescent="0.35">
      <c r="A77" s="30" t="s">
        <v>68</v>
      </c>
      <c r="B77" s="30" t="s">
        <v>69</v>
      </c>
      <c r="C77" s="31">
        <v>0</v>
      </c>
      <c r="D77" s="31">
        <v>0</v>
      </c>
      <c r="E77" s="31">
        <v>783954</v>
      </c>
      <c r="F77" s="31">
        <v>783954</v>
      </c>
      <c r="G77" s="31">
        <v>0</v>
      </c>
      <c r="H77" s="31">
        <v>0</v>
      </c>
      <c r="I77" s="32">
        <f t="shared" si="8"/>
        <v>783954</v>
      </c>
      <c r="J77" s="32">
        <f t="shared" si="9"/>
        <v>783954</v>
      </c>
      <c r="K77" s="33">
        <f t="shared" si="10"/>
        <v>2.6952173861623272E-2</v>
      </c>
      <c r="L77" s="33">
        <f t="shared" si="11"/>
        <v>2.062370587859564E-2</v>
      </c>
    </row>
    <row r="78" spans="1:12" ht="20" customHeight="1" x14ac:dyDescent="0.35">
      <c r="A78" s="30" t="s">
        <v>70</v>
      </c>
      <c r="B78" s="30" t="s">
        <v>71</v>
      </c>
      <c r="C78" s="31">
        <v>0</v>
      </c>
      <c r="D78" s="31">
        <v>0</v>
      </c>
      <c r="E78" s="31">
        <v>94074</v>
      </c>
      <c r="F78" s="31">
        <v>94074</v>
      </c>
      <c r="G78" s="31">
        <v>0</v>
      </c>
      <c r="H78" s="31">
        <v>0</v>
      </c>
      <c r="I78" s="32">
        <f t="shared" si="8"/>
        <v>94074</v>
      </c>
      <c r="J78" s="32">
        <f t="shared" si="9"/>
        <v>94074</v>
      </c>
      <c r="K78" s="33">
        <f t="shared" si="10"/>
        <v>3.2342443610956098E-3</v>
      </c>
      <c r="L78" s="33">
        <f t="shared" si="11"/>
        <v>2.4748320779318764E-3</v>
      </c>
    </row>
    <row r="79" spans="1:12" ht="20" customHeight="1" x14ac:dyDescent="0.35">
      <c r="A79" s="30" t="s">
        <v>195</v>
      </c>
      <c r="B79" s="30" t="s">
        <v>196</v>
      </c>
      <c r="C79" s="31">
        <v>0</v>
      </c>
      <c r="D79" s="31">
        <v>10000</v>
      </c>
      <c r="E79" s="31">
        <v>0</v>
      </c>
      <c r="F79" s="31">
        <v>0</v>
      </c>
      <c r="G79" s="31">
        <v>0</v>
      </c>
      <c r="H79" s="31">
        <v>0</v>
      </c>
      <c r="I79" s="32">
        <f t="shared" si="8"/>
        <v>10000</v>
      </c>
      <c r="J79" s="32">
        <f t="shared" si="9"/>
        <v>10000</v>
      </c>
      <c r="K79" s="33">
        <f t="shared" si="10"/>
        <v>3.4379789964236767E-4</v>
      </c>
      <c r="L79" s="33">
        <f t="shared" si="11"/>
        <v>2.6307290834150525E-4</v>
      </c>
    </row>
    <row r="80" spans="1:12" ht="20" customHeight="1" x14ac:dyDescent="0.35">
      <c r="A80" s="30" t="s">
        <v>197</v>
      </c>
      <c r="B80" s="30" t="s">
        <v>198</v>
      </c>
      <c r="C80" s="31">
        <v>0</v>
      </c>
      <c r="D80" s="31">
        <v>42735</v>
      </c>
      <c r="E80" s="31">
        <v>0</v>
      </c>
      <c r="F80" s="31">
        <v>0</v>
      </c>
      <c r="G80" s="31">
        <v>0</v>
      </c>
      <c r="H80" s="31">
        <v>0</v>
      </c>
      <c r="I80" s="32">
        <f t="shared" si="8"/>
        <v>42735</v>
      </c>
      <c r="J80" s="32">
        <f t="shared" si="9"/>
        <v>42735</v>
      </c>
      <c r="K80" s="33">
        <f t="shared" si="10"/>
        <v>1.4692203241216581E-3</v>
      </c>
      <c r="L80" s="33">
        <f t="shared" si="11"/>
        <v>1.1242420737974227E-3</v>
      </c>
    </row>
    <row r="81" spans="1:12" ht="20" customHeight="1" x14ac:dyDescent="0.35">
      <c r="A81" s="30" t="s">
        <v>72</v>
      </c>
      <c r="B81" s="30" t="s">
        <v>73</v>
      </c>
      <c r="C81" s="31">
        <v>0</v>
      </c>
      <c r="D81" s="31">
        <v>0</v>
      </c>
      <c r="E81" s="31">
        <v>2508654</v>
      </c>
      <c r="F81" s="31">
        <v>2508654</v>
      </c>
      <c r="G81" s="31">
        <v>0</v>
      </c>
      <c r="H81" s="31">
        <v>0</v>
      </c>
      <c r="I81" s="32">
        <f t="shared" si="8"/>
        <v>2508654</v>
      </c>
      <c r="J81" s="32">
        <f t="shared" si="9"/>
        <v>2508654</v>
      </c>
      <c r="K81" s="33">
        <f t="shared" si="10"/>
        <v>8.6246997612942425E-2</v>
      </c>
      <c r="L81" s="33">
        <f t="shared" si="11"/>
        <v>6.5995890380255051E-2</v>
      </c>
    </row>
    <row r="82" spans="1:12" ht="20" customHeight="1" x14ac:dyDescent="0.35">
      <c r="A82" s="30" t="s">
        <v>199</v>
      </c>
      <c r="B82" s="30" t="s">
        <v>200</v>
      </c>
      <c r="C82" s="31">
        <v>21367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>
        <f t="shared" si="8"/>
        <v>21367</v>
      </c>
      <c r="J82" s="32">
        <f t="shared" si="9"/>
        <v>21367</v>
      </c>
      <c r="K82" s="33">
        <f t="shared" si="10"/>
        <v>7.3459297216584701E-4</v>
      </c>
      <c r="L82" s="33">
        <f t="shared" si="11"/>
        <v>5.6210788325329424E-4</v>
      </c>
    </row>
    <row r="83" spans="1:12" ht="20" customHeight="1" x14ac:dyDescent="0.35">
      <c r="A83" s="30" t="s">
        <v>74</v>
      </c>
      <c r="B83" s="30" t="s">
        <v>75</v>
      </c>
      <c r="C83" s="31">
        <v>0</v>
      </c>
      <c r="D83" s="31">
        <v>0</v>
      </c>
      <c r="E83" s="31">
        <v>2195072</v>
      </c>
      <c r="F83" s="31">
        <v>2195072</v>
      </c>
      <c r="G83" s="31">
        <v>126114</v>
      </c>
      <c r="H83" s="31">
        <v>0</v>
      </c>
      <c r="I83" s="32">
        <f t="shared" si="8"/>
        <v>2195072</v>
      </c>
      <c r="J83" s="32">
        <f t="shared" si="9"/>
        <v>2321186</v>
      </c>
      <c r="K83" s="33">
        <f t="shared" si="10"/>
        <v>7.5466114316377134E-2</v>
      </c>
      <c r="L83" s="33">
        <f t="shared" si="11"/>
        <v>6.106411518215852E-2</v>
      </c>
    </row>
    <row r="84" spans="1:12" ht="20" customHeight="1" x14ac:dyDescent="0.35">
      <c r="A84" s="30" t="s">
        <v>201</v>
      </c>
      <c r="B84" s="30" t="s">
        <v>202</v>
      </c>
      <c r="C84" s="31">
        <v>0</v>
      </c>
      <c r="D84" s="31">
        <v>0</v>
      </c>
      <c r="E84" s="31">
        <v>0</v>
      </c>
      <c r="F84" s="31">
        <v>0</v>
      </c>
      <c r="G84" s="31">
        <v>63057</v>
      </c>
      <c r="H84" s="31">
        <v>0</v>
      </c>
      <c r="I84" s="32">
        <f t="shared" si="8"/>
        <v>0</v>
      </c>
      <c r="J84" s="32">
        <f t="shared" si="9"/>
        <v>63057</v>
      </c>
      <c r="K84" s="33">
        <f t="shared" si="10"/>
        <v>0</v>
      </c>
      <c r="L84" s="33">
        <f t="shared" si="11"/>
        <v>1.6588588381290298E-3</v>
      </c>
    </row>
    <row r="85" spans="1:12" ht="20" customHeight="1" x14ac:dyDescent="0.35">
      <c r="A85" s="30" t="s">
        <v>203</v>
      </c>
      <c r="B85" s="30" t="s">
        <v>204</v>
      </c>
      <c r="C85" s="31">
        <v>0</v>
      </c>
      <c r="D85" s="31">
        <v>439500</v>
      </c>
      <c r="E85" s="31">
        <v>0</v>
      </c>
      <c r="F85" s="31">
        <v>0</v>
      </c>
      <c r="G85" s="31">
        <v>0</v>
      </c>
      <c r="H85" s="31">
        <v>0</v>
      </c>
      <c r="I85" s="32">
        <f t="shared" si="8"/>
        <v>439500</v>
      </c>
      <c r="J85" s="32">
        <f t="shared" si="9"/>
        <v>439500</v>
      </c>
      <c r="K85" s="33">
        <f t="shared" si="10"/>
        <v>1.5109917689282059E-2</v>
      </c>
      <c r="L85" s="33">
        <f t="shared" si="11"/>
        <v>1.1562054321609156E-2</v>
      </c>
    </row>
    <row r="86" spans="1:12" ht="20" customHeight="1" x14ac:dyDescent="0.35">
      <c r="A86" s="30" t="s">
        <v>205</v>
      </c>
      <c r="B86" s="30" t="s">
        <v>206</v>
      </c>
      <c r="C86" s="31">
        <v>64102</v>
      </c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>
        <f t="shared" si="8"/>
        <v>64102</v>
      </c>
      <c r="J86" s="32">
        <f t="shared" si="9"/>
        <v>64102</v>
      </c>
      <c r="K86" s="33">
        <f t="shared" si="10"/>
        <v>2.2038132962875052E-3</v>
      </c>
      <c r="L86" s="33">
        <f t="shared" si="11"/>
        <v>1.6863499570507171E-3</v>
      </c>
    </row>
    <row r="87" spans="1:12" ht="20" customHeight="1" x14ac:dyDescent="0.35">
      <c r="A87" s="30" t="s">
        <v>207</v>
      </c>
      <c r="B87" s="30" t="s">
        <v>208</v>
      </c>
      <c r="C87" s="31">
        <v>14958</v>
      </c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>
        <f t="shared" si="8"/>
        <v>14958</v>
      </c>
      <c r="J87" s="32">
        <f t="shared" si="9"/>
        <v>14958</v>
      </c>
      <c r="K87" s="33">
        <f t="shared" si="10"/>
        <v>5.1425289828505353E-4</v>
      </c>
      <c r="L87" s="33">
        <f t="shared" si="11"/>
        <v>3.9350445629722356E-4</v>
      </c>
    </row>
    <row r="88" spans="1:12" ht="20" customHeight="1" x14ac:dyDescent="0.35">
      <c r="A88" s="30" t="s">
        <v>209</v>
      </c>
      <c r="B88" s="30" t="s">
        <v>210</v>
      </c>
      <c r="C88" s="31">
        <v>65942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>
        <f t="shared" si="8"/>
        <v>65942</v>
      </c>
      <c r="J88" s="32">
        <f t="shared" si="9"/>
        <v>65942</v>
      </c>
      <c r="K88" s="33">
        <f t="shared" si="10"/>
        <v>2.267072109821701E-3</v>
      </c>
      <c r="L88" s="33">
        <f t="shared" si="11"/>
        <v>1.734755372185554E-3</v>
      </c>
    </row>
    <row r="89" spans="1:12" ht="20" customHeight="1" x14ac:dyDescent="0.35">
      <c r="A89" s="30" t="s">
        <v>211</v>
      </c>
      <c r="B89" s="30" t="s">
        <v>212</v>
      </c>
      <c r="C89" s="31">
        <v>0</v>
      </c>
      <c r="D89" s="31">
        <v>60000</v>
      </c>
      <c r="E89" s="31">
        <v>0</v>
      </c>
      <c r="F89" s="31">
        <v>0</v>
      </c>
      <c r="G89" s="31">
        <v>0</v>
      </c>
      <c r="H89" s="31">
        <v>0</v>
      </c>
      <c r="I89" s="32">
        <f t="shared" si="8"/>
        <v>60000</v>
      </c>
      <c r="J89" s="32">
        <f t="shared" si="9"/>
        <v>60000</v>
      </c>
      <c r="K89" s="33">
        <f t="shared" si="10"/>
        <v>2.0627873978542061E-3</v>
      </c>
      <c r="L89" s="33">
        <f t="shared" si="11"/>
        <v>1.5784374500490315E-3</v>
      </c>
    </row>
    <row r="90" spans="1:12" ht="20" customHeight="1" x14ac:dyDescent="0.35">
      <c r="A90" s="30" t="s">
        <v>213</v>
      </c>
      <c r="B90" s="30" t="s">
        <v>214</v>
      </c>
      <c r="C90" s="31">
        <v>23098</v>
      </c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>
        <f t="shared" si="8"/>
        <v>23098</v>
      </c>
      <c r="J90" s="32">
        <f t="shared" si="9"/>
        <v>23098</v>
      </c>
      <c r="K90" s="33">
        <f t="shared" si="10"/>
        <v>7.9410438859394089E-4</v>
      </c>
      <c r="L90" s="33">
        <f t="shared" si="11"/>
        <v>6.0764580368720888E-4</v>
      </c>
    </row>
    <row r="91" spans="1:12" ht="20" customHeight="1" x14ac:dyDescent="0.35">
      <c r="A91" s="30" t="s">
        <v>215</v>
      </c>
      <c r="B91" s="30" t="s">
        <v>216</v>
      </c>
      <c r="C91" s="31">
        <v>0</v>
      </c>
      <c r="D91" s="31">
        <v>25000</v>
      </c>
      <c r="E91" s="31">
        <v>0</v>
      </c>
      <c r="F91" s="31">
        <v>0</v>
      </c>
      <c r="G91" s="31">
        <v>0</v>
      </c>
      <c r="H91" s="31">
        <v>0</v>
      </c>
      <c r="I91" s="32">
        <f t="shared" si="8"/>
        <v>25000</v>
      </c>
      <c r="J91" s="32">
        <f t="shared" si="9"/>
        <v>25000</v>
      </c>
      <c r="K91" s="33">
        <f t="shared" si="10"/>
        <v>8.5949474910591915E-4</v>
      </c>
      <c r="L91" s="33">
        <f t="shared" si="11"/>
        <v>6.5768227085376317E-4</v>
      </c>
    </row>
    <row r="92" spans="1:12" ht="20" customHeight="1" x14ac:dyDescent="0.35">
      <c r="A92" s="30" t="s">
        <v>76</v>
      </c>
      <c r="B92" s="30" t="s">
        <v>77</v>
      </c>
      <c r="C92" s="31">
        <v>0</v>
      </c>
      <c r="D92" s="31">
        <v>0</v>
      </c>
      <c r="E92" s="31">
        <v>125432</v>
      </c>
      <c r="F92" s="31">
        <v>125432</v>
      </c>
      <c r="G92" s="31">
        <v>0</v>
      </c>
      <c r="H92" s="31">
        <v>0</v>
      </c>
      <c r="I92" s="32">
        <f t="shared" si="8"/>
        <v>125432</v>
      </c>
      <c r="J92" s="32">
        <f t="shared" si="9"/>
        <v>125432</v>
      </c>
      <c r="K92" s="33">
        <f t="shared" si="10"/>
        <v>4.3123258147941459E-3</v>
      </c>
      <c r="L92" s="33">
        <f t="shared" si="11"/>
        <v>3.2997761039091685E-3</v>
      </c>
    </row>
    <row r="93" spans="1:12" ht="20" customHeight="1" x14ac:dyDescent="0.35">
      <c r="A93" s="30" t="s">
        <v>217</v>
      </c>
      <c r="B93" s="30" t="s">
        <v>218</v>
      </c>
      <c r="C93" s="31">
        <v>0</v>
      </c>
      <c r="D93" s="31">
        <v>0</v>
      </c>
      <c r="E93" s="31">
        <v>0</v>
      </c>
      <c r="F93" s="31">
        <v>0</v>
      </c>
      <c r="G93" s="31">
        <v>30000</v>
      </c>
      <c r="H93" s="31">
        <v>0</v>
      </c>
      <c r="I93" s="32">
        <f t="shared" si="8"/>
        <v>0</v>
      </c>
      <c r="J93" s="32">
        <f t="shared" si="9"/>
        <v>30000</v>
      </c>
      <c r="K93" s="33">
        <f t="shared" si="10"/>
        <v>0</v>
      </c>
      <c r="L93" s="33">
        <f t="shared" si="11"/>
        <v>7.8921872502451574E-4</v>
      </c>
    </row>
    <row r="94" spans="1:12" ht="20" customHeight="1" x14ac:dyDescent="0.35">
      <c r="A94" s="16"/>
      <c r="B94" s="37" t="s">
        <v>79</v>
      </c>
      <c r="C94" s="38"/>
      <c r="D94" s="38"/>
      <c r="E94" s="38"/>
      <c r="F94" s="38"/>
      <c r="G94" s="17">
        <v>5549956</v>
      </c>
      <c r="H94" s="17">
        <v>0</v>
      </c>
      <c r="I94" s="36"/>
      <c r="J94" s="36"/>
      <c r="K94" s="18"/>
      <c r="L94" s="18"/>
    </row>
    <row r="95" spans="1:12" ht="20" customHeight="1" x14ac:dyDescent="0.35">
      <c r="A95" s="20"/>
      <c r="B95" s="39" t="s">
        <v>20</v>
      </c>
      <c r="C95" s="40"/>
      <c r="D95" s="40"/>
      <c r="E95" s="40"/>
      <c r="F95" s="40"/>
      <c r="G95" s="21">
        <v>3375464</v>
      </c>
      <c r="H95" s="21">
        <v>0</v>
      </c>
      <c r="I95" s="41"/>
      <c r="J95" s="41">
        <f>SUM(C95,D95,F95,G95,H95,)</f>
        <v>3375464</v>
      </c>
      <c r="K95" s="22"/>
      <c r="L95" s="22">
        <f>IFERROR(J95 / DetailedCapTableTotalFullyDilutedShares, 0)</f>
        <v>8.8799313148205064E-2</v>
      </c>
    </row>
    <row r="96" spans="1:12" ht="20" customHeight="1" x14ac:dyDescent="0.35">
      <c r="A96" s="24"/>
      <c r="B96" s="24" t="s">
        <v>80</v>
      </c>
      <c r="C96" s="42">
        <f>SUM(C5:C93)</f>
        <v>6360464</v>
      </c>
      <c r="D96" s="42">
        <f>SUM(D5:D93)</f>
        <v>1214697</v>
      </c>
      <c r="E96" s="42"/>
      <c r="F96" s="42">
        <f>SUM(F5:F93)</f>
        <v>21511695</v>
      </c>
      <c r="G96" s="25">
        <f>SUM(G94:G95)</f>
        <v>8925420</v>
      </c>
      <c r="H96" s="25">
        <f>SUM(H94:H95)</f>
        <v>0</v>
      </c>
      <c r="I96" s="43"/>
      <c r="J96" s="43">
        <f>SUM(C96,D96,F96,G96,H96,)</f>
        <v>38012276</v>
      </c>
      <c r="K96" s="26"/>
      <c r="L96" s="26">
        <f>IFERROR(SUM(C96,D96,F96,G96,H96,)/DetailedCapTableTotalFullyDilutedShares,0)</f>
        <v>1</v>
      </c>
    </row>
    <row r="97" spans="1:12" ht="20" customHeight="1" x14ac:dyDescent="0.35">
      <c r="A97" s="44"/>
      <c r="B97" s="44" t="s">
        <v>81</v>
      </c>
      <c r="C97" s="45">
        <f>IFERROR(C96 / DetailedCapTableTotalFullyDilutedShares, 0)</f>
        <v>0.16732657628814437</v>
      </c>
      <c r="D97" s="45">
        <f>IFERROR(D96 / DetailedCapTableTotalFullyDilutedShares, 0)</f>
        <v>3.1955387254370138E-2</v>
      </c>
      <c r="E97" s="46"/>
      <c r="F97" s="45">
        <f>IFERROR(F96 / DetailedCapTableTotalFullyDilutedShares, 0)</f>
        <v>0.56591441670054166</v>
      </c>
      <c r="G97" s="45">
        <f>IFERROR(G96 / DetailedCapTableTotalFullyDilutedShares, 0)</f>
        <v>0.23480361975694378</v>
      </c>
      <c r="H97" s="45">
        <f>IFERROR(H96 / DetailedCapTableTotalFullyDilutedShares, 0)</f>
        <v>0</v>
      </c>
      <c r="I97" s="47"/>
      <c r="J97" s="48">
        <f>SUM(C97,D97,F97,G97,H97,)</f>
        <v>0.99999999999999989</v>
      </c>
      <c r="K97" s="45"/>
      <c r="L97" s="45"/>
    </row>
    <row r="98" spans="1:12" ht="20" customHeight="1" x14ac:dyDescent="0.35">
      <c r="A98" s="24"/>
      <c r="B98" s="24" t="s">
        <v>82</v>
      </c>
      <c r="C98" s="42">
        <f>SUM(C5:C93)</f>
        <v>6360464</v>
      </c>
      <c r="D98" s="42">
        <f>SUM(D5:D93)</f>
        <v>1214697</v>
      </c>
      <c r="E98" s="42">
        <f>SUM(E5:E93)</f>
        <v>21511695</v>
      </c>
      <c r="F98" s="42"/>
      <c r="G98" s="25"/>
      <c r="H98" s="25"/>
      <c r="I98" s="43">
        <f>SUM(C98,D98,E98,)</f>
        <v>29086856</v>
      </c>
      <c r="J98" s="43"/>
      <c r="K98" s="26">
        <f>SUM(K5:K93)</f>
        <v>1.0000000000000004</v>
      </c>
      <c r="L98" s="26"/>
    </row>
    <row r="99" spans="1:12" ht="20" customHeight="1" x14ac:dyDescent="0.35">
      <c r="A99" s="44"/>
      <c r="B99" s="44" t="s">
        <v>83</v>
      </c>
      <c r="C99" s="45">
        <f>IFERROR(C98 / DetailedCapTableTotalSharesOutstanding, 0)</f>
        <v>0.21867141639508925</v>
      </c>
      <c r="D99" s="45">
        <f>IFERROR(D98 / DetailedCapTableTotalSharesOutstanding, 0)</f>
        <v>4.1761027730188506E-2</v>
      </c>
      <c r="E99" s="45">
        <f>IFERROR(E98 / DetailedCapTableTotalSharesOutstanding, 0)</f>
        <v>0.73956755587472223</v>
      </c>
      <c r="F99" s="46"/>
      <c r="G99" s="49"/>
      <c r="H99" s="49"/>
      <c r="I99" s="48">
        <f>SUM(C99,D99,E99,)</f>
        <v>1</v>
      </c>
      <c r="J99" s="47"/>
      <c r="K99" s="45"/>
      <c r="L99" s="45"/>
    </row>
    <row r="100" spans="1:12" ht="20" customHeight="1" x14ac:dyDescent="0.35">
      <c r="A100" s="44"/>
      <c r="B100" s="44" t="s">
        <v>84</v>
      </c>
      <c r="C100" s="46"/>
      <c r="D100" s="46"/>
      <c r="E100" s="50">
        <v>1.5944799999999999</v>
      </c>
      <c r="F100" s="50">
        <v>1.5944799999999999</v>
      </c>
      <c r="G100" s="49"/>
      <c r="H100" s="49"/>
      <c r="I100" s="47"/>
      <c r="J100" s="47"/>
      <c r="K100" s="45"/>
      <c r="L100" s="45"/>
    </row>
  </sheetData>
  <pageMargins left="0.75" right="0.75" top="1" bottom="1" header="0.5" footer="0.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89106D8D9254B804FEF5EBF08E24C" ma:contentTypeVersion="4" ma:contentTypeDescription="Create a new document." ma:contentTypeScope="" ma:versionID="60f4dc242affd85a170ef0eb8e8c4564">
  <xsd:schema xmlns:xsd="http://www.w3.org/2001/XMLSchema" xmlns:xs="http://www.w3.org/2001/XMLSchema" xmlns:p="http://schemas.microsoft.com/office/2006/metadata/properties" xmlns:ns2="631b20d5-d9d2-47ae-b10a-837de64a3224" targetNamespace="http://schemas.microsoft.com/office/2006/metadata/properties" ma:root="true" ma:fieldsID="aa6660cf7efea670cdb55eeb1f8868ad" ns2:_="">
    <xsd:import namespace="631b20d5-d9d2-47ae-b10a-837de64a32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b20d5-d9d2-47ae-b10a-837de64a3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C67C1-1DE0-418D-99F6-D01D38B534FE}">
  <ds:schemaRefs>
    <ds:schemaRef ds:uri="http://schemas.microsoft.com/office/2006/metadata/properties"/>
    <ds:schemaRef ds:uri="http://schemas.microsoft.com/office/infopath/2007/PartnerControls"/>
    <ds:schemaRef ds:uri="0ef93d2a-92eb-47cb-86b7-9011e165bb7b"/>
    <ds:schemaRef ds:uri="02509fd1-9aa6-4aa7-b45b-04ec6047cfa6"/>
  </ds:schemaRefs>
</ds:datastoreItem>
</file>

<file path=customXml/itemProps2.xml><?xml version="1.0" encoding="utf-8"?>
<ds:datastoreItem xmlns:ds="http://schemas.openxmlformats.org/officeDocument/2006/customXml" ds:itemID="{16FE84BA-76FC-4603-BE04-D7EFAB223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91541-3C57-448D-B7A0-DD9C73407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Summary Cap Table</vt:lpstr>
      <vt:lpstr>Intermediate Cap Table</vt:lpstr>
      <vt:lpstr>Detailed Cap Table</vt:lpstr>
      <vt:lpstr>DetailedCapTableTotalFullyDilutedShares</vt:lpstr>
      <vt:lpstr>DetailedCapTableTotalSharesOutstanding</vt:lpstr>
      <vt:lpstr>IntermediateCapTableTotalFullyDilutedShares</vt:lpstr>
      <vt:lpstr>IntermediateCapTableTotalSharesOutstanding</vt:lpstr>
      <vt:lpstr>SummaryCapTableFullyDilutedShares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Lucy Darago</cp:lastModifiedBy>
  <dcterms:created xsi:type="dcterms:W3CDTF">2024-10-22T04:03:07Z</dcterms:created>
  <dcterms:modified xsi:type="dcterms:W3CDTF">2025-01-17T02:57:44Z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0x010100EC789106D8D9254B804FEF5EBF08E24C</vt:lpwstr>
  </property>
  <property fmtid="{D5CDD505-2E9C-101B-9397-08002B2CF9AE}" pid="3" name="MediaServiceImageTags">
    <vt:lpwstr/>
  </property>
</Properties>
</file>